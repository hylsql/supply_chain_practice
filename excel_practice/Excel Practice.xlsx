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26F86\EXCELCNV\f51b5681-f415-4ee8-8063-8adcf608830e\"/>
    </mc:Choice>
  </mc:AlternateContent>
  <xr:revisionPtr revIDLastSave="0" documentId="8_{AB426BBB-C764-4670-8387-800807E46B31}" xr6:coauthVersionLast="47" xr6:coauthVersionMax="47" xr10:uidLastSave="{00000000-0000-0000-0000-000000000000}"/>
  <bookViews>
    <workbookView xWindow="-60" yWindow="-60" windowWidth="15480" windowHeight="11640" activeTab="2" xr2:uid="{0425849D-7BE9-4263-A2EB-16A6471A0407}"/>
  </bookViews>
  <sheets>
    <sheet name="Executive KPI report" sheetId="16" r:id="rId1"/>
    <sheet name="supplier scoreboard" sheetId="15" r:id="rId2"/>
    <sheet name="freight_dashboard" sheetId="14" r:id="rId3"/>
    <sheet name="inventory dashboard" sheetId="13" r:id="rId4"/>
    <sheet name="sales dashboard" sheetId="12" r:id="rId5"/>
    <sheet name="sales_by_channel" sheetId="11" r:id="rId6"/>
    <sheet name="warehouse_inventory_balance" sheetId="9" r:id="rId7"/>
    <sheet name="weekly sales trend chart." sheetId="8" r:id="rId8"/>
    <sheet name="reorder_point" sheetId="7" r:id="rId9"/>
    <sheet name="customer_orders" sheetId="2" r:id="rId10"/>
    <sheet name="order_items" sheetId="1" r:id="rId11"/>
    <sheet name="products" sheetId="4" r:id="rId12"/>
    <sheet name="inventory" sheetId="3" r:id="rId13"/>
    <sheet name="purchase_orders" sheetId="5" r:id="rId14"/>
    <sheet name="suppliers" sheetId="10" r:id="rId15"/>
    <sheet name="shipments" sheetId="6" r:id="rId16"/>
  </sheets>
  <definedNames>
    <definedName name="_xlnm._FilterDatabase" localSheetId="15" hidden="1">shipments!$A$1:$I$404</definedName>
    <definedName name="_xlnm._FilterDatabase" localSheetId="9" hidden="1">customer_orders!$A$1:$G$451</definedName>
    <definedName name="_xlnm._FilterDatabase" localSheetId="11" hidden="1">products!$A$1:$K$154</definedName>
    <definedName name="_xlnm._FilterDatabase" localSheetId="10" hidden="1">order_items!$A$1:$Q$1109</definedName>
    <definedName name="_xlnm._FilterDatabase" localSheetId="13" hidden="1">purchase_orders!$A$1:$M$501</definedName>
    <definedName name="Slicer_category">#N/A</definedName>
    <definedName name="Slicer_month">#N/A</definedName>
    <definedName name="Slicer_sales_channel">#N/A</definedName>
    <definedName name="Slicer_warehouse">#N/A</definedName>
  </definedNames>
  <calcPr calcId="191028"/>
  <pivotCaches>
    <pivotCache cacheId="176" r:id="rId17"/>
    <pivotCache cacheId="177" r:id="rId18"/>
    <pivotCache cacheId="178" r:id="rId19"/>
    <pivotCache cacheId="182" r:id="rId20"/>
    <pivotCache cacheId="502" r:id="rId21"/>
  </pivotCaches>
  <extLst>
    <ext xmlns:x14="http://schemas.microsoft.com/office/spreadsheetml/2009/9/main" uri="{BBE1A952-AA13-448e-AADC-164F8A28A991}">
      <x14:slicerCaches>
        <x14:slicerCache r:id="rId22"/>
        <x14:slicerCache r:id="rId23"/>
        <x14:slicerCache r:id="rId24"/>
        <x14:slicerCache r:id="rId2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4" l="1"/>
  <c r="D9" i="14"/>
  <c r="D10" i="14"/>
  <c r="D11" i="14"/>
  <c r="D12" i="14"/>
  <c r="D7" i="14"/>
  <c r="D2" i="14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C2" i="14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2" i="3"/>
  <c r="H2" i="16"/>
  <c r="E2" i="16"/>
  <c r="D2" i="16"/>
  <c r="A2" i="13"/>
  <c r="B2" i="16"/>
  <c r="G2" i="16" s="1"/>
  <c r="A2" i="16"/>
  <c r="C2" i="16" s="1"/>
  <c r="G3" i="15"/>
  <c r="G4" i="15"/>
  <c r="G5" i="15"/>
  <c r="G6" i="15"/>
  <c r="G7" i="15"/>
  <c r="G8" i="15"/>
  <c r="G9" i="15"/>
  <c r="G2" i="15"/>
  <c r="F3" i="15"/>
  <c r="F4" i="15"/>
  <c r="F5" i="15"/>
  <c r="F6" i="15"/>
  <c r="F7" i="15"/>
  <c r="F8" i="15"/>
  <c r="F9" i="15"/>
  <c r="F2" i="1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2" i="5"/>
  <c r="A2" i="15" a="1"/>
  <c r="A2" i="15"/>
  <c r="A2" i="14"/>
  <c r="Q313" i="3"/>
  <c r="C2" i="1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2" i="3"/>
  <c r="B2" i="1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2" i="3"/>
  <c r="K2" i="3"/>
  <c r="K3" i="3"/>
  <c r="L3" i="3" s="1"/>
  <c r="M3" i="3" s="1"/>
  <c r="K4" i="3"/>
  <c r="L4" i="3" s="1"/>
  <c r="M4" i="3" s="1"/>
  <c r="K5" i="3"/>
  <c r="L5" i="3" s="1"/>
  <c r="M5" i="3" s="1"/>
  <c r="K6" i="3"/>
  <c r="L6" i="3" s="1"/>
  <c r="M6" i="3" s="1"/>
  <c r="K7" i="3"/>
  <c r="L7" i="3" s="1"/>
  <c r="M7" i="3" s="1"/>
  <c r="K8" i="3"/>
  <c r="L8" i="3" s="1"/>
  <c r="M8" i="3" s="1"/>
  <c r="K9" i="3"/>
  <c r="L9" i="3" s="1"/>
  <c r="M9" i="3" s="1"/>
  <c r="K10" i="3"/>
  <c r="L10" i="3" s="1"/>
  <c r="M10" i="3" s="1"/>
  <c r="K11" i="3"/>
  <c r="L11" i="3" s="1"/>
  <c r="M11" i="3" s="1"/>
  <c r="K12" i="3"/>
  <c r="L12" i="3" s="1"/>
  <c r="M12" i="3" s="1"/>
  <c r="K13" i="3"/>
  <c r="L13" i="3" s="1"/>
  <c r="M13" i="3" s="1"/>
  <c r="K14" i="3"/>
  <c r="L14" i="3" s="1"/>
  <c r="M14" i="3" s="1"/>
  <c r="K15" i="3"/>
  <c r="L15" i="3" s="1"/>
  <c r="M15" i="3" s="1"/>
  <c r="K16" i="3"/>
  <c r="L16" i="3" s="1"/>
  <c r="M16" i="3" s="1"/>
  <c r="K17" i="3"/>
  <c r="L17" i="3" s="1"/>
  <c r="M17" i="3" s="1"/>
  <c r="K18" i="3"/>
  <c r="L18" i="3" s="1"/>
  <c r="M18" i="3" s="1"/>
  <c r="K19" i="3"/>
  <c r="L19" i="3" s="1"/>
  <c r="M19" i="3" s="1"/>
  <c r="K20" i="3"/>
  <c r="L20" i="3" s="1"/>
  <c r="M20" i="3" s="1"/>
  <c r="K21" i="3"/>
  <c r="L21" i="3" s="1"/>
  <c r="M21" i="3" s="1"/>
  <c r="K22" i="3"/>
  <c r="L22" i="3" s="1"/>
  <c r="M22" i="3" s="1"/>
  <c r="K23" i="3"/>
  <c r="L23" i="3" s="1"/>
  <c r="M23" i="3" s="1"/>
  <c r="K24" i="3"/>
  <c r="L24" i="3" s="1"/>
  <c r="M24" i="3" s="1"/>
  <c r="K25" i="3"/>
  <c r="L25" i="3" s="1"/>
  <c r="M25" i="3" s="1"/>
  <c r="K26" i="3"/>
  <c r="L26" i="3" s="1"/>
  <c r="M26" i="3" s="1"/>
  <c r="K27" i="3"/>
  <c r="L27" i="3" s="1"/>
  <c r="M27" i="3" s="1"/>
  <c r="K28" i="3"/>
  <c r="L28" i="3" s="1"/>
  <c r="M28" i="3" s="1"/>
  <c r="K29" i="3"/>
  <c r="L29" i="3" s="1"/>
  <c r="M29" i="3" s="1"/>
  <c r="K30" i="3"/>
  <c r="L30" i="3" s="1"/>
  <c r="M30" i="3" s="1"/>
  <c r="K31" i="3"/>
  <c r="L31" i="3" s="1"/>
  <c r="M31" i="3" s="1"/>
  <c r="K32" i="3"/>
  <c r="L32" i="3" s="1"/>
  <c r="M32" i="3" s="1"/>
  <c r="K33" i="3"/>
  <c r="L33" i="3" s="1"/>
  <c r="M33" i="3" s="1"/>
  <c r="K34" i="3"/>
  <c r="L34" i="3" s="1"/>
  <c r="M34" i="3" s="1"/>
  <c r="K35" i="3"/>
  <c r="L35" i="3" s="1"/>
  <c r="M35" i="3" s="1"/>
  <c r="K36" i="3"/>
  <c r="L36" i="3" s="1"/>
  <c r="M36" i="3" s="1"/>
  <c r="K37" i="3"/>
  <c r="L37" i="3" s="1"/>
  <c r="M37" i="3" s="1"/>
  <c r="K38" i="3"/>
  <c r="L38" i="3" s="1"/>
  <c r="M38" i="3" s="1"/>
  <c r="K39" i="3"/>
  <c r="L39" i="3" s="1"/>
  <c r="M39" i="3" s="1"/>
  <c r="K40" i="3"/>
  <c r="L40" i="3" s="1"/>
  <c r="M40" i="3" s="1"/>
  <c r="K41" i="3"/>
  <c r="L41" i="3" s="1"/>
  <c r="M41" i="3" s="1"/>
  <c r="K42" i="3"/>
  <c r="L42" i="3" s="1"/>
  <c r="M42" i="3" s="1"/>
  <c r="K43" i="3"/>
  <c r="L43" i="3" s="1"/>
  <c r="M43" i="3" s="1"/>
  <c r="K44" i="3"/>
  <c r="L44" i="3" s="1"/>
  <c r="M44" i="3" s="1"/>
  <c r="K45" i="3"/>
  <c r="L45" i="3" s="1"/>
  <c r="M45" i="3" s="1"/>
  <c r="K46" i="3"/>
  <c r="L46" i="3" s="1"/>
  <c r="M46" i="3" s="1"/>
  <c r="K47" i="3"/>
  <c r="L47" i="3" s="1"/>
  <c r="M47" i="3" s="1"/>
  <c r="K48" i="3"/>
  <c r="L48" i="3" s="1"/>
  <c r="M48" i="3" s="1"/>
  <c r="K49" i="3"/>
  <c r="L49" i="3" s="1"/>
  <c r="M49" i="3" s="1"/>
  <c r="K50" i="3"/>
  <c r="L50" i="3" s="1"/>
  <c r="M50" i="3" s="1"/>
  <c r="K51" i="3"/>
  <c r="L51" i="3" s="1"/>
  <c r="M51" i="3" s="1"/>
  <c r="K52" i="3"/>
  <c r="L52" i="3" s="1"/>
  <c r="M52" i="3" s="1"/>
  <c r="K53" i="3"/>
  <c r="L53" i="3" s="1"/>
  <c r="M53" i="3" s="1"/>
  <c r="K54" i="3"/>
  <c r="L54" i="3" s="1"/>
  <c r="M54" i="3" s="1"/>
  <c r="K55" i="3"/>
  <c r="L55" i="3" s="1"/>
  <c r="M55" i="3" s="1"/>
  <c r="K56" i="3"/>
  <c r="L56" i="3" s="1"/>
  <c r="M56" i="3" s="1"/>
  <c r="K57" i="3"/>
  <c r="L57" i="3" s="1"/>
  <c r="M57" i="3" s="1"/>
  <c r="K58" i="3"/>
  <c r="L58" i="3" s="1"/>
  <c r="M58" i="3" s="1"/>
  <c r="K59" i="3"/>
  <c r="L59" i="3" s="1"/>
  <c r="M59" i="3" s="1"/>
  <c r="K60" i="3"/>
  <c r="L60" i="3" s="1"/>
  <c r="M60" i="3" s="1"/>
  <c r="K61" i="3"/>
  <c r="L61" i="3" s="1"/>
  <c r="M61" i="3" s="1"/>
  <c r="K62" i="3"/>
  <c r="L62" i="3" s="1"/>
  <c r="M62" i="3" s="1"/>
  <c r="K63" i="3"/>
  <c r="L63" i="3" s="1"/>
  <c r="M63" i="3" s="1"/>
  <c r="K64" i="3"/>
  <c r="L64" i="3" s="1"/>
  <c r="M64" i="3" s="1"/>
  <c r="K65" i="3"/>
  <c r="L65" i="3" s="1"/>
  <c r="M65" i="3" s="1"/>
  <c r="K66" i="3"/>
  <c r="L66" i="3" s="1"/>
  <c r="M66" i="3" s="1"/>
  <c r="K67" i="3"/>
  <c r="L67" i="3" s="1"/>
  <c r="M67" i="3" s="1"/>
  <c r="K68" i="3"/>
  <c r="L68" i="3" s="1"/>
  <c r="M68" i="3" s="1"/>
  <c r="K69" i="3"/>
  <c r="L69" i="3" s="1"/>
  <c r="M69" i="3" s="1"/>
  <c r="K70" i="3"/>
  <c r="L70" i="3" s="1"/>
  <c r="M70" i="3" s="1"/>
  <c r="K71" i="3"/>
  <c r="L71" i="3" s="1"/>
  <c r="M71" i="3" s="1"/>
  <c r="K72" i="3"/>
  <c r="L72" i="3" s="1"/>
  <c r="M72" i="3" s="1"/>
  <c r="K73" i="3"/>
  <c r="L73" i="3" s="1"/>
  <c r="M73" i="3" s="1"/>
  <c r="K74" i="3"/>
  <c r="L74" i="3" s="1"/>
  <c r="M74" i="3" s="1"/>
  <c r="K75" i="3"/>
  <c r="L75" i="3" s="1"/>
  <c r="M75" i="3" s="1"/>
  <c r="K76" i="3"/>
  <c r="L76" i="3" s="1"/>
  <c r="M76" i="3" s="1"/>
  <c r="K77" i="3"/>
  <c r="L77" i="3" s="1"/>
  <c r="M77" i="3" s="1"/>
  <c r="K78" i="3"/>
  <c r="L78" i="3" s="1"/>
  <c r="M78" i="3" s="1"/>
  <c r="K79" i="3"/>
  <c r="L79" i="3" s="1"/>
  <c r="M79" i="3" s="1"/>
  <c r="K80" i="3"/>
  <c r="L80" i="3" s="1"/>
  <c r="M80" i="3" s="1"/>
  <c r="K81" i="3"/>
  <c r="L81" i="3" s="1"/>
  <c r="M81" i="3" s="1"/>
  <c r="K82" i="3"/>
  <c r="L82" i="3" s="1"/>
  <c r="M82" i="3" s="1"/>
  <c r="K83" i="3"/>
  <c r="L83" i="3" s="1"/>
  <c r="M83" i="3" s="1"/>
  <c r="K84" i="3"/>
  <c r="L84" i="3" s="1"/>
  <c r="M84" i="3" s="1"/>
  <c r="K85" i="3"/>
  <c r="L85" i="3" s="1"/>
  <c r="M85" i="3" s="1"/>
  <c r="K86" i="3"/>
  <c r="L86" i="3" s="1"/>
  <c r="M86" i="3" s="1"/>
  <c r="K87" i="3"/>
  <c r="L87" i="3" s="1"/>
  <c r="M87" i="3" s="1"/>
  <c r="K88" i="3"/>
  <c r="L88" i="3" s="1"/>
  <c r="M88" i="3" s="1"/>
  <c r="K89" i="3"/>
  <c r="L89" i="3" s="1"/>
  <c r="M89" i="3" s="1"/>
  <c r="K90" i="3"/>
  <c r="L90" i="3" s="1"/>
  <c r="M90" i="3" s="1"/>
  <c r="K91" i="3"/>
  <c r="L91" i="3" s="1"/>
  <c r="M91" i="3" s="1"/>
  <c r="K92" i="3"/>
  <c r="L92" i="3" s="1"/>
  <c r="M92" i="3" s="1"/>
  <c r="K93" i="3"/>
  <c r="L93" i="3" s="1"/>
  <c r="M93" i="3" s="1"/>
  <c r="K94" i="3"/>
  <c r="L94" i="3" s="1"/>
  <c r="M94" i="3" s="1"/>
  <c r="K95" i="3"/>
  <c r="L95" i="3" s="1"/>
  <c r="M95" i="3" s="1"/>
  <c r="K96" i="3"/>
  <c r="L96" i="3" s="1"/>
  <c r="M96" i="3" s="1"/>
  <c r="K97" i="3"/>
  <c r="L97" i="3" s="1"/>
  <c r="M97" i="3" s="1"/>
  <c r="K98" i="3"/>
  <c r="L98" i="3" s="1"/>
  <c r="M98" i="3" s="1"/>
  <c r="K99" i="3"/>
  <c r="L99" i="3" s="1"/>
  <c r="M99" i="3" s="1"/>
  <c r="K100" i="3"/>
  <c r="L100" i="3" s="1"/>
  <c r="M100" i="3" s="1"/>
  <c r="K101" i="3"/>
  <c r="L101" i="3" s="1"/>
  <c r="M101" i="3" s="1"/>
  <c r="K102" i="3"/>
  <c r="L102" i="3" s="1"/>
  <c r="M102" i="3" s="1"/>
  <c r="K103" i="3"/>
  <c r="L103" i="3" s="1"/>
  <c r="M103" i="3" s="1"/>
  <c r="K104" i="3"/>
  <c r="L104" i="3" s="1"/>
  <c r="M104" i="3" s="1"/>
  <c r="K105" i="3"/>
  <c r="L105" i="3" s="1"/>
  <c r="M105" i="3" s="1"/>
  <c r="K106" i="3"/>
  <c r="L106" i="3" s="1"/>
  <c r="M106" i="3" s="1"/>
  <c r="K107" i="3"/>
  <c r="L107" i="3" s="1"/>
  <c r="M107" i="3" s="1"/>
  <c r="K108" i="3"/>
  <c r="L108" i="3" s="1"/>
  <c r="M108" i="3" s="1"/>
  <c r="K109" i="3"/>
  <c r="L109" i="3" s="1"/>
  <c r="M109" i="3" s="1"/>
  <c r="K110" i="3"/>
  <c r="L110" i="3" s="1"/>
  <c r="M110" i="3" s="1"/>
  <c r="K111" i="3"/>
  <c r="L111" i="3" s="1"/>
  <c r="M111" i="3" s="1"/>
  <c r="K112" i="3"/>
  <c r="L112" i="3" s="1"/>
  <c r="M112" i="3" s="1"/>
  <c r="K113" i="3"/>
  <c r="L113" i="3" s="1"/>
  <c r="M113" i="3" s="1"/>
  <c r="K114" i="3"/>
  <c r="L114" i="3" s="1"/>
  <c r="M114" i="3" s="1"/>
  <c r="K115" i="3"/>
  <c r="L115" i="3" s="1"/>
  <c r="M115" i="3" s="1"/>
  <c r="K116" i="3"/>
  <c r="L116" i="3" s="1"/>
  <c r="M116" i="3" s="1"/>
  <c r="K117" i="3"/>
  <c r="L117" i="3" s="1"/>
  <c r="M117" i="3" s="1"/>
  <c r="K118" i="3"/>
  <c r="L118" i="3" s="1"/>
  <c r="M118" i="3" s="1"/>
  <c r="K119" i="3"/>
  <c r="L119" i="3" s="1"/>
  <c r="M119" i="3" s="1"/>
  <c r="K120" i="3"/>
  <c r="L120" i="3" s="1"/>
  <c r="M120" i="3" s="1"/>
  <c r="K121" i="3"/>
  <c r="L121" i="3" s="1"/>
  <c r="M121" i="3" s="1"/>
  <c r="K122" i="3"/>
  <c r="L122" i="3" s="1"/>
  <c r="M122" i="3" s="1"/>
  <c r="K123" i="3"/>
  <c r="L123" i="3" s="1"/>
  <c r="M123" i="3" s="1"/>
  <c r="K124" i="3"/>
  <c r="L124" i="3" s="1"/>
  <c r="M124" i="3" s="1"/>
  <c r="K125" i="3"/>
  <c r="L125" i="3" s="1"/>
  <c r="M125" i="3" s="1"/>
  <c r="K126" i="3"/>
  <c r="L126" i="3" s="1"/>
  <c r="M126" i="3" s="1"/>
  <c r="K127" i="3"/>
  <c r="L127" i="3" s="1"/>
  <c r="M127" i="3" s="1"/>
  <c r="K128" i="3"/>
  <c r="L128" i="3" s="1"/>
  <c r="M128" i="3" s="1"/>
  <c r="K129" i="3"/>
  <c r="L129" i="3" s="1"/>
  <c r="M129" i="3" s="1"/>
  <c r="K130" i="3"/>
  <c r="L130" i="3" s="1"/>
  <c r="M130" i="3" s="1"/>
  <c r="K131" i="3"/>
  <c r="L131" i="3" s="1"/>
  <c r="M131" i="3" s="1"/>
  <c r="K132" i="3"/>
  <c r="L132" i="3" s="1"/>
  <c r="M132" i="3" s="1"/>
  <c r="K133" i="3"/>
  <c r="L133" i="3" s="1"/>
  <c r="M133" i="3" s="1"/>
  <c r="K134" i="3"/>
  <c r="L134" i="3" s="1"/>
  <c r="M134" i="3" s="1"/>
  <c r="K135" i="3"/>
  <c r="L135" i="3" s="1"/>
  <c r="M135" i="3" s="1"/>
  <c r="K136" i="3"/>
  <c r="L136" i="3" s="1"/>
  <c r="M136" i="3" s="1"/>
  <c r="K137" i="3"/>
  <c r="L137" i="3" s="1"/>
  <c r="M137" i="3" s="1"/>
  <c r="K138" i="3"/>
  <c r="L138" i="3" s="1"/>
  <c r="M138" i="3" s="1"/>
  <c r="K139" i="3"/>
  <c r="L139" i="3" s="1"/>
  <c r="M139" i="3" s="1"/>
  <c r="K140" i="3"/>
  <c r="L140" i="3" s="1"/>
  <c r="M140" i="3" s="1"/>
  <c r="K141" i="3"/>
  <c r="L141" i="3" s="1"/>
  <c r="M141" i="3" s="1"/>
  <c r="K142" i="3"/>
  <c r="L142" i="3" s="1"/>
  <c r="M142" i="3" s="1"/>
  <c r="K143" i="3"/>
  <c r="L143" i="3" s="1"/>
  <c r="M143" i="3" s="1"/>
  <c r="K144" i="3"/>
  <c r="L144" i="3" s="1"/>
  <c r="M144" i="3" s="1"/>
  <c r="K145" i="3"/>
  <c r="L145" i="3" s="1"/>
  <c r="M145" i="3" s="1"/>
  <c r="K146" i="3"/>
  <c r="L146" i="3" s="1"/>
  <c r="M146" i="3" s="1"/>
  <c r="K147" i="3"/>
  <c r="L147" i="3" s="1"/>
  <c r="M147" i="3" s="1"/>
  <c r="K148" i="3"/>
  <c r="L148" i="3" s="1"/>
  <c r="M148" i="3" s="1"/>
  <c r="K149" i="3"/>
  <c r="L149" i="3" s="1"/>
  <c r="M149" i="3" s="1"/>
  <c r="K150" i="3"/>
  <c r="L150" i="3" s="1"/>
  <c r="M150" i="3" s="1"/>
  <c r="K151" i="3"/>
  <c r="L151" i="3" s="1"/>
  <c r="M151" i="3" s="1"/>
  <c r="K152" i="3"/>
  <c r="L152" i="3" s="1"/>
  <c r="M152" i="3" s="1"/>
  <c r="K153" i="3"/>
  <c r="L153" i="3" s="1"/>
  <c r="M153" i="3" s="1"/>
  <c r="K154" i="3"/>
  <c r="L154" i="3" s="1"/>
  <c r="M154" i="3" s="1"/>
  <c r="K155" i="3"/>
  <c r="L155" i="3" s="1"/>
  <c r="M155" i="3" s="1"/>
  <c r="K156" i="3"/>
  <c r="L156" i="3" s="1"/>
  <c r="M156" i="3" s="1"/>
  <c r="K157" i="3"/>
  <c r="L157" i="3" s="1"/>
  <c r="M157" i="3" s="1"/>
  <c r="K158" i="3"/>
  <c r="L158" i="3" s="1"/>
  <c r="M158" i="3" s="1"/>
  <c r="K159" i="3"/>
  <c r="L159" i="3" s="1"/>
  <c r="M159" i="3" s="1"/>
  <c r="K160" i="3"/>
  <c r="L160" i="3" s="1"/>
  <c r="M160" i="3" s="1"/>
  <c r="K161" i="3"/>
  <c r="L161" i="3" s="1"/>
  <c r="M161" i="3" s="1"/>
  <c r="K162" i="3"/>
  <c r="L162" i="3" s="1"/>
  <c r="M162" i="3" s="1"/>
  <c r="K163" i="3"/>
  <c r="L163" i="3" s="1"/>
  <c r="M163" i="3" s="1"/>
  <c r="K164" i="3"/>
  <c r="L164" i="3" s="1"/>
  <c r="M164" i="3" s="1"/>
  <c r="K165" i="3"/>
  <c r="L165" i="3" s="1"/>
  <c r="M165" i="3" s="1"/>
  <c r="K166" i="3"/>
  <c r="L166" i="3" s="1"/>
  <c r="M166" i="3" s="1"/>
  <c r="K167" i="3"/>
  <c r="L167" i="3" s="1"/>
  <c r="M167" i="3" s="1"/>
  <c r="K168" i="3"/>
  <c r="L168" i="3" s="1"/>
  <c r="M168" i="3" s="1"/>
  <c r="K169" i="3"/>
  <c r="L169" i="3" s="1"/>
  <c r="M169" i="3" s="1"/>
  <c r="K170" i="3"/>
  <c r="L170" i="3" s="1"/>
  <c r="M170" i="3" s="1"/>
  <c r="K171" i="3"/>
  <c r="L171" i="3" s="1"/>
  <c r="M171" i="3" s="1"/>
  <c r="K172" i="3"/>
  <c r="L172" i="3" s="1"/>
  <c r="M172" i="3" s="1"/>
  <c r="K173" i="3"/>
  <c r="L173" i="3" s="1"/>
  <c r="M173" i="3" s="1"/>
  <c r="K174" i="3"/>
  <c r="L174" i="3" s="1"/>
  <c r="M174" i="3" s="1"/>
  <c r="K175" i="3"/>
  <c r="L175" i="3" s="1"/>
  <c r="M175" i="3" s="1"/>
  <c r="K176" i="3"/>
  <c r="L176" i="3" s="1"/>
  <c r="M176" i="3" s="1"/>
  <c r="K177" i="3"/>
  <c r="L177" i="3" s="1"/>
  <c r="M177" i="3" s="1"/>
  <c r="K178" i="3"/>
  <c r="L178" i="3" s="1"/>
  <c r="M178" i="3" s="1"/>
  <c r="K179" i="3"/>
  <c r="L179" i="3" s="1"/>
  <c r="M179" i="3" s="1"/>
  <c r="K180" i="3"/>
  <c r="L180" i="3" s="1"/>
  <c r="M180" i="3" s="1"/>
  <c r="K181" i="3"/>
  <c r="L181" i="3" s="1"/>
  <c r="M181" i="3" s="1"/>
  <c r="K182" i="3"/>
  <c r="L182" i="3" s="1"/>
  <c r="M182" i="3" s="1"/>
  <c r="K183" i="3"/>
  <c r="L183" i="3" s="1"/>
  <c r="M183" i="3" s="1"/>
  <c r="K184" i="3"/>
  <c r="L184" i="3" s="1"/>
  <c r="M184" i="3" s="1"/>
  <c r="K185" i="3"/>
  <c r="L185" i="3" s="1"/>
  <c r="M185" i="3" s="1"/>
  <c r="K186" i="3"/>
  <c r="L186" i="3" s="1"/>
  <c r="M186" i="3" s="1"/>
  <c r="K187" i="3"/>
  <c r="L187" i="3" s="1"/>
  <c r="M187" i="3" s="1"/>
  <c r="K188" i="3"/>
  <c r="L188" i="3" s="1"/>
  <c r="M188" i="3" s="1"/>
  <c r="K189" i="3"/>
  <c r="L189" i="3" s="1"/>
  <c r="M189" i="3" s="1"/>
  <c r="K190" i="3"/>
  <c r="L190" i="3" s="1"/>
  <c r="M190" i="3" s="1"/>
  <c r="K191" i="3"/>
  <c r="L191" i="3" s="1"/>
  <c r="M191" i="3" s="1"/>
  <c r="K192" i="3"/>
  <c r="L192" i="3" s="1"/>
  <c r="M192" i="3" s="1"/>
  <c r="K193" i="3"/>
  <c r="L193" i="3" s="1"/>
  <c r="M193" i="3" s="1"/>
  <c r="K194" i="3"/>
  <c r="L194" i="3" s="1"/>
  <c r="M194" i="3" s="1"/>
  <c r="K195" i="3"/>
  <c r="L195" i="3" s="1"/>
  <c r="M195" i="3" s="1"/>
  <c r="K196" i="3"/>
  <c r="L196" i="3" s="1"/>
  <c r="M196" i="3" s="1"/>
  <c r="K197" i="3"/>
  <c r="L197" i="3" s="1"/>
  <c r="M197" i="3" s="1"/>
  <c r="K198" i="3"/>
  <c r="L198" i="3" s="1"/>
  <c r="M198" i="3" s="1"/>
  <c r="K199" i="3"/>
  <c r="L199" i="3" s="1"/>
  <c r="M199" i="3" s="1"/>
  <c r="K200" i="3"/>
  <c r="L200" i="3" s="1"/>
  <c r="M200" i="3" s="1"/>
  <c r="K201" i="3"/>
  <c r="L201" i="3" s="1"/>
  <c r="M201" i="3" s="1"/>
  <c r="K202" i="3"/>
  <c r="L202" i="3" s="1"/>
  <c r="M202" i="3" s="1"/>
  <c r="K203" i="3"/>
  <c r="L203" i="3" s="1"/>
  <c r="M203" i="3" s="1"/>
  <c r="K204" i="3"/>
  <c r="L204" i="3" s="1"/>
  <c r="M204" i="3" s="1"/>
  <c r="K205" i="3"/>
  <c r="L205" i="3" s="1"/>
  <c r="M205" i="3" s="1"/>
  <c r="K206" i="3"/>
  <c r="L206" i="3" s="1"/>
  <c r="M206" i="3" s="1"/>
  <c r="K207" i="3"/>
  <c r="L207" i="3" s="1"/>
  <c r="M207" i="3" s="1"/>
  <c r="K208" i="3"/>
  <c r="L208" i="3" s="1"/>
  <c r="M208" i="3" s="1"/>
  <c r="K209" i="3"/>
  <c r="L209" i="3" s="1"/>
  <c r="M209" i="3" s="1"/>
  <c r="K210" i="3"/>
  <c r="L210" i="3" s="1"/>
  <c r="M210" i="3" s="1"/>
  <c r="K211" i="3"/>
  <c r="L211" i="3" s="1"/>
  <c r="M211" i="3" s="1"/>
  <c r="K212" i="3"/>
  <c r="L212" i="3" s="1"/>
  <c r="M212" i="3" s="1"/>
  <c r="K213" i="3"/>
  <c r="L213" i="3" s="1"/>
  <c r="M213" i="3" s="1"/>
  <c r="K214" i="3"/>
  <c r="L214" i="3" s="1"/>
  <c r="M214" i="3" s="1"/>
  <c r="K215" i="3"/>
  <c r="L215" i="3" s="1"/>
  <c r="M215" i="3" s="1"/>
  <c r="K216" i="3"/>
  <c r="L216" i="3" s="1"/>
  <c r="M216" i="3" s="1"/>
  <c r="K217" i="3"/>
  <c r="L217" i="3" s="1"/>
  <c r="M217" i="3" s="1"/>
  <c r="K218" i="3"/>
  <c r="L218" i="3" s="1"/>
  <c r="M218" i="3" s="1"/>
  <c r="K219" i="3"/>
  <c r="L219" i="3" s="1"/>
  <c r="M219" i="3" s="1"/>
  <c r="K220" i="3"/>
  <c r="L220" i="3" s="1"/>
  <c r="M220" i="3" s="1"/>
  <c r="K221" i="3"/>
  <c r="L221" i="3" s="1"/>
  <c r="M221" i="3" s="1"/>
  <c r="K222" i="3"/>
  <c r="L222" i="3" s="1"/>
  <c r="M222" i="3" s="1"/>
  <c r="K223" i="3"/>
  <c r="L223" i="3" s="1"/>
  <c r="M223" i="3" s="1"/>
  <c r="K224" i="3"/>
  <c r="L224" i="3" s="1"/>
  <c r="M224" i="3" s="1"/>
  <c r="K225" i="3"/>
  <c r="L225" i="3" s="1"/>
  <c r="M225" i="3" s="1"/>
  <c r="K226" i="3"/>
  <c r="L226" i="3" s="1"/>
  <c r="M226" i="3" s="1"/>
  <c r="K227" i="3"/>
  <c r="L227" i="3" s="1"/>
  <c r="M227" i="3" s="1"/>
  <c r="K228" i="3"/>
  <c r="L228" i="3" s="1"/>
  <c r="M228" i="3" s="1"/>
  <c r="K229" i="3"/>
  <c r="L229" i="3" s="1"/>
  <c r="M229" i="3" s="1"/>
  <c r="K230" i="3"/>
  <c r="L230" i="3" s="1"/>
  <c r="M230" i="3" s="1"/>
  <c r="K231" i="3"/>
  <c r="L231" i="3" s="1"/>
  <c r="M231" i="3" s="1"/>
  <c r="K232" i="3"/>
  <c r="L232" i="3" s="1"/>
  <c r="M232" i="3" s="1"/>
  <c r="K233" i="3"/>
  <c r="L233" i="3" s="1"/>
  <c r="M233" i="3" s="1"/>
  <c r="K234" i="3"/>
  <c r="L234" i="3" s="1"/>
  <c r="M234" i="3" s="1"/>
  <c r="K235" i="3"/>
  <c r="L235" i="3" s="1"/>
  <c r="M235" i="3" s="1"/>
  <c r="K236" i="3"/>
  <c r="L236" i="3" s="1"/>
  <c r="M236" i="3" s="1"/>
  <c r="K237" i="3"/>
  <c r="L237" i="3" s="1"/>
  <c r="M237" i="3" s="1"/>
  <c r="K238" i="3"/>
  <c r="L238" i="3" s="1"/>
  <c r="M238" i="3" s="1"/>
  <c r="K239" i="3"/>
  <c r="L239" i="3" s="1"/>
  <c r="M239" i="3" s="1"/>
  <c r="K240" i="3"/>
  <c r="L240" i="3" s="1"/>
  <c r="M240" i="3" s="1"/>
  <c r="K241" i="3"/>
  <c r="L241" i="3" s="1"/>
  <c r="M241" i="3" s="1"/>
  <c r="K242" i="3"/>
  <c r="L242" i="3" s="1"/>
  <c r="M242" i="3" s="1"/>
  <c r="K243" i="3"/>
  <c r="L243" i="3" s="1"/>
  <c r="M243" i="3" s="1"/>
  <c r="K244" i="3"/>
  <c r="L244" i="3" s="1"/>
  <c r="M244" i="3" s="1"/>
  <c r="K245" i="3"/>
  <c r="L245" i="3" s="1"/>
  <c r="M245" i="3" s="1"/>
  <c r="K246" i="3"/>
  <c r="L246" i="3" s="1"/>
  <c r="M246" i="3" s="1"/>
  <c r="K247" i="3"/>
  <c r="L247" i="3" s="1"/>
  <c r="M247" i="3" s="1"/>
  <c r="K248" i="3"/>
  <c r="L248" i="3" s="1"/>
  <c r="M248" i="3" s="1"/>
  <c r="K249" i="3"/>
  <c r="L249" i="3" s="1"/>
  <c r="M249" i="3" s="1"/>
  <c r="K250" i="3"/>
  <c r="L250" i="3" s="1"/>
  <c r="M250" i="3" s="1"/>
  <c r="K251" i="3"/>
  <c r="L251" i="3" s="1"/>
  <c r="M251" i="3" s="1"/>
  <c r="K252" i="3"/>
  <c r="L252" i="3" s="1"/>
  <c r="M252" i="3" s="1"/>
  <c r="K253" i="3"/>
  <c r="L253" i="3" s="1"/>
  <c r="M253" i="3" s="1"/>
  <c r="K254" i="3"/>
  <c r="L254" i="3" s="1"/>
  <c r="M254" i="3" s="1"/>
  <c r="K255" i="3"/>
  <c r="L255" i="3" s="1"/>
  <c r="M255" i="3" s="1"/>
  <c r="K256" i="3"/>
  <c r="L256" i="3" s="1"/>
  <c r="M256" i="3" s="1"/>
  <c r="K257" i="3"/>
  <c r="L257" i="3" s="1"/>
  <c r="M257" i="3" s="1"/>
  <c r="K258" i="3"/>
  <c r="L258" i="3" s="1"/>
  <c r="M258" i="3" s="1"/>
  <c r="K259" i="3"/>
  <c r="L259" i="3" s="1"/>
  <c r="M259" i="3" s="1"/>
  <c r="K260" i="3"/>
  <c r="L260" i="3" s="1"/>
  <c r="M260" i="3" s="1"/>
  <c r="K261" i="3"/>
  <c r="L261" i="3" s="1"/>
  <c r="M261" i="3" s="1"/>
  <c r="K262" i="3"/>
  <c r="L262" i="3" s="1"/>
  <c r="M262" i="3" s="1"/>
  <c r="K263" i="3"/>
  <c r="L263" i="3" s="1"/>
  <c r="M263" i="3" s="1"/>
  <c r="K264" i="3"/>
  <c r="L264" i="3" s="1"/>
  <c r="M264" i="3" s="1"/>
  <c r="K265" i="3"/>
  <c r="L265" i="3" s="1"/>
  <c r="M265" i="3" s="1"/>
  <c r="K266" i="3"/>
  <c r="L266" i="3" s="1"/>
  <c r="M266" i="3" s="1"/>
  <c r="K267" i="3"/>
  <c r="L267" i="3" s="1"/>
  <c r="M267" i="3" s="1"/>
  <c r="K268" i="3"/>
  <c r="L268" i="3" s="1"/>
  <c r="M268" i="3" s="1"/>
  <c r="K269" i="3"/>
  <c r="L269" i="3" s="1"/>
  <c r="M269" i="3" s="1"/>
  <c r="K270" i="3"/>
  <c r="L270" i="3" s="1"/>
  <c r="M270" i="3" s="1"/>
  <c r="K271" i="3"/>
  <c r="L271" i="3" s="1"/>
  <c r="M271" i="3" s="1"/>
  <c r="K272" i="3"/>
  <c r="L272" i="3" s="1"/>
  <c r="M272" i="3" s="1"/>
  <c r="K273" i="3"/>
  <c r="L273" i="3" s="1"/>
  <c r="M273" i="3" s="1"/>
  <c r="K274" i="3"/>
  <c r="L274" i="3" s="1"/>
  <c r="M274" i="3" s="1"/>
  <c r="K275" i="3"/>
  <c r="L275" i="3" s="1"/>
  <c r="M275" i="3" s="1"/>
  <c r="K276" i="3"/>
  <c r="L276" i="3" s="1"/>
  <c r="M276" i="3" s="1"/>
  <c r="K277" i="3"/>
  <c r="L277" i="3" s="1"/>
  <c r="M277" i="3" s="1"/>
  <c r="K278" i="3"/>
  <c r="L278" i="3" s="1"/>
  <c r="M278" i="3" s="1"/>
  <c r="K279" i="3"/>
  <c r="L279" i="3" s="1"/>
  <c r="M279" i="3" s="1"/>
  <c r="K280" i="3"/>
  <c r="L280" i="3" s="1"/>
  <c r="M280" i="3" s="1"/>
  <c r="K281" i="3"/>
  <c r="L281" i="3" s="1"/>
  <c r="M281" i="3" s="1"/>
  <c r="K282" i="3"/>
  <c r="L282" i="3" s="1"/>
  <c r="M282" i="3" s="1"/>
  <c r="K283" i="3"/>
  <c r="L283" i="3" s="1"/>
  <c r="M283" i="3" s="1"/>
  <c r="K284" i="3"/>
  <c r="L284" i="3" s="1"/>
  <c r="M284" i="3" s="1"/>
  <c r="K285" i="3"/>
  <c r="L285" i="3" s="1"/>
  <c r="M285" i="3" s="1"/>
  <c r="K286" i="3"/>
  <c r="L286" i="3" s="1"/>
  <c r="M286" i="3" s="1"/>
  <c r="K287" i="3"/>
  <c r="L287" i="3" s="1"/>
  <c r="M287" i="3" s="1"/>
  <c r="K288" i="3"/>
  <c r="L288" i="3" s="1"/>
  <c r="M288" i="3" s="1"/>
  <c r="K289" i="3"/>
  <c r="L289" i="3" s="1"/>
  <c r="M289" i="3" s="1"/>
  <c r="K290" i="3"/>
  <c r="L290" i="3" s="1"/>
  <c r="M290" i="3" s="1"/>
  <c r="K291" i="3"/>
  <c r="L291" i="3" s="1"/>
  <c r="M291" i="3" s="1"/>
  <c r="K292" i="3"/>
  <c r="L292" i="3" s="1"/>
  <c r="M292" i="3" s="1"/>
  <c r="K293" i="3"/>
  <c r="L293" i="3" s="1"/>
  <c r="M293" i="3" s="1"/>
  <c r="K294" i="3"/>
  <c r="L294" i="3" s="1"/>
  <c r="M294" i="3" s="1"/>
  <c r="K295" i="3"/>
  <c r="L295" i="3" s="1"/>
  <c r="M295" i="3" s="1"/>
  <c r="K296" i="3"/>
  <c r="L296" i="3" s="1"/>
  <c r="M296" i="3" s="1"/>
  <c r="K297" i="3"/>
  <c r="L297" i="3" s="1"/>
  <c r="M297" i="3" s="1"/>
  <c r="K298" i="3"/>
  <c r="L298" i="3" s="1"/>
  <c r="M298" i="3" s="1"/>
  <c r="K299" i="3"/>
  <c r="L299" i="3" s="1"/>
  <c r="M299" i="3" s="1"/>
  <c r="K300" i="3"/>
  <c r="L300" i="3" s="1"/>
  <c r="M300" i="3" s="1"/>
  <c r="K301" i="3"/>
  <c r="L301" i="3" s="1"/>
  <c r="M301" i="3" s="1"/>
  <c r="K302" i="3"/>
  <c r="L302" i="3" s="1"/>
  <c r="M302" i="3" s="1"/>
  <c r="K303" i="3"/>
  <c r="L303" i="3" s="1"/>
  <c r="M303" i="3" s="1"/>
  <c r="K304" i="3"/>
  <c r="L304" i="3" s="1"/>
  <c r="M304" i="3" s="1"/>
  <c r="K305" i="3"/>
  <c r="L305" i="3" s="1"/>
  <c r="M305" i="3" s="1"/>
  <c r="K306" i="3"/>
  <c r="L306" i="3" s="1"/>
  <c r="M306" i="3" s="1"/>
  <c r="K307" i="3"/>
  <c r="L307" i="3" s="1"/>
  <c r="M307" i="3" s="1"/>
  <c r="K308" i="3"/>
  <c r="L308" i="3" s="1"/>
  <c r="M308" i="3" s="1"/>
  <c r="K309" i="3"/>
  <c r="L309" i="3" s="1"/>
  <c r="M309" i="3" s="1"/>
  <c r="K310" i="3"/>
  <c r="L310" i="3" s="1"/>
  <c r="M310" i="3" s="1"/>
  <c r="K311" i="3"/>
  <c r="L311" i="3" s="1"/>
  <c r="M311" i="3" s="1"/>
  <c r="K312" i="3"/>
  <c r="L312" i="3" s="1"/>
  <c r="M312" i="3" s="1"/>
  <c r="K313" i="3"/>
  <c r="L313" i="3" s="1"/>
  <c r="M313" i="3" s="1"/>
  <c r="L2" i="3"/>
  <c r="M2" i="3" s="1"/>
  <c r="E2" i="13" s="1"/>
  <c r="D2" i="12"/>
  <c r="B2" i="12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2" i="7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2" i="3"/>
  <c r="L3" i="4"/>
  <c r="M3" i="4" s="1"/>
  <c r="L4" i="4"/>
  <c r="M4" i="4" s="1"/>
  <c r="L5" i="4"/>
  <c r="M5" i="4" s="1"/>
  <c r="L6" i="4"/>
  <c r="M6" i="4" s="1"/>
  <c r="L7" i="4"/>
  <c r="M7" i="4" s="1"/>
  <c r="L8" i="4"/>
  <c r="M8" i="4" s="1"/>
  <c r="L9" i="4"/>
  <c r="M9" i="4" s="1"/>
  <c r="L10" i="4"/>
  <c r="M10" i="4" s="1"/>
  <c r="L11" i="4"/>
  <c r="M11" i="4" s="1"/>
  <c r="L12" i="4"/>
  <c r="M12" i="4" s="1"/>
  <c r="L13" i="4"/>
  <c r="M13" i="4" s="1"/>
  <c r="L14" i="4"/>
  <c r="M14" i="4" s="1"/>
  <c r="L15" i="4"/>
  <c r="M15" i="4" s="1"/>
  <c r="L16" i="4"/>
  <c r="M16" i="4" s="1"/>
  <c r="L17" i="4"/>
  <c r="M17" i="4" s="1"/>
  <c r="L18" i="4"/>
  <c r="M18" i="4" s="1"/>
  <c r="L19" i="4"/>
  <c r="M19" i="4" s="1"/>
  <c r="L20" i="4"/>
  <c r="M20" i="4" s="1"/>
  <c r="L21" i="4"/>
  <c r="M21" i="4" s="1"/>
  <c r="L22" i="4"/>
  <c r="M22" i="4" s="1"/>
  <c r="L23" i="4"/>
  <c r="M23" i="4" s="1"/>
  <c r="L24" i="4"/>
  <c r="M24" i="4" s="1"/>
  <c r="L25" i="4"/>
  <c r="M25" i="4" s="1"/>
  <c r="L26" i="4"/>
  <c r="M26" i="4" s="1"/>
  <c r="L27" i="4"/>
  <c r="M27" i="4" s="1"/>
  <c r="L28" i="4"/>
  <c r="M28" i="4" s="1"/>
  <c r="L29" i="4"/>
  <c r="M29" i="4" s="1"/>
  <c r="L30" i="4"/>
  <c r="M30" i="4" s="1"/>
  <c r="L31" i="4"/>
  <c r="M31" i="4" s="1"/>
  <c r="L32" i="4"/>
  <c r="M32" i="4" s="1"/>
  <c r="L33" i="4"/>
  <c r="M33" i="4" s="1"/>
  <c r="L34" i="4"/>
  <c r="M34" i="4" s="1"/>
  <c r="L35" i="4"/>
  <c r="M35" i="4" s="1"/>
  <c r="L36" i="4"/>
  <c r="M36" i="4" s="1"/>
  <c r="L37" i="4"/>
  <c r="M37" i="4" s="1"/>
  <c r="L38" i="4"/>
  <c r="M38" i="4" s="1"/>
  <c r="L39" i="4"/>
  <c r="M39" i="4" s="1"/>
  <c r="L40" i="4"/>
  <c r="M40" i="4" s="1"/>
  <c r="L41" i="4"/>
  <c r="M41" i="4" s="1"/>
  <c r="L42" i="4"/>
  <c r="M42" i="4" s="1"/>
  <c r="L43" i="4"/>
  <c r="M43" i="4" s="1"/>
  <c r="L44" i="4"/>
  <c r="M44" i="4" s="1"/>
  <c r="L45" i="4"/>
  <c r="M45" i="4" s="1"/>
  <c r="L47" i="4"/>
  <c r="M47" i="4" s="1"/>
  <c r="L48" i="4"/>
  <c r="M48" i="4" s="1"/>
  <c r="L49" i="4"/>
  <c r="M49" i="4" s="1"/>
  <c r="L50" i="4"/>
  <c r="M50" i="4" s="1"/>
  <c r="L51" i="4"/>
  <c r="M51" i="4" s="1"/>
  <c r="L52" i="4"/>
  <c r="M52" i="4" s="1"/>
  <c r="L53" i="4"/>
  <c r="M53" i="4" s="1"/>
  <c r="L54" i="4"/>
  <c r="M54" i="4" s="1"/>
  <c r="L55" i="4"/>
  <c r="M55" i="4" s="1"/>
  <c r="L56" i="4"/>
  <c r="M56" i="4" s="1"/>
  <c r="L57" i="4"/>
  <c r="M57" i="4" s="1"/>
  <c r="L58" i="4"/>
  <c r="M58" i="4" s="1"/>
  <c r="L59" i="4"/>
  <c r="M59" i="4" s="1"/>
  <c r="L60" i="4"/>
  <c r="M60" i="4" s="1"/>
  <c r="L61" i="4"/>
  <c r="M61" i="4" s="1"/>
  <c r="L62" i="4"/>
  <c r="M62" i="4" s="1"/>
  <c r="L63" i="4"/>
  <c r="M63" i="4" s="1"/>
  <c r="L64" i="4"/>
  <c r="M64" i="4" s="1"/>
  <c r="L65" i="4"/>
  <c r="M65" i="4" s="1"/>
  <c r="L66" i="4"/>
  <c r="M66" i="4" s="1"/>
  <c r="L67" i="4"/>
  <c r="M67" i="4" s="1"/>
  <c r="L68" i="4"/>
  <c r="M68" i="4" s="1"/>
  <c r="L69" i="4"/>
  <c r="M69" i="4" s="1"/>
  <c r="L70" i="4"/>
  <c r="M70" i="4" s="1"/>
  <c r="L71" i="4"/>
  <c r="M71" i="4" s="1"/>
  <c r="L72" i="4"/>
  <c r="M72" i="4" s="1"/>
  <c r="L73" i="4"/>
  <c r="M73" i="4" s="1"/>
  <c r="L74" i="4"/>
  <c r="M74" i="4" s="1"/>
  <c r="L75" i="4"/>
  <c r="M75" i="4" s="1"/>
  <c r="L76" i="4"/>
  <c r="M76" i="4" s="1"/>
  <c r="L77" i="4"/>
  <c r="M77" i="4" s="1"/>
  <c r="L78" i="4"/>
  <c r="M78" i="4" s="1"/>
  <c r="L79" i="4"/>
  <c r="M79" i="4" s="1"/>
  <c r="L80" i="4"/>
  <c r="M80" i="4" s="1"/>
  <c r="L81" i="4"/>
  <c r="M81" i="4" s="1"/>
  <c r="L82" i="4"/>
  <c r="M82" i="4" s="1"/>
  <c r="L83" i="4"/>
  <c r="M83" i="4" s="1"/>
  <c r="L84" i="4"/>
  <c r="M84" i="4" s="1"/>
  <c r="L85" i="4"/>
  <c r="M85" i="4" s="1"/>
  <c r="L86" i="4"/>
  <c r="M86" i="4" s="1"/>
  <c r="L87" i="4"/>
  <c r="M87" i="4" s="1"/>
  <c r="L88" i="4"/>
  <c r="M88" i="4" s="1"/>
  <c r="L89" i="4"/>
  <c r="M89" i="4" s="1"/>
  <c r="L90" i="4"/>
  <c r="M90" i="4" s="1"/>
  <c r="L91" i="4"/>
  <c r="M91" i="4" s="1"/>
  <c r="L92" i="4"/>
  <c r="M92" i="4" s="1"/>
  <c r="L93" i="4"/>
  <c r="M93" i="4" s="1"/>
  <c r="L94" i="4"/>
  <c r="M94" i="4" s="1"/>
  <c r="L95" i="4"/>
  <c r="M95" i="4" s="1"/>
  <c r="L96" i="4"/>
  <c r="M96" i="4" s="1"/>
  <c r="L97" i="4"/>
  <c r="M97" i="4" s="1"/>
  <c r="L98" i="4"/>
  <c r="M98" i="4" s="1"/>
  <c r="L99" i="4"/>
  <c r="M99" i="4" s="1"/>
  <c r="L100" i="4"/>
  <c r="M100" i="4" s="1"/>
  <c r="L101" i="4"/>
  <c r="M101" i="4" s="1"/>
  <c r="L102" i="4"/>
  <c r="M102" i="4" s="1"/>
  <c r="L103" i="4"/>
  <c r="M103" i="4" s="1"/>
  <c r="L104" i="4"/>
  <c r="M104" i="4" s="1"/>
  <c r="L105" i="4"/>
  <c r="M105" i="4" s="1"/>
  <c r="L106" i="4"/>
  <c r="M106" i="4" s="1"/>
  <c r="L107" i="4"/>
  <c r="M107" i="4" s="1"/>
  <c r="L108" i="4"/>
  <c r="M108" i="4" s="1"/>
  <c r="L109" i="4"/>
  <c r="M109" i="4" s="1"/>
  <c r="L110" i="4"/>
  <c r="M110" i="4" s="1"/>
  <c r="L111" i="4"/>
  <c r="M111" i="4" s="1"/>
  <c r="L112" i="4"/>
  <c r="M112" i="4" s="1"/>
  <c r="L113" i="4"/>
  <c r="M113" i="4" s="1"/>
  <c r="L114" i="4"/>
  <c r="M114" i="4" s="1"/>
  <c r="L115" i="4"/>
  <c r="M115" i="4" s="1"/>
  <c r="L116" i="4"/>
  <c r="M116" i="4" s="1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M123" i="4" s="1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M129" i="4" s="1"/>
  <c r="L130" i="4"/>
  <c r="M130" i="4" s="1"/>
  <c r="L131" i="4"/>
  <c r="M131" i="4" s="1"/>
  <c r="L132" i="4"/>
  <c r="M132" i="4" s="1"/>
  <c r="L133" i="4"/>
  <c r="M133" i="4" s="1"/>
  <c r="L134" i="4"/>
  <c r="M134" i="4" s="1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M142" i="4" s="1"/>
  <c r="L143" i="4"/>
  <c r="M143" i="4" s="1"/>
  <c r="L144" i="4"/>
  <c r="M144" i="4" s="1"/>
  <c r="L145" i="4"/>
  <c r="M145" i="4" s="1"/>
  <c r="L146" i="4"/>
  <c r="M146" i="4" s="1"/>
  <c r="L147" i="4"/>
  <c r="M147" i="4" s="1"/>
  <c r="L148" i="4"/>
  <c r="M148" i="4" s="1"/>
  <c r="L149" i="4"/>
  <c r="M149" i="4" s="1"/>
  <c r="L150" i="4"/>
  <c r="M150" i="4" s="1"/>
  <c r="L151" i="4"/>
  <c r="M151" i="4" s="1"/>
  <c r="L152" i="4"/>
  <c r="M152" i="4" s="1"/>
  <c r="L153" i="4"/>
  <c r="M153" i="4" s="1"/>
  <c r="L154" i="4"/>
  <c r="M154" i="4" s="1"/>
  <c r="L2" i="4"/>
  <c r="M2" i="4" s="1"/>
  <c r="D14" i="11" a="1"/>
  <c r="D14" i="1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2" i="5"/>
  <c r="A14" i="11" a="1"/>
  <c r="A14" i="11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2" i="5"/>
  <c r="B2" i="15" s="1"/>
  <c r="P3" i="11"/>
  <c r="P4" i="11"/>
  <c r="P5" i="11"/>
  <c r="P6" i="11"/>
  <c r="P7" i="11"/>
  <c r="P8" i="11"/>
  <c r="P9" i="11"/>
  <c r="P2" i="11"/>
  <c r="C3" i="11"/>
  <c r="C4" i="11"/>
  <c r="C5" i="11"/>
  <c r="C2" i="1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2" i="1"/>
  <c r="F3" i="3"/>
  <c r="G3" i="3" s="1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22" i="3"/>
  <c r="G22" i="3" s="1"/>
  <c r="F23" i="3"/>
  <c r="G23" i="3" s="1"/>
  <c r="F24" i="3"/>
  <c r="G24" i="3" s="1"/>
  <c r="F25" i="3"/>
  <c r="G25" i="3" s="1"/>
  <c r="F26" i="3"/>
  <c r="G26" i="3" s="1"/>
  <c r="F27" i="3"/>
  <c r="G27" i="3" s="1"/>
  <c r="F28" i="3"/>
  <c r="G28" i="3" s="1"/>
  <c r="F29" i="3"/>
  <c r="G29" i="3" s="1"/>
  <c r="F30" i="3"/>
  <c r="G30" i="3" s="1"/>
  <c r="F31" i="3"/>
  <c r="G31" i="3" s="1"/>
  <c r="F32" i="3"/>
  <c r="G32" i="3" s="1"/>
  <c r="F33" i="3"/>
  <c r="G33" i="3" s="1"/>
  <c r="F34" i="3"/>
  <c r="G34" i="3" s="1"/>
  <c r="F35" i="3"/>
  <c r="G35" i="3" s="1"/>
  <c r="F36" i="3"/>
  <c r="G36" i="3" s="1"/>
  <c r="F37" i="3"/>
  <c r="G37" i="3" s="1"/>
  <c r="F38" i="3"/>
  <c r="G38" i="3" s="1"/>
  <c r="F39" i="3"/>
  <c r="G39" i="3" s="1"/>
  <c r="F40" i="3"/>
  <c r="G40" i="3" s="1"/>
  <c r="F41" i="3"/>
  <c r="G41" i="3" s="1"/>
  <c r="F42" i="3"/>
  <c r="G42" i="3" s="1"/>
  <c r="F43" i="3"/>
  <c r="G43" i="3" s="1"/>
  <c r="F44" i="3"/>
  <c r="G44" i="3" s="1"/>
  <c r="F45" i="3"/>
  <c r="G45" i="3" s="1"/>
  <c r="F46" i="3"/>
  <c r="G46" i="3" s="1"/>
  <c r="F47" i="3"/>
  <c r="G47" i="3" s="1"/>
  <c r="F48" i="3"/>
  <c r="G48" i="3" s="1"/>
  <c r="F49" i="3"/>
  <c r="G49" i="3" s="1"/>
  <c r="F50" i="3"/>
  <c r="G50" i="3" s="1"/>
  <c r="F51" i="3"/>
  <c r="G51" i="3" s="1"/>
  <c r="F52" i="3"/>
  <c r="G52" i="3" s="1"/>
  <c r="F53" i="3"/>
  <c r="G53" i="3" s="1"/>
  <c r="F54" i="3"/>
  <c r="G54" i="3" s="1"/>
  <c r="F55" i="3"/>
  <c r="G55" i="3" s="1"/>
  <c r="F56" i="3"/>
  <c r="G56" i="3" s="1"/>
  <c r="F57" i="3"/>
  <c r="G57" i="3" s="1"/>
  <c r="F58" i="3"/>
  <c r="G58" i="3" s="1"/>
  <c r="F59" i="3"/>
  <c r="G59" i="3" s="1"/>
  <c r="F60" i="3"/>
  <c r="G60" i="3" s="1"/>
  <c r="F61" i="3"/>
  <c r="G61" i="3" s="1"/>
  <c r="F62" i="3"/>
  <c r="G62" i="3" s="1"/>
  <c r="F63" i="3"/>
  <c r="G63" i="3" s="1"/>
  <c r="F64" i="3"/>
  <c r="G64" i="3" s="1"/>
  <c r="F65" i="3"/>
  <c r="G65" i="3" s="1"/>
  <c r="F66" i="3"/>
  <c r="G66" i="3" s="1"/>
  <c r="F67" i="3"/>
  <c r="G67" i="3" s="1"/>
  <c r="F68" i="3"/>
  <c r="G68" i="3" s="1"/>
  <c r="F69" i="3"/>
  <c r="G69" i="3" s="1"/>
  <c r="F70" i="3"/>
  <c r="G70" i="3" s="1"/>
  <c r="F71" i="3"/>
  <c r="G71" i="3" s="1"/>
  <c r="F72" i="3"/>
  <c r="G72" i="3" s="1"/>
  <c r="F73" i="3"/>
  <c r="G73" i="3" s="1"/>
  <c r="F74" i="3"/>
  <c r="G74" i="3" s="1"/>
  <c r="F75" i="3"/>
  <c r="G75" i="3" s="1"/>
  <c r="F76" i="3"/>
  <c r="G76" i="3" s="1"/>
  <c r="F77" i="3"/>
  <c r="G77" i="3" s="1"/>
  <c r="F78" i="3"/>
  <c r="G78" i="3" s="1"/>
  <c r="F79" i="3"/>
  <c r="G79" i="3" s="1"/>
  <c r="F80" i="3"/>
  <c r="G80" i="3" s="1"/>
  <c r="F81" i="3"/>
  <c r="G81" i="3" s="1"/>
  <c r="F82" i="3"/>
  <c r="G82" i="3" s="1"/>
  <c r="F83" i="3"/>
  <c r="G83" i="3" s="1"/>
  <c r="F84" i="3"/>
  <c r="G84" i="3" s="1"/>
  <c r="F85" i="3"/>
  <c r="G85" i="3" s="1"/>
  <c r="F86" i="3"/>
  <c r="G86" i="3" s="1"/>
  <c r="F87" i="3"/>
  <c r="G87" i="3" s="1"/>
  <c r="F88" i="3"/>
  <c r="G88" i="3" s="1"/>
  <c r="F89" i="3"/>
  <c r="G89" i="3" s="1"/>
  <c r="F90" i="3"/>
  <c r="G90" i="3" s="1"/>
  <c r="F91" i="3"/>
  <c r="G91" i="3" s="1"/>
  <c r="F92" i="3"/>
  <c r="G92" i="3" s="1"/>
  <c r="F93" i="3"/>
  <c r="G93" i="3" s="1"/>
  <c r="F94" i="3"/>
  <c r="G94" i="3" s="1"/>
  <c r="F95" i="3"/>
  <c r="G95" i="3" s="1"/>
  <c r="F96" i="3"/>
  <c r="G96" i="3" s="1"/>
  <c r="F97" i="3"/>
  <c r="G97" i="3" s="1"/>
  <c r="F98" i="3"/>
  <c r="G98" i="3" s="1"/>
  <c r="F99" i="3"/>
  <c r="G99" i="3" s="1"/>
  <c r="F100" i="3"/>
  <c r="G100" i="3" s="1"/>
  <c r="F101" i="3"/>
  <c r="G101" i="3" s="1"/>
  <c r="F102" i="3"/>
  <c r="G102" i="3" s="1"/>
  <c r="F103" i="3"/>
  <c r="G103" i="3" s="1"/>
  <c r="F104" i="3"/>
  <c r="G104" i="3" s="1"/>
  <c r="F105" i="3"/>
  <c r="G105" i="3" s="1"/>
  <c r="F106" i="3"/>
  <c r="G106" i="3" s="1"/>
  <c r="F107" i="3"/>
  <c r="G107" i="3" s="1"/>
  <c r="F108" i="3"/>
  <c r="G108" i="3" s="1"/>
  <c r="F109" i="3"/>
  <c r="G109" i="3" s="1"/>
  <c r="F110" i="3"/>
  <c r="G110" i="3" s="1"/>
  <c r="F111" i="3"/>
  <c r="G111" i="3" s="1"/>
  <c r="F112" i="3"/>
  <c r="G112" i="3" s="1"/>
  <c r="F113" i="3"/>
  <c r="G113" i="3" s="1"/>
  <c r="F114" i="3"/>
  <c r="G114" i="3" s="1"/>
  <c r="F115" i="3"/>
  <c r="G115" i="3" s="1"/>
  <c r="F116" i="3"/>
  <c r="G116" i="3" s="1"/>
  <c r="F117" i="3"/>
  <c r="G117" i="3" s="1"/>
  <c r="F118" i="3"/>
  <c r="G118" i="3" s="1"/>
  <c r="F119" i="3"/>
  <c r="G119" i="3" s="1"/>
  <c r="F120" i="3"/>
  <c r="G120" i="3" s="1"/>
  <c r="F121" i="3"/>
  <c r="G121" i="3" s="1"/>
  <c r="F122" i="3"/>
  <c r="G122" i="3" s="1"/>
  <c r="F123" i="3"/>
  <c r="G123" i="3" s="1"/>
  <c r="F124" i="3"/>
  <c r="G124" i="3" s="1"/>
  <c r="F125" i="3"/>
  <c r="G125" i="3" s="1"/>
  <c r="F126" i="3"/>
  <c r="G126" i="3" s="1"/>
  <c r="F127" i="3"/>
  <c r="G127" i="3" s="1"/>
  <c r="F128" i="3"/>
  <c r="G128" i="3" s="1"/>
  <c r="F129" i="3"/>
  <c r="G129" i="3" s="1"/>
  <c r="F130" i="3"/>
  <c r="G130" i="3" s="1"/>
  <c r="F131" i="3"/>
  <c r="G131" i="3" s="1"/>
  <c r="F132" i="3"/>
  <c r="G132" i="3" s="1"/>
  <c r="F133" i="3"/>
  <c r="G133" i="3" s="1"/>
  <c r="F134" i="3"/>
  <c r="G134" i="3" s="1"/>
  <c r="F135" i="3"/>
  <c r="G135" i="3" s="1"/>
  <c r="F136" i="3"/>
  <c r="G136" i="3" s="1"/>
  <c r="F137" i="3"/>
  <c r="G137" i="3" s="1"/>
  <c r="F138" i="3"/>
  <c r="G138" i="3" s="1"/>
  <c r="F139" i="3"/>
  <c r="G139" i="3" s="1"/>
  <c r="F140" i="3"/>
  <c r="G140" i="3" s="1"/>
  <c r="F141" i="3"/>
  <c r="G141" i="3" s="1"/>
  <c r="F142" i="3"/>
  <c r="G142" i="3" s="1"/>
  <c r="F143" i="3"/>
  <c r="G143" i="3" s="1"/>
  <c r="F144" i="3"/>
  <c r="G144" i="3" s="1"/>
  <c r="F145" i="3"/>
  <c r="G145" i="3" s="1"/>
  <c r="F146" i="3"/>
  <c r="G146" i="3" s="1"/>
  <c r="F147" i="3"/>
  <c r="G147" i="3" s="1"/>
  <c r="F148" i="3"/>
  <c r="G148" i="3" s="1"/>
  <c r="F149" i="3"/>
  <c r="G149" i="3" s="1"/>
  <c r="F150" i="3"/>
  <c r="G150" i="3" s="1"/>
  <c r="F151" i="3"/>
  <c r="G151" i="3" s="1"/>
  <c r="F152" i="3"/>
  <c r="G152" i="3" s="1"/>
  <c r="F153" i="3"/>
  <c r="G153" i="3" s="1"/>
  <c r="F154" i="3"/>
  <c r="G154" i="3" s="1"/>
  <c r="F155" i="3"/>
  <c r="G155" i="3" s="1"/>
  <c r="F156" i="3"/>
  <c r="G156" i="3" s="1"/>
  <c r="F157" i="3"/>
  <c r="G157" i="3" s="1"/>
  <c r="F158" i="3"/>
  <c r="G158" i="3" s="1"/>
  <c r="F159" i="3"/>
  <c r="G159" i="3" s="1"/>
  <c r="F160" i="3"/>
  <c r="G160" i="3" s="1"/>
  <c r="F161" i="3"/>
  <c r="G161" i="3" s="1"/>
  <c r="F162" i="3"/>
  <c r="G162" i="3" s="1"/>
  <c r="F163" i="3"/>
  <c r="G163" i="3" s="1"/>
  <c r="F164" i="3"/>
  <c r="G164" i="3" s="1"/>
  <c r="F165" i="3"/>
  <c r="G165" i="3" s="1"/>
  <c r="F166" i="3"/>
  <c r="G166" i="3" s="1"/>
  <c r="F167" i="3"/>
  <c r="G167" i="3" s="1"/>
  <c r="F168" i="3"/>
  <c r="G168" i="3" s="1"/>
  <c r="F169" i="3"/>
  <c r="G169" i="3" s="1"/>
  <c r="F170" i="3"/>
  <c r="G170" i="3" s="1"/>
  <c r="F171" i="3"/>
  <c r="G171" i="3" s="1"/>
  <c r="F172" i="3"/>
  <c r="G172" i="3" s="1"/>
  <c r="F173" i="3"/>
  <c r="G173" i="3" s="1"/>
  <c r="F174" i="3"/>
  <c r="G174" i="3" s="1"/>
  <c r="F175" i="3"/>
  <c r="G175" i="3" s="1"/>
  <c r="F176" i="3"/>
  <c r="G176" i="3" s="1"/>
  <c r="F177" i="3"/>
  <c r="G177" i="3" s="1"/>
  <c r="F178" i="3"/>
  <c r="G178" i="3" s="1"/>
  <c r="F179" i="3"/>
  <c r="G179" i="3" s="1"/>
  <c r="F180" i="3"/>
  <c r="G180" i="3" s="1"/>
  <c r="F181" i="3"/>
  <c r="G181" i="3" s="1"/>
  <c r="F182" i="3"/>
  <c r="G182" i="3" s="1"/>
  <c r="F183" i="3"/>
  <c r="G183" i="3" s="1"/>
  <c r="F184" i="3"/>
  <c r="G184" i="3" s="1"/>
  <c r="F185" i="3"/>
  <c r="G185" i="3" s="1"/>
  <c r="F186" i="3"/>
  <c r="G186" i="3" s="1"/>
  <c r="F187" i="3"/>
  <c r="G187" i="3" s="1"/>
  <c r="F188" i="3"/>
  <c r="G188" i="3" s="1"/>
  <c r="F189" i="3"/>
  <c r="G189" i="3" s="1"/>
  <c r="F190" i="3"/>
  <c r="G190" i="3" s="1"/>
  <c r="F191" i="3"/>
  <c r="G191" i="3" s="1"/>
  <c r="F192" i="3"/>
  <c r="G192" i="3" s="1"/>
  <c r="F193" i="3"/>
  <c r="G193" i="3" s="1"/>
  <c r="F194" i="3"/>
  <c r="G194" i="3" s="1"/>
  <c r="F195" i="3"/>
  <c r="G195" i="3" s="1"/>
  <c r="F196" i="3"/>
  <c r="G196" i="3" s="1"/>
  <c r="F197" i="3"/>
  <c r="G197" i="3" s="1"/>
  <c r="F198" i="3"/>
  <c r="G198" i="3" s="1"/>
  <c r="F199" i="3"/>
  <c r="G199" i="3" s="1"/>
  <c r="F200" i="3"/>
  <c r="G200" i="3" s="1"/>
  <c r="F201" i="3"/>
  <c r="G201" i="3" s="1"/>
  <c r="F202" i="3"/>
  <c r="G202" i="3" s="1"/>
  <c r="F203" i="3"/>
  <c r="G203" i="3" s="1"/>
  <c r="F204" i="3"/>
  <c r="G204" i="3" s="1"/>
  <c r="F205" i="3"/>
  <c r="G205" i="3" s="1"/>
  <c r="F206" i="3"/>
  <c r="G206" i="3" s="1"/>
  <c r="F207" i="3"/>
  <c r="G207" i="3" s="1"/>
  <c r="F208" i="3"/>
  <c r="G208" i="3" s="1"/>
  <c r="F209" i="3"/>
  <c r="G209" i="3" s="1"/>
  <c r="F210" i="3"/>
  <c r="G210" i="3" s="1"/>
  <c r="F211" i="3"/>
  <c r="G211" i="3" s="1"/>
  <c r="F212" i="3"/>
  <c r="G212" i="3" s="1"/>
  <c r="F213" i="3"/>
  <c r="G213" i="3" s="1"/>
  <c r="F214" i="3"/>
  <c r="G214" i="3" s="1"/>
  <c r="F215" i="3"/>
  <c r="G215" i="3" s="1"/>
  <c r="F216" i="3"/>
  <c r="G216" i="3" s="1"/>
  <c r="F217" i="3"/>
  <c r="G217" i="3" s="1"/>
  <c r="F218" i="3"/>
  <c r="G218" i="3" s="1"/>
  <c r="F219" i="3"/>
  <c r="G219" i="3" s="1"/>
  <c r="F220" i="3"/>
  <c r="G220" i="3" s="1"/>
  <c r="F221" i="3"/>
  <c r="G221" i="3" s="1"/>
  <c r="F222" i="3"/>
  <c r="G222" i="3" s="1"/>
  <c r="F223" i="3"/>
  <c r="G223" i="3" s="1"/>
  <c r="F224" i="3"/>
  <c r="G224" i="3" s="1"/>
  <c r="F225" i="3"/>
  <c r="G225" i="3" s="1"/>
  <c r="F226" i="3"/>
  <c r="G226" i="3" s="1"/>
  <c r="F227" i="3"/>
  <c r="G227" i="3" s="1"/>
  <c r="F228" i="3"/>
  <c r="G228" i="3" s="1"/>
  <c r="F229" i="3"/>
  <c r="G229" i="3" s="1"/>
  <c r="F230" i="3"/>
  <c r="G230" i="3" s="1"/>
  <c r="F231" i="3"/>
  <c r="G231" i="3" s="1"/>
  <c r="F232" i="3"/>
  <c r="G232" i="3" s="1"/>
  <c r="F233" i="3"/>
  <c r="G233" i="3" s="1"/>
  <c r="F234" i="3"/>
  <c r="G234" i="3" s="1"/>
  <c r="F235" i="3"/>
  <c r="G235" i="3" s="1"/>
  <c r="F236" i="3"/>
  <c r="G236" i="3" s="1"/>
  <c r="F237" i="3"/>
  <c r="G237" i="3" s="1"/>
  <c r="F238" i="3"/>
  <c r="G238" i="3" s="1"/>
  <c r="F239" i="3"/>
  <c r="G239" i="3" s="1"/>
  <c r="F240" i="3"/>
  <c r="G240" i="3" s="1"/>
  <c r="F241" i="3"/>
  <c r="G241" i="3" s="1"/>
  <c r="F242" i="3"/>
  <c r="G242" i="3" s="1"/>
  <c r="F243" i="3"/>
  <c r="G243" i="3" s="1"/>
  <c r="F244" i="3"/>
  <c r="G244" i="3" s="1"/>
  <c r="F245" i="3"/>
  <c r="G245" i="3" s="1"/>
  <c r="F246" i="3"/>
  <c r="G246" i="3" s="1"/>
  <c r="F247" i="3"/>
  <c r="G247" i="3" s="1"/>
  <c r="F248" i="3"/>
  <c r="G248" i="3" s="1"/>
  <c r="F249" i="3"/>
  <c r="G249" i="3" s="1"/>
  <c r="F250" i="3"/>
  <c r="G250" i="3" s="1"/>
  <c r="F251" i="3"/>
  <c r="G251" i="3" s="1"/>
  <c r="F252" i="3"/>
  <c r="G252" i="3" s="1"/>
  <c r="F253" i="3"/>
  <c r="G253" i="3" s="1"/>
  <c r="F254" i="3"/>
  <c r="G254" i="3" s="1"/>
  <c r="F255" i="3"/>
  <c r="G255" i="3" s="1"/>
  <c r="F256" i="3"/>
  <c r="G256" i="3" s="1"/>
  <c r="F257" i="3"/>
  <c r="G257" i="3" s="1"/>
  <c r="F258" i="3"/>
  <c r="G258" i="3" s="1"/>
  <c r="F259" i="3"/>
  <c r="G259" i="3" s="1"/>
  <c r="F260" i="3"/>
  <c r="G260" i="3" s="1"/>
  <c r="F261" i="3"/>
  <c r="G261" i="3" s="1"/>
  <c r="F262" i="3"/>
  <c r="G262" i="3" s="1"/>
  <c r="F263" i="3"/>
  <c r="G263" i="3" s="1"/>
  <c r="F264" i="3"/>
  <c r="G264" i="3" s="1"/>
  <c r="F265" i="3"/>
  <c r="G265" i="3" s="1"/>
  <c r="F266" i="3"/>
  <c r="G266" i="3" s="1"/>
  <c r="F267" i="3"/>
  <c r="G267" i="3" s="1"/>
  <c r="F268" i="3"/>
  <c r="G268" i="3" s="1"/>
  <c r="F269" i="3"/>
  <c r="G269" i="3" s="1"/>
  <c r="F270" i="3"/>
  <c r="G270" i="3" s="1"/>
  <c r="F271" i="3"/>
  <c r="G271" i="3" s="1"/>
  <c r="F272" i="3"/>
  <c r="G272" i="3" s="1"/>
  <c r="F273" i="3"/>
  <c r="G273" i="3" s="1"/>
  <c r="F274" i="3"/>
  <c r="G274" i="3" s="1"/>
  <c r="F275" i="3"/>
  <c r="G275" i="3" s="1"/>
  <c r="F276" i="3"/>
  <c r="G276" i="3" s="1"/>
  <c r="F277" i="3"/>
  <c r="G277" i="3" s="1"/>
  <c r="F278" i="3"/>
  <c r="G278" i="3" s="1"/>
  <c r="F279" i="3"/>
  <c r="G279" i="3" s="1"/>
  <c r="F280" i="3"/>
  <c r="G280" i="3" s="1"/>
  <c r="F281" i="3"/>
  <c r="G281" i="3" s="1"/>
  <c r="F282" i="3"/>
  <c r="G282" i="3" s="1"/>
  <c r="F283" i="3"/>
  <c r="G283" i="3" s="1"/>
  <c r="F284" i="3"/>
  <c r="G284" i="3" s="1"/>
  <c r="F285" i="3"/>
  <c r="G285" i="3" s="1"/>
  <c r="F286" i="3"/>
  <c r="G286" i="3" s="1"/>
  <c r="F287" i="3"/>
  <c r="G287" i="3" s="1"/>
  <c r="F288" i="3"/>
  <c r="G288" i="3" s="1"/>
  <c r="F289" i="3"/>
  <c r="G289" i="3" s="1"/>
  <c r="F290" i="3"/>
  <c r="G290" i="3" s="1"/>
  <c r="F291" i="3"/>
  <c r="G291" i="3" s="1"/>
  <c r="F292" i="3"/>
  <c r="G292" i="3" s="1"/>
  <c r="F293" i="3"/>
  <c r="G293" i="3" s="1"/>
  <c r="F294" i="3"/>
  <c r="G294" i="3" s="1"/>
  <c r="F295" i="3"/>
  <c r="G295" i="3" s="1"/>
  <c r="F296" i="3"/>
  <c r="G296" i="3" s="1"/>
  <c r="F297" i="3"/>
  <c r="G297" i="3" s="1"/>
  <c r="F298" i="3"/>
  <c r="G298" i="3" s="1"/>
  <c r="F299" i="3"/>
  <c r="G299" i="3" s="1"/>
  <c r="F300" i="3"/>
  <c r="G300" i="3" s="1"/>
  <c r="F301" i="3"/>
  <c r="G301" i="3" s="1"/>
  <c r="F302" i="3"/>
  <c r="G302" i="3" s="1"/>
  <c r="F303" i="3"/>
  <c r="G303" i="3" s="1"/>
  <c r="F304" i="3"/>
  <c r="G304" i="3" s="1"/>
  <c r="F305" i="3"/>
  <c r="G305" i="3" s="1"/>
  <c r="F306" i="3"/>
  <c r="G306" i="3" s="1"/>
  <c r="F307" i="3"/>
  <c r="G307" i="3" s="1"/>
  <c r="F308" i="3"/>
  <c r="G308" i="3" s="1"/>
  <c r="F309" i="3"/>
  <c r="G309" i="3" s="1"/>
  <c r="F310" i="3"/>
  <c r="G310" i="3" s="1"/>
  <c r="F311" i="3"/>
  <c r="G311" i="3" s="1"/>
  <c r="F312" i="3"/>
  <c r="G312" i="3" s="1"/>
  <c r="F313" i="3"/>
  <c r="G313" i="3" s="1"/>
  <c r="F2" i="3"/>
  <c r="G2" i="3" s="1"/>
  <c r="K4" i="11"/>
  <c r="J3" i="4"/>
  <c r="K3" i="4" s="1"/>
  <c r="J4" i="4"/>
  <c r="K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K11" i="4" s="1"/>
  <c r="J12" i="4"/>
  <c r="K12" i="4" s="1"/>
  <c r="J13" i="4"/>
  <c r="K13" i="4" s="1"/>
  <c r="J14" i="4"/>
  <c r="K14" i="4" s="1"/>
  <c r="J15" i="4"/>
  <c r="K15" i="4" s="1"/>
  <c r="J16" i="4"/>
  <c r="K16" i="4" s="1"/>
  <c r="J17" i="4"/>
  <c r="K17" i="4" s="1"/>
  <c r="J18" i="4"/>
  <c r="K18" i="4" s="1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5" i="4"/>
  <c r="K25" i="4" s="1"/>
  <c r="J26" i="4"/>
  <c r="K26" i="4" s="1"/>
  <c r="J27" i="4"/>
  <c r="K27" i="4" s="1"/>
  <c r="J28" i="4"/>
  <c r="K28" i="4" s="1"/>
  <c r="J29" i="4"/>
  <c r="K29" i="4" s="1"/>
  <c r="J30" i="4"/>
  <c r="K30" i="4" s="1"/>
  <c r="J31" i="4"/>
  <c r="K31" i="4" s="1"/>
  <c r="J32" i="4"/>
  <c r="K32" i="4" s="1"/>
  <c r="J33" i="4"/>
  <c r="K33" i="4" s="1"/>
  <c r="J34" i="4"/>
  <c r="K34" i="4" s="1"/>
  <c r="J35" i="4"/>
  <c r="K35" i="4" s="1"/>
  <c r="J36" i="4"/>
  <c r="K36" i="4" s="1"/>
  <c r="J37" i="4"/>
  <c r="K37" i="4" s="1"/>
  <c r="J38" i="4"/>
  <c r="K38" i="4" s="1"/>
  <c r="J39" i="4"/>
  <c r="K39" i="4" s="1"/>
  <c r="J40" i="4"/>
  <c r="K40" i="4" s="1"/>
  <c r="J41" i="4"/>
  <c r="K41" i="4" s="1"/>
  <c r="J42" i="4"/>
  <c r="K42" i="4" s="1"/>
  <c r="J43" i="4"/>
  <c r="K43" i="4" s="1"/>
  <c r="J44" i="4"/>
  <c r="K44" i="4" s="1"/>
  <c r="J45" i="4"/>
  <c r="K45" i="4" s="1"/>
  <c r="J46" i="4"/>
  <c r="K46" i="4" s="1"/>
  <c r="J47" i="4"/>
  <c r="K47" i="4" s="1"/>
  <c r="J48" i="4"/>
  <c r="K48" i="4" s="1"/>
  <c r="J49" i="4"/>
  <c r="K49" i="4" s="1"/>
  <c r="J50" i="4"/>
  <c r="K50" i="4" s="1"/>
  <c r="J51" i="4"/>
  <c r="K51" i="4" s="1"/>
  <c r="J52" i="4"/>
  <c r="K52" i="4" s="1"/>
  <c r="J53" i="4"/>
  <c r="K53" i="4" s="1"/>
  <c r="J54" i="4"/>
  <c r="K54" i="4" s="1"/>
  <c r="J55" i="4"/>
  <c r="K55" i="4" s="1"/>
  <c r="J56" i="4"/>
  <c r="K56" i="4" s="1"/>
  <c r="J57" i="4"/>
  <c r="K57" i="4" s="1"/>
  <c r="J58" i="4"/>
  <c r="K58" i="4" s="1"/>
  <c r="J59" i="4"/>
  <c r="K59" i="4" s="1"/>
  <c r="J60" i="4"/>
  <c r="K60" i="4" s="1"/>
  <c r="J61" i="4"/>
  <c r="K61" i="4" s="1"/>
  <c r="J62" i="4"/>
  <c r="K62" i="4" s="1"/>
  <c r="J63" i="4"/>
  <c r="K63" i="4" s="1"/>
  <c r="J64" i="4"/>
  <c r="K64" i="4" s="1"/>
  <c r="J65" i="4"/>
  <c r="K65" i="4" s="1"/>
  <c r="J66" i="4"/>
  <c r="K66" i="4" s="1"/>
  <c r="J67" i="4"/>
  <c r="K67" i="4" s="1"/>
  <c r="J68" i="4"/>
  <c r="K68" i="4" s="1"/>
  <c r="J69" i="4"/>
  <c r="K69" i="4" s="1"/>
  <c r="J70" i="4"/>
  <c r="K70" i="4" s="1"/>
  <c r="J71" i="4"/>
  <c r="K71" i="4" s="1"/>
  <c r="J72" i="4"/>
  <c r="K72" i="4" s="1"/>
  <c r="J73" i="4"/>
  <c r="K73" i="4" s="1"/>
  <c r="J74" i="4"/>
  <c r="K74" i="4" s="1"/>
  <c r="J75" i="4"/>
  <c r="K75" i="4" s="1"/>
  <c r="J76" i="4"/>
  <c r="K76" i="4" s="1"/>
  <c r="J77" i="4"/>
  <c r="K77" i="4" s="1"/>
  <c r="J78" i="4"/>
  <c r="K78" i="4" s="1"/>
  <c r="J79" i="4"/>
  <c r="K79" i="4" s="1"/>
  <c r="J80" i="4"/>
  <c r="K80" i="4" s="1"/>
  <c r="J81" i="4"/>
  <c r="K81" i="4" s="1"/>
  <c r="J82" i="4"/>
  <c r="K82" i="4" s="1"/>
  <c r="J83" i="4"/>
  <c r="K83" i="4" s="1"/>
  <c r="J84" i="4"/>
  <c r="K84" i="4" s="1"/>
  <c r="J85" i="4"/>
  <c r="K85" i="4" s="1"/>
  <c r="J86" i="4"/>
  <c r="K86" i="4" s="1"/>
  <c r="J87" i="4"/>
  <c r="K87" i="4" s="1"/>
  <c r="J88" i="4"/>
  <c r="K88" i="4" s="1"/>
  <c r="J89" i="4"/>
  <c r="K89" i="4" s="1"/>
  <c r="J90" i="4"/>
  <c r="K90" i="4" s="1"/>
  <c r="J91" i="4"/>
  <c r="K91" i="4" s="1"/>
  <c r="J92" i="4"/>
  <c r="K92" i="4" s="1"/>
  <c r="J93" i="4"/>
  <c r="K93" i="4" s="1"/>
  <c r="J94" i="4"/>
  <c r="K94" i="4" s="1"/>
  <c r="J95" i="4"/>
  <c r="K95" i="4" s="1"/>
  <c r="J96" i="4"/>
  <c r="K96" i="4" s="1"/>
  <c r="J97" i="4"/>
  <c r="K97" i="4" s="1"/>
  <c r="J98" i="4"/>
  <c r="K98" i="4" s="1"/>
  <c r="J99" i="4"/>
  <c r="K99" i="4" s="1"/>
  <c r="J100" i="4"/>
  <c r="K100" i="4" s="1"/>
  <c r="J101" i="4"/>
  <c r="K101" i="4" s="1"/>
  <c r="J102" i="4"/>
  <c r="K102" i="4" s="1"/>
  <c r="J103" i="4"/>
  <c r="K103" i="4" s="1"/>
  <c r="J104" i="4"/>
  <c r="K104" i="4" s="1"/>
  <c r="J105" i="4"/>
  <c r="K105" i="4" s="1"/>
  <c r="J106" i="4"/>
  <c r="K106" i="4" s="1"/>
  <c r="J107" i="4"/>
  <c r="K107" i="4" s="1"/>
  <c r="J108" i="4"/>
  <c r="K108" i="4" s="1"/>
  <c r="J109" i="4"/>
  <c r="K109" i="4" s="1"/>
  <c r="J110" i="4"/>
  <c r="K110" i="4" s="1"/>
  <c r="J111" i="4"/>
  <c r="K111" i="4" s="1"/>
  <c r="J112" i="4"/>
  <c r="K112" i="4" s="1"/>
  <c r="J113" i="4"/>
  <c r="K113" i="4" s="1"/>
  <c r="J114" i="4"/>
  <c r="K114" i="4" s="1"/>
  <c r="J115" i="4"/>
  <c r="K115" i="4" s="1"/>
  <c r="J116" i="4"/>
  <c r="K116" i="4" s="1"/>
  <c r="J117" i="4"/>
  <c r="K117" i="4" s="1"/>
  <c r="J118" i="4"/>
  <c r="K118" i="4" s="1"/>
  <c r="J119" i="4"/>
  <c r="K119" i="4" s="1"/>
  <c r="J120" i="4"/>
  <c r="K120" i="4" s="1"/>
  <c r="J121" i="4"/>
  <c r="K121" i="4" s="1"/>
  <c r="J122" i="4"/>
  <c r="K122" i="4" s="1"/>
  <c r="J123" i="4"/>
  <c r="K123" i="4" s="1"/>
  <c r="J124" i="4"/>
  <c r="K124" i="4" s="1"/>
  <c r="J125" i="4"/>
  <c r="K125" i="4" s="1"/>
  <c r="J126" i="4"/>
  <c r="K126" i="4" s="1"/>
  <c r="J127" i="4"/>
  <c r="K127" i="4" s="1"/>
  <c r="J128" i="4"/>
  <c r="K128" i="4" s="1"/>
  <c r="J129" i="4"/>
  <c r="K129" i="4" s="1"/>
  <c r="J130" i="4"/>
  <c r="K130" i="4" s="1"/>
  <c r="J131" i="4"/>
  <c r="K131" i="4" s="1"/>
  <c r="J132" i="4"/>
  <c r="K132" i="4" s="1"/>
  <c r="J133" i="4"/>
  <c r="K133" i="4" s="1"/>
  <c r="J134" i="4"/>
  <c r="K134" i="4" s="1"/>
  <c r="J135" i="4"/>
  <c r="K135" i="4" s="1"/>
  <c r="J136" i="4"/>
  <c r="K136" i="4" s="1"/>
  <c r="J137" i="4"/>
  <c r="K137" i="4" s="1"/>
  <c r="J138" i="4"/>
  <c r="K138" i="4" s="1"/>
  <c r="J139" i="4"/>
  <c r="K139" i="4" s="1"/>
  <c r="J140" i="4"/>
  <c r="K140" i="4" s="1"/>
  <c r="J141" i="4"/>
  <c r="K141" i="4" s="1"/>
  <c r="J142" i="4"/>
  <c r="K142" i="4" s="1"/>
  <c r="J143" i="4"/>
  <c r="K143" i="4" s="1"/>
  <c r="J144" i="4"/>
  <c r="K144" i="4" s="1"/>
  <c r="J145" i="4"/>
  <c r="K145" i="4" s="1"/>
  <c r="J146" i="4"/>
  <c r="K146" i="4" s="1"/>
  <c r="J147" i="4"/>
  <c r="K147" i="4" s="1"/>
  <c r="J148" i="4"/>
  <c r="K148" i="4" s="1"/>
  <c r="J149" i="4"/>
  <c r="K149" i="4" s="1"/>
  <c r="J150" i="4"/>
  <c r="K150" i="4" s="1"/>
  <c r="J151" i="4"/>
  <c r="K151" i="4" s="1"/>
  <c r="J152" i="4"/>
  <c r="K152" i="4" s="1"/>
  <c r="J153" i="4"/>
  <c r="K153" i="4" s="1"/>
  <c r="J154" i="4"/>
  <c r="K154" i="4" s="1"/>
  <c r="J2" i="4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2" i="1"/>
  <c r="A2" i="11" a="1"/>
  <c r="A2" i="1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2" i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2" i="4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2" i="2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3" i="7"/>
  <c r="E2" i="7"/>
  <c r="I3" i="1"/>
  <c r="Q3" i="1" s="1"/>
  <c r="I4" i="1"/>
  <c r="Q4" i="1" s="1"/>
  <c r="I5" i="1"/>
  <c r="Q5" i="1" s="1"/>
  <c r="I6" i="1"/>
  <c r="Q6" i="1" s="1"/>
  <c r="I7" i="1"/>
  <c r="Q7" i="1" s="1"/>
  <c r="I8" i="1"/>
  <c r="Q8" i="1" s="1"/>
  <c r="I9" i="1"/>
  <c r="Q9" i="1" s="1"/>
  <c r="I10" i="1"/>
  <c r="Q10" i="1" s="1"/>
  <c r="I11" i="1"/>
  <c r="Q11" i="1" s="1"/>
  <c r="I12" i="1"/>
  <c r="Q12" i="1" s="1"/>
  <c r="I13" i="1"/>
  <c r="Q13" i="1" s="1"/>
  <c r="I14" i="1"/>
  <c r="Q14" i="1" s="1"/>
  <c r="I15" i="1"/>
  <c r="Q15" i="1" s="1"/>
  <c r="I16" i="1"/>
  <c r="Q16" i="1" s="1"/>
  <c r="I17" i="1"/>
  <c r="Q17" i="1" s="1"/>
  <c r="I18" i="1"/>
  <c r="Q18" i="1" s="1"/>
  <c r="I19" i="1"/>
  <c r="Q19" i="1" s="1"/>
  <c r="I20" i="1"/>
  <c r="Q20" i="1" s="1"/>
  <c r="I21" i="1"/>
  <c r="Q21" i="1" s="1"/>
  <c r="I22" i="1"/>
  <c r="Q22" i="1" s="1"/>
  <c r="I23" i="1"/>
  <c r="Q23" i="1" s="1"/>
  <c r="I24" i="1"/>
  <c r="Q24" i="1" s="1"/>
  <c r="I25" i="1"/>
  <c r="Q25" i="1" s="1"/>
  <c r="I26" i="1"/>
  <c r="Q26" i="1" s="1"/>
  <c r="I27" i="1"/>
  <c r="Q27" i="1" s="1"/>
  <c r="I28" i="1"/>
  <c r="Q28" i="1" s="1"/>
  <c r="I29" i="1"/>
  <c r="Q29" i="1" s="1"/>
  <c r="I30" i="1"/>
  <c r="Q30" i="1" s="1"/>
  <c r="I31" i="1"/>
  <c r="Q31" i="1" s="1"/>
  <c r="I32" i="1"/>
  <c r="Q32" i="1" s="1"/>
  <c r="I33" i="1"/>
  <c r="Q33" i="1" s="1"/>
  <c r="I34" i="1"/>
  <c r="Q34" i="1" s="1"/>
  <c r="I35" i="1"/>
  <c r="Q35" i="1" s="1"/>
  <c r="I36" i="1"/>
  <c r="Q36" i="1" s="1"/>
  <c r="I37" i="1"/>
  <c r="Q37" i="1" s="1"/>
  <c r="I38" i="1"/>
  <c r="Q38" i="1" s="1"/>
  <c r="I39" i="1"/>
  <c r="Q39" i="1" s="1"/>
  <c r="I40" i="1"/>
  <c r="Q40" i="1" s="1"/>
  <c r="I41" i="1"/>
  <c r="Q41" i="1" s="1"/>
  <c r="I42" i="1"/>
  <c r="Q42" i="1" s="1"/>
  <c r="I43" i="1"/>
  <c r="Q43" i="1" s="1"/>
  <c r="I44" i="1"/>
  <c r="Q44" i="1" s="1"/>
  <c r="I45" i="1"/>
  <c r="Q45" i="1" s="1"/>
  <c r="I46" i="1"/>
  <c r="Q46" i="1" s="1"/>
  <c r="I47" i="1"/>
  <c r="Q47" i="1" s="1"/>
  <c r="I48" i="1"/>
  <c r="Q48" i="1" s="1"/>
  <c r="I49" i="1"/>
  <c r="Q49" i="1" s="1"/>
  <c r="I50" i="1"/>
  <c r="Q50" i="1" s="1"/>
  <c r="I51" i="1"/>
  <c r="Q51" i="1" s="1"/>
  <c r="I52" i="1"/>
  <c r="Q52" i="1" s="1"/>
  <c r="I53" i="1"/>
  <c r="Q53" i="1" s="1"/>
  <c r="I54" i="1"/>
  <c r="Q54" i="1" s="1"/>
  <c r="I55" i="1"/>
  <c r="Q55" i="1" s="1"/>
  <c r="I56" i="1"/>
  <c r="Q56" i="1" s="1"/>
  <c r="I57" i="1"/>
  <c r="Q57" i="1" s="1"/>
  <c r="I58" i="1"/>
  <c r="Q58" i="1" s="1"/>
  <c r="I59" i="1"/>
  <c r="Q59" i="1" s="1"/>
  <c r="I60" i="1"/>
  <c r="Q60" i="1" s="1"/>
  <c r="I61" i="1"/>
  <c r="Q61" i="1" s="1"/>
  <c r="I62" i="1"/>
  <c r="Q62" i="1" s="1"/>
  <c r="I63" i="1"/>
  <c r="Q63" i="1" s="1"/>
  <c r="I64" i="1"/>
  <c r="Q64" i="1" s="1"/>
  <c r="I65" i="1"/>
  <c r="Q65" i="1" s="1"/>
  <c r="I66" i="1"/>
  <c r="Q66" i="1" s="1"/>
  <c r="I67" i="1"/>
  <c r="Q67" i="1" s="1"/>
  <c r="I68" i="1"/>
  <c r="Q68" i="1" s="1"/>
  <c r="I69" i="1"/>
  <c r="Q69" i="1" s="1"/>
  <c r="I70" i="1"/>
  <c r="Q70" i="1" s="1"/>
  <c r="I71" i="1"/>
  <c r="Q71" i="1" s="1"/>
  <c r="I72" i="1"/>
  <c r="Q72" i="1" s="1"/>
  <c r="I73" i="1"/>
  <c r="Q73" i="1" s="1"/>
  <c r="I74" i="1"/>
  <c r="Q74" i="1" s="1"/>
  <c r="I75" i="1"/>
  <c r="Q75" i="1" s="1"/>
  <c r="I76" i="1"/>
  <c r="Q76" i="1" s="1"/>
  <c r="I77" i="1"/>
  <c r="Q77" i="1" s="1"/>
  <c r="I78" i="1"/>
  <c r="Q78" i="1" s="1"/>
  <c r="I79" i="1"/>
  <c r="Q79" i="1" s="1"/>
  <c r="I80" i="1"/>
  <c r="Q80" i="1" s="1"/>
  <c r="I81" i="1"/>
  <c r="Q81" i="1" s="1"/>
  <c r="I82" i="1"/>
  <c r="Q82" i="1" s="1"/>
  <c r="I83" i="1"/>
  <c r="Q83" i="1" s="1"/>
  <c r="I84" i="1"/>
  <c r="Q84" i="1" s="1"/>
  <c r="I85" i="1"/>
  <c r="Q85" i="1" s="1"/>
  <c r="I86" i="1"/>
  <c r="Q86" i="1" s="1"/>
  <c r="I87" i="1"/>
  <c r="Q87" i="1" s="1"/>
  <c r="I88" i="1"/>
  <c r="Q88" i="1" s="1"/>
  <c r="I89" i="1"/>
  <c r="Q89" i="1" s="1"/>
  <c r="I90" i="1"/>
  <c r="Q90" i="1" s="1"/>
  <c r="I91" i="1"/>
  <c r="Q91" i="1" s="1"/>
  <c r="I92" i="1"/>
  <c r="Q92" i="1" s="1"/>
  <c r="I93" i="1"/>
  <c r="Q93" i="1" s="1"/>
  <c r="I94" i="1"/>
  <c r="Q94" i="1" s="1"/>
  <c r="I95" i="1"/>
  <c r="Q95" i="1" s="1"/>
  <c r="I96" i="1"/>
  <c r="Q96" i="1" s="1"/>
  <c r="I97" i="1"/>
  <c r="Q97" i="1" s="1"/>
  <c r="I98" i="1"/>
  <c r="Q98" i="1" s="1"/>
  <c r="I99" i="1"/>
  <c r="Q99" i="1" s="1"/>
  <c r="I100" i="1"/>
  <c r="Q100" i="1" s="1"/>
  <c r="I101" i="1"/>
  <c r="Q101" i="1" s="1"/>
  <c r="I102" i="1"/>
  <c r="Q102" i="1" s="1"/>
  <c r="I103" i="1"/>
  <c r="Q103" i="1" s="1"/>
  <c r="I104" i="1"/>
  <c r="Q104" i="1" s="1"/>
  <c r="I105" i="1"/>
  <c r="Q105" i="1" s="1"/>
  <c r="I106" i="1"/>
  <c r="Q106" i="1" s="1"/>
  <c r="I107" i="1"/>
  <c r="Q107" i="1" s="1"/>
  <c r="I108" i="1"/>
  <c r="Q108" i="1" s="1"/>
  <c r="I109" i="1"/>
  <c r="Q109" i="1" s="1"/>
  <c r="I110" i="1"/>
  <c r="Q110" i="1" s="1"/>
  <c r="I111" i="1"/>
  <c r="Q111" i="1" s="1"/>
  <c r="I112" i="1"/>
  <c r="Q112" i="1" s="1"/>
  <c r="I113" i="1"/>
  <c r="Q113" i="1" s="1"/>
  <c r="I114" i="1"/>
  <c r="Q114" i="1" s="1"/>
  <c r="I115" i="1"/>
  <c r="Q115" i="1" s="1"/>
  <c r="I116" i="1"/>
  <c r="Q116" i="1" s="1"/>
  <c r="I117" i="1"/>
  <c r="Q117" i="1" s="1"/>
  <c r="I118" i="1"/>
  <c r="Q118" i="1" s="1"/>
  <c r="I119" i="1"/>
  <c r="Q119" i="1" s="1"/>
  <c r="I120" i="1"/>
  <c r="Q120" i="1" s="1"/>
  <c r="I121" i="1"/>
  <c r="Q121" i="1" s="1"/>
  <c r="I122" i="1"/>
  <c r="Q122" i="1" s="1"/>
  <c r="I123" i="1"/>
  <c r="Q123" i="1" s="1"/>
  <c r="I124" i="1"/>
  <c r="Q124" i="1" s="1"/>
  <c r="I125" i="1"/>
  <c r="Q125" i="1" s="1"/>
  <c r="I126" i="1"/>
  <c r="Q126" i="1" s="1"/>
  <c r="I127" i="1"/>
  <c r="Q127" i="1" s="1"/>
  <c r="I128" i="1"/>
  <c r="Q128" i="1" s="1"/>
  <c r="I129" i="1"/>
  <c r="Q129" i="1" s="1"/>
  <c r="I130" i="1"/>
  <c r="Q130" i="1" s="1"/>
  <c r="I131" i="1"/>
  <c r="Q131" i="1" s="1"/>
  <c r="I132" i="1"/>
  <c r="Q132" i="1" s="1"/>
  <c r="I133" i="1"/>
  <c r="Q133" i="1" s="1"/>
  <c r="I134" i="1"/>
  <c r="Q134" i="1" s="1"/>
  <c r="I135" i="1"/>
  <c r="Q135" i="1" s="1"/>
  <c r="I136" i="1"/>
  <c r="Q136" i="1" s="1"/>
  <c r="I137" i="1"/>
  <c r="Q137" i="1" s="1"/>
  <c r="I138" i="1"/>
  <c r="Q138" i="1" s="1"/>
  <c r="I139" i="1"/>
  <c r="Q139" i="1" s="1"/>
  <c r="I140" i="1"/>
  <c r="Q140" i="1" s="1"/>
  <c r="I141" i="1"/>
  <c r="Q141" i="1" s="1"/>
  <c r="I142" i="1"/>
  <c r="Q142" i="1" s="1"/>
  <c r="I143" i="1"/>
  <c r="Q143" i="1" s="1"/>
  <c r="I144" i="1"/>
  <c r="Q144" i="1" s="1"/>
  <c r="I145" i="1"/>
  <c r="Q145" i="1" s="1"/>
  <c r="I146" i="1"/>
  <c r="Q146" i="1" s="1"/>
  <c r="I147" i="1"/>
  <c r="Q147" i="1" s="1"/>
  <c r="I148" i="1"/>
  <c r="Q148" i="1" s="1"/>
  <c r="I149" i="1"/>
  <c r="Q149" i="1" s="1"/>
  <c r="I150" i="1"/>
  <c r="Q150" i="1" s="1"/>
  <c r="I151" i="1"/>
  <c r="Q151" i="1" s="1"/>
  <c r="I152" i="1"/>
  <c r="Q152" i="1" s="1"/>
  <c r="I153" i="1"/>
  <c r="Q153" i="1" s="1"/>
  <c r="I154" i="1"/>
  <c r="Q154" i="1" s="1"/>
  <c r="I155" i="1"/>
  <c r="Q155" i="1" s="1"/>
  <c r="I156" i="1"/>
  <c r="Q156" i="1" s="1"/>
  <c r="I157" i="1"/>
  <c r="Q157" i="1" s="1"/>
  <c r="I158" i="1"/>
  <c r="Q158" i="1" s="1"/>
  <c r="I159" i="1"/>
  <c r="Q159" i="1" s="1"/>
  <c r="I160" i="1"/>
  <c r="Q160" i="1" s="1"/>
  <c r="I161" i="1"/>
  <c r="Q161" i="1" s="1"/>
  <c r="I162" i="1"/>
  <c r="Q162" i="1" s="1"/>
  <c r="I163" i="1"/>
  <c r="Q163" i="1" s="1"/>
  <c r="I164" i="1"/>
  <c r="Q164" i="1" s="1"/>
  <c r="I165" i="1"/>
  <c r="Q165" i="1" s="1"/>
  <c r="I166" i="1"/>
  <c r="Q166" i="1" s="1"/>
  <c r="I167" i="1"/>
  <c r="Q167" i="1" s="1"/>
  <c r="I168" i="1"/>
  <c r="Q168" i="1" s="1"/>
  <c r="I169" i="1"/>
  <c r="Q169" i="1" s="1"/>
  <c r="I170" i="1"/>
  <c r="Q170" i="1" s="1"/>
  <c r="I171" i="1"/>
  <c r="Q171" i="1" s="1"/>
  <c r="I172" i="1"/>
  <c r="Q172" i="1" s="1"/>
  <c r="I173" i="1"/>
  <c r="Q173" i="1" s="1"/>
  <c r="I174" i="1"/>
  <c r="Q174" i="1" s="1"/>
  <c r="I175" i="1"/>
  <c r="Q175" i="1" s="1"/>
  <c r="I176" i="1"/>
  <c r="Q176" i="1" s="1"/>
  <c r="I177" i="1"/>
  <c r="Q177" i="1" s="1"/>
  <c r="I178" i="1"/>
  <c r="Q178" i="1" s="1"/>
  <c r="I179" i="1"/>
  <c r="Q179" i="1" s="1"/>
  <c r="I180" i="1"/>
  <c r="Q180" i="1" s="1"/>
  <c r="I181" i="1"/>
  <c r="Q181" i="1" s="1"/>
  <c r="I182" i="1"/>
  <c r="Q182" i="1" s="1"/>
  <c r="I183" i="1"/>
  <c r="Q183" i="1" s="1"/>
  <c r="I184" i="1"/>
  <c r="Q184" i="1" s="1"/>
  <c r="I185" i="1"/>
  <c r="Q185" i="1" s="1"/>
  <c r="I186" i="1"/>
  <c r="Q186" i="1" s="1"/>
  <c r="I187" i="1"/>
  <c r="Q187" i="1" s="1"/>
  <c r="I188" i="1"/>
  <c r="Q188" i="1" s="1"/>
  <c r="I189" i="1"/>
  <c r="Q189" i="1" s="1"/>
  <c r="I190" i="1"/>
  <c r="Q190" i="1" s="1"/>
  <c r="I191" i="1"/>
  <c r="Q191" i="1" s="1"/>
  <c r="I192" i="1"/>
  <c r="Q192" i="1" s="1"/>
  <c r="I193" i="1"/>
  <c r="Q193" i="1" s="1"/>
  <c r="I194" i="1"/>
  <c r="Q194" i="1" s="1"/>
  <c r="I195" i="1"/>
  <c r="Q195" i="1" s="1"/>
  <c r="I196" i="1"/>
  <c r="Q196" i="1" s="1"/>
  <c r="I197" i="1"/>
  <c r="Q197" i="1" s="1"/>
  <c r="I198" i="1"/>
  <c r="Q198" i="1" s="1"/>
  <c r="I199" i="1"/>
  <c r="Q199" i="1" s="1"/>
  <c r="I200" i="1"/>
  <c r="Q200" i="1" s="1"/>
  <c r="I201" i="1"/>
  <c r="Q201" i="1" s="1"/>
  <c r="I202" i="1"/>
  <c r="Q202" i="1" s="1"/>
  <c r="I203" i="1"/>
  <c r="Q203" i="1" s="1"/>
  <c r="I204" i="1"/>
  <c r="Q204" i="1" s="1"/>
  <c r="I205" i="1"/>
  <c r="Q205" i="1" s="1"/>
  <c r="I206" i="1"/>
  <c r="Q206" i="1" s="1"/>
  <c r="I207" i="1"/>
  <c r="Q207" i="1" s="1"/>
  <c r="I208" i="1"/>
  <c r="Q208" i="1" s="1"/>
  <c r="I209" i="1"/>
  <c r="Q209" i="1" s="1"/>
  <c r="I210" i="1"/>
  <c r="Q210" i="1" s="1"/>
  <c r="I211" i="1"/>
  <c r="Q211" i="1" s="1"/>
  <c r="I212" i="1"/>
  <c r="Q212" i="1" s="1"/>
  <c r="I213" i="1"/>
  <c r="Q213" i="1" s="1"/>
  <c r="I214" i="1"/>
  <c r="Q214" i="1" s="1"/>
  <c r="I215" i="1"/>
  <c r="Q215" i="1" s="1"/>
  <c r="I216" i="1"/>
  <c r="Q216" i="1" s="1"/>
  <c r="I217" i="1"/>
  <c r="Q217" i="1" s="1"/>
  <c r="I218" i="1"/>
  <c r="Q218" i="1" s="1"/>
  <c r="I219" i="1"/>
  <c r="Q219" i="1" s="1"/>
  <c r="I220" i="1"/>
  <c r="Q220" i="1" s="1"/>
  <c r="I221" i="1"/>
  <c r="Q221" i="1" s="1"/>
  <c r="I222" i="1"/>
  <c r="Q222" i="1" s="1"/>
  <c r="I223" i="1"/>
  <c r="Q223" i="1" s="1"/>
  <c r="I224" i="1"/>
  <c r="Q224" i="1" s="1"/>
  <c r="I225" i="1"/>
  <c r="Q225" i="1" s="1"/>
  <c r="I226" i="1"/>
  <c r="Q226" i="1" s="1"/>
  <c r="I227" i="1"/>
  <c r="Q227" i="1" s="1"/>
  <c r="I228" i="1"/>
  <c r="Q228" i="1" s="1"/>
  <c r="I229" i="1"/>
  <c r="Q229" i="1" s="1"/>
  <c r="I230" i="1"/>
  <c r="Q230" i="1" s="1"/>
  <c r="I231" i="1"/>
  <c r="Q231" i="1" s="1"/>
  <c r="I232" i="1"/>
  <c r="Q232" i="1" s="1"/>
  <c r="I233" i="1"/>
  <c r="Q233" i="1" s="1"/>
  <c r="I234" i="1"/>
  <c r="Q234" i="1" s="1"/>
  <c r="I235" i="1"/>
  <c r="Q235" i="1" s="1"/>
  <c r="I236" i="1"/>
  <c r="Q236" i="1" s="1"/>
  <c r="I237" i="1"/>
  <c r="Q237" i="1" s="1"/>
  <c r="I238" i="1"/>
  <c r="Q238" i="1" s="1"/>
  <c r="I239" i="1"/>
  <c r="Q239" i="1" s="1"/>
  <c r="I240" i="1"/>
  <c r="Q240" i="1" s="1"/>
  <c r="I241" i="1"/>
  <c r="Q241" i="1" s="1"/>
  <c r="I242" i="1"/>
  <c r="Q242" i="1" s="1"/>
  <c r="I243" i="1"/>
  <c r="Q243" i="1" s="1"/>
  <c r="I244" i="1"/>
  <c r="Q244" i="1" s="1"/>
  <c r="I245" i="1"/>
  <c r="Q245" i="1" s="1"/>
  <c r="I246" i="1"/>
  <c r="Q246" i="1" s="1"/>
  <c r="I247" i="1"/>
  <c r="Q247" i="1" s="1"/>
  <c r="I248" i="1"/>
  <c r="Q248" i="1" s="1"/>
  <c r="I249" i="1"/>
  <c r="Q249" i="1" s="1"/>
  <c r="I250" i="1"/>
  <c r="Q250" i="1" s="1"/>
  <c r="I251" i="1"/>
  <c r="Q251" i="1" s="1"/>
  <c r="I252" i="1"/>
  <c r="Q252" i="1" s="1"/>
  <c r="I253" i="1"/>
  <c r="Q253" i="1" s="1"/>
  <c r="I254" i="1"/>
  <c r="Q254" i="1" s="1"/>
  <c r="I255" i="1"/>
  <c r="Q255" i="1" s="1"/>
  <c r="I256" i="1"/>
  <c r="Q256" i="1" s="1"/>
  <c r="I257" i="1"/>
  <c r="Q257" i="1" s="1"/>
  <c r="I258" i="1"/>
  <c r="Q258" i="1" s="1"/>
  <c r="I259" i="1"/>
  <c r="Q259" i="1" s="1"/>
  <c r="I260" i="1"/>
  <c r="Q260" i="1" s="1"/>
  <c r="I261" i="1"/>
  <c r="Q261" i="1" s="1"/>
  <c r="I262" i="1"/>
  <c r="Q262" i="1" s="1"/>
  <c r="I263" i="1"/>
  <c r="Q263" i="1" s="1"/>
  <c r="I264" i="1"/>
  <c r="Q264" i="1" s="1"/>
  <c r="I265" i="1"/>
  <c r="Q265" i="1" s="1"/>
  <c r="I266" i="1"/>
  <c r="Q266" i="1" s="1"/>
  <c r="I267" i="1"/>
  <c r="Q267" i="1" s="1"/>
  <c r="I268" i="1"/>
  <c r="Q268" i="1" s="1"/>
  <c r="I269" i="1"/>
  <c r="Q269" i="1" s="1"/>
  <c r="I270" i="1"/>
  <c r="Q270" i="1" s="1"/>
  <c r="I271" i="1"/>
  <c r="Q271" i="1" s="1"/>
  <c r="I272" i="1"/>
  <c r="Q272" i="1" s="1"/>
  <c r="I273" i="1"/>
  <c r="Q273" i="1" s="1"/>
  <c r="I274" i="1"/>
  <c r="Q274" i="1" s="1"/>
  <c r="I275" i="1"/>
  <c r="Q275" i="1" s="1"/>
  <c r="I276" i="1"/>
  <c r="Q276" i="1" s="1"/>
  <c r="I277" i="1"/>
  <c r="Q277" i="1" s="1"/>
  <c r="I278" i="1"/>
  <c r="Q278" i="1" s="1"/>
  <c r="I279" i="1"/>
  <c r="Q279" i="1" s="1"/>
  <c r="I280" i="1"/>
  <c r="Q280" i="1" s="1"/>
  <c r="I281" i="1"/>
  <c r="Q281" i="1" s="1"/>
  <c r="I282" i="1"/>
  <c r="Q282" i="1" s="1"/>
  <c r="I283" i="1"/>
  <c r="Q283" i="1" s="1"/>
  <c r="I284" i="1"/>
  <c r="Q284" i="1" s="1"/>
  <c r="I285" i="1"/>
  <c r="Q285" i="1" s="1"/>
  <c r="I286" i="1"/>
  <c r="Q286" i="1" s="1"/>
  <c r="I287" i="1"/>
  <c r="Q287" i="1" s="1"/>
  <c r="I288" i="1"/>
  <c r="Q288" i="1" s="1"/>
  <c r="I289" i="1"/>
  <c r="Q289" i="1" s="1"/>
  <c r="I290" i="1"/>
  <c r="Q290" i="1" s="1"/>
  <c r="I291" i="1"/>
  <c r="Q291" i="1" s="1"/>
  <c r="I292" i="1"/>
  <c r="Q292" i="1" s="1"/>
  <c r="I293" i="1"/>
  <c r="Q293" i="1" s="1"/>
  <c r="I294" i="1"/>
  <c r="Q294" i="1" s="1"/>
  <c r="I295" i="1"/>
  <c r="Q295" i="1" s="1"/>
  <c r="I296" i="1"/>
  <c r="Q296" i="1" s="1"/>
  <c r="I297" i="1"/>
  <c r="Q297" i="1" s="1"/>
  <c r="I298" i="1"/>
  <c r="Q298" i="1" s="1"/>
  <c r="I299" i="1"/>
  <c r="Q299" i="1" s="1"/>
  <c r="I300" i="1"/>
  <c r="Q300" i="1" s="1"/>
  <c r="I301" i="1"/>
  <c r="Q301" i="1" s="1"/>
  <c r="I302" i="1"/>
  <c r="Q302" i="1" s="1"/>
  <c r="I303" i="1"/>
  <c r="Q303" i="1" s="1"/>
  <c r="I304" i="1"/>
  <c r="Q304" i="1" s="1"/>
  <c r="I305" i="1"/>
  <c r="Q305" i="1" s="1"/>
  <c r="I306" i="1"/>
  <c r="Q306" i="1" s="1"/>
  <c r="I307" i="1"/>
  <c r="Q307" i="1" s="1"/>
  <c r="I308" i="1"/>
  <c r="Q308" i="1" s="1"/>
  <c r="I309" i="1"/>
  <c r="Q309" i="1" s="1"/>
  <c r="I310" i="1"/>
  <c r="Q310" i="1" s="1"/>
  <c r="I311" i="1"/>
  <c r="Q311" i="1" s="1"/>
  <c r="I312" i="1"/>
  <c r="Q312" i="1" s="1"/>
  <c r="I313" i="1"/>
  <c r="Q313" i="1" s="1"/>
  <c r="I314" i="1"/>
  <c r="Q314" i="1" s="1"/>
  <c r="I315" i="1"/>
  <c r="Q315" i="1" s="1"/>
  <c r="I316" i="1"/>
  <c r="Q316" i="1" s="1"/>
  <c r="I317" i="1"/>
  <c r="Q317" i="1" s="1"/>
  <c r="I318" i="1"/>
  <c r="Q318" i="1" s="1"/>
  <c r="I319" i="1"/>
  <c r="Q319" i="1" s="1"/>
  <c r="I320" i="1"/>
  <c r="Q320" i="1" s="1"/>
  <c r="I321" i="1"/>
  <c r="Q321" i="1" s="1"/>
  <c r="I322" i="1"/>
  <c r="Q322" i="1" s="1"/>
  <c r="I323" i="1"/>
  <c r="Q323" i="1" s="1"/>
  <c r="I324" i="1"/>
  <c r="Q324" i="1" s="1"/>
  <c r="I325" i="1"/>
  <c r="Q325" i="1" s="1"/>
  <c r="I326" i="1"/>
  <c r="Q326" i="1" s="1"/>
  <c r="I327" i="1"/>
  <c r="Q327" i="1" s="1"/>
  <c r="I328" i="1"/>
  <c r="Q328" i="1" s="1"/>
  <c r="I329" i="1"/>
  <c r="Q329" i="1" s="1"/>
  <c r="I330" i="1"/>
  <c r="Q330" i="1" s="1"/>
  <c r="I331" i="1"/>
  <c r="Q331" i="1" s="1"/>
  <c r="I332" i="1"/>
  <c r="Q332" i="1" s="1"/>
  <c r="I333" i="1"/>
  <c r="Q333" i="1" s="1"/>
  <c r="I334" i="1"/>
  <c r="Q334" i="1" s="1"/>
  <c r="I335" i="1"/>
  <c r="Q335" i="1" s="1"/>
  <c r="I336" i="1"/>
  <c r="Q336" i="1" s="1"/>
  <c r="I337" i="1"/>
  <c r="Q337" i="1" s="1"/>
  <c r="I338" i="1"/>
  <c r="Q338" i="1" s="1"/>
  <c r="I339" i="1"/>
  <c r="Q339" i="1" s="1"/>
  <c r="I340" i="1"/>
  <c r="Q340" i="1" s="1"/>
  <c r="I341" i="1"/>
  <c r="Q341" i="1" s="1"/>
  <c r="I342" i="1"/>
  <c r="Q342" i="1" s="1"/>
  <c r="I343" i="1"/>
  <c r="Q343" i="1" s="1"/>
  <c r="I344" i="1"/>
  <c r="Q344" i="1" s="1"/>
  <c r="I345" i="1"/>
  <c r="Q345" i="1" s="1"/>
  <c r="I346" i="1"/>
  <c r="Q346" i="1" s="1"/>
  <c r="I347" i="1"/>
  <c r="Q347" i="1" s="1"/>
  <c r="I348" i="1"/>
  <c r="Q348" i="1" s="1"/>
  <c r="I349" i="1"/>
  <c r="Q349" i="1" s="1"/>
  <c r="I350" i="1"/>
  <c r="Q350" i="1" s="1"/>
  <c r="I351" i="1"/>
  <c r="Q351" i="1" s="1"/>
  <c r="I352" i="1"/>
  <c r="Q352" i="1" s="1"/>
  <c r="I353" i="1"/>
  <c r="Q353" i="1" s="1"/>
  <c r="I354" i="1"/>
  <c r="Q354" i="1" s="1"/>
  <c r="I355" i="1"/>
  <c r="Q355" i="1" s="1"/>
  <c r="I356" i="1"/>
  <c r="Q356" i="1" s="1"/>
  <c r="I357" i="1"/>
  <c r="Q357" i="1" s="1"/>
  <c r="I358" i="1"/>
  <c r="Q358" i="1" s="1"/>
  <c r="I359" i="1"/>
  <c r="Q359" i="1" s="1"/>
  <c r="I360" i="1"/>
  <c r="Q360" i="1" s="1"/>
  <c r="I361" i="1"/>
  <c r="Q361" i="1" s="1"/>
  <c r="I362" i="1"/>
  <c r="Q362" i="1" s="1"/>
  <c r="I363" i="1"/>
  <c r="Q363" i="1" s="1"/>
  <c r="I364" i="1"/>
  <c r="Q364" i="1" s="1"/>
  <c r="I365" i="1"/>
  <c r="Q365" i="1" s="1"/>
  <c r="I366" i="1"/>
  <c r="Q366" i="1" s="1"/>
  <c r="I367" i="1"/>
  <c r="Q367" i="1" s="1"/>
  <c r="I368" i="1"/>
  <c r="Q368" i="1" s="1"/>
  <c r="I369" i="1"/>
  <c r="Q369" i="1" s="1"/>
  <c r="I370" i="1"/>
  <c r="Q370" i="1" s="1"/>
  <c r="I371" i="1"/>
  <c r="Q371" i="1" s="1"/>
  <c r="I372" i="1"/>
  <c r="Q372" i="1" s="1"/>
  <c r="I373" i="1"/>
  <c r="Q373" i="1" s="1"/>
  <c r="I374" i="1"/>
  <c r="Q374" i="1" s="1"/>
  <c r="I375" i="1"/>
  <c r="Q375" i="1" s="1"/>
  <c r="I376" i="1"/>
  <c r="Q376" i="1" s="1"/>
  <c r="I377" i="1"/>
  <c r="Q377" i="1" s="1"/>
  <c r="I378" i="1"/>
  <c r="Q378" i="1" s="1"/>
  <c r="I379" i="1"/>
  <c r="Q379" i="1" s="1"/>
  <c r="I380" i="1"/>
  <c r="Q380" i="1" s="1"/>
  <c r="I381" i="1"/>
  <c r="Q381" i="1" s="1"/>
  <c r="I382" i="1"/>
  <c r="Q382" i="1" s="1"/>
  <c r="I383" i="1"/>
  <c r="Q383" i="1" s="1"/>
  <c r="I384" i="1"/>
  <c r="Q384" i="1" s="1"/>
  <c r="I385" i="1"/>
  <c r="Q385" i="1" s="1"/>
  <c r="I386" i="1"/>
  <c r="Q386" i="1" s="1"/>
  <c r="I387" i="1"/>
  <c r="Q387" i="1" s="1"/>
  <c r="I388" i="1"/>
  <c r="Q388" i="1" s="1"/>
  <c r="I389" i="1"/>
  <c r="Q389" i="1" s="1"/>
  <c r="I390" i="1"/>
  <c r="Q390" i="1" s="1"/>
  <c r="I391" i="1"/>
  <c r="Q391" i="1" s="1"/>
  <c r="I392" i="1"/>
  <c r="Q392" i="1" s="1"/>
  <c r="I393" i="1"/>
  <c r="Q393" i="1" s="1"/>
  <c r="I394" i="1"/>
  <c r="Q394" i="1" s="1"/>
  <c r="I395" i="1"/>
  <c r="Q395" i="1" s="1"/>
  <c r="I396" i="1"/>
  <c r="Q396" i="1" s="1"/>
  <c r="I397" i="1"/>
  <c r="Q397" i="1" s="1"/>
  <c r="I398" i="1"/>
  <c r="Q398" i="1" s="1"/>
  <c r="I399" i="1"/>
  <c r="Q399" i="1" s="1"/>
  <c r="I400" i="1"/>
  <c r="Q400" i="1" s="1"/>
  <c r="I401" i="1"/>
  <c r="Q401" i="1" s="1"/>
  <c r="I402" i="1"/>
  <c r="Q402" i="1" s="1"/>
  <c r="I403" i="1"/>
  <c r="Q403" i="1" s="1"/>
  <c r="I404" i="1"/>
  <c r="Q404" i="1" s="1"/>
  <c r="I405" i="1"/>
  <c r="Q405" i="1" s="1"/>
  <c r="I406" i="1"/>
  <c r="Q406" i="1" s="1"/>
  <c r="I407" i="1"/>
  <c r="Q407" i="1" s="1"/>
  <c r="I408" i="1"/>
  <c r="Q408" i="1" s="1"/>
  <c r="I409" i="1"/>
  <c r="Q409" i="1" s="1"/>
  <c r="I410" i="1"/>
  <c r="Q410" i="1" s="1"/>
  <c r="I411" i="1"/>
  <c r="Q411" i="1" s="1"/>
  <c r="I412" i="1"/>
  <c r="Q412" i="1" s="1"/>
  <c r="I413" i="1"/>
  <c r="Q413" i="1" s="1"/>
  <c r="I414" i="1"/>
  <c r="Q414" i="1" s="1"/>
  <c r="I415" i="1"/>
  <c r="Q415" i="1" s="1"/>
  <c r="I416" i="1"/>
  <c r="Q416" i="1" s="1"/>
  <c r="I417" i="1"/>
  <c r="Q417" i="1" s="1"/>
  <c r="I418" i="1"/>
  <c r="Q418" i="1" s="1"/>
  <c r="I419" i="1"/>
  <c r="Q419" i="1" s="1"/>
  <c r="I420" i="1"/>
  <c r="Q420" i="1" s="1"/>
  <c r="I421" i="1"/>
  <c r="Q421" i="1" s="1"/>
  <c r="I422" i="1"/>
  <c r="Q422" i="1" s="1"/>
  <c r="I423" i="1"/>
  <c r="Q423" i="1" s="1"/>
  <c r="I424" i="1"/>
  <c r="Q424" i="1" s="1"/>
  <c r="I425" i="1"/>
  <c r="Q425" i="1" s="1"/>
  <c r="I426" i="1"/>
  <c r="Q426" i="1" s="1"/>
  <c r="I427" i="1"/>
  <c r="Q427" i="1" s="1"/>
  <c r="I428" i="1"/>
  <c r="Q428" i="1" s="1"/>
  <c r="I429" i="1"/>
  <c r="Q429" i="1" s="1"/>
  <c r="I430" i="1"/>
  <c r="Q430" i="1" s="1"/>
  <c r="I431" i="1"/>
  <c r="Q431" i="1" s="1"/>
  <c r="I432" i="1"/>
  <c r="Q432" i="1" s="1"/>
  <c r="I433" i="1"/>
  <c r="Q433" i="1" s="1"/>
  <c r="I434" i="1"/>
  <c r="Q434" i="1" s="1"/>
  <c r="I435" i="1"/>
  <c r="Q435" i="1" s="1"/>
  <c r="I436" i="1"/>
  <c r="Q436" i="1" s="1"/>
  <c r="I437" i="1"/>
  <c r="Q437" i="1" s="1"/>
  <c r="I438" i="1"/>
  <c r="Q438" i="1" s="1"/>
  <c r="I439" i="1"/>
  <c r="Q439" i="1" s="1"/>
  <c r="I440" i="1"/>
  <c r="Q440" i="1" s="1"/>
  <c r="I441" i="1"/>
  <c r="Q441" i="1" s="1"/>
  <c r="I442" i="1"/>
  <c r="Q442" i="1" s="1"/>
  <c r="I443" i="1"/>
  <c r="Q443" i="1" s="1"/>
  <c r="I444" i="1"/>
  <c r="Q444" i="1" s="1"/>
  <c r="I445" i="1"/>
  <c r="Q445" i="1" s="1"/>
  <c r="I446" i="1"/>
  <c r="Q446" i="1" s="1"/>
  <c r="I447" i="1"/>
  <c r="Q447" i="1" s="1"/>
  <c r="I448" i="1"/>
  <c r="Q448" i="1" s="1"/>
  <c r="I449" i="1"/>
  <c r="Q449" i="1" s="1"/>
  <c r="I450" i="1"/>
  <c r="Q450" i="1" s="1"/>
  <c r="I451" i="1"/>
  <c r="Q451" i="1" s="1"/>
  <c r="I452" i="1"/>
  <c r="Q452" i="1" s="1"/>
  <c r="I453" i="1"/>
  <c r="Q453" i="1" s="1"/>
  <c r="I454" i="1"/>
  <c r="Q454" i="1" s="1"/>
  <c r="I455" i="1"/>
  <c r="Q455" i="1" s="1"/>
  <c r="I456" i="1"/>
  <c r="Q456" i="1" s="1"/>
  <c r="I457" i="1"/>
  <c r="Q457" i="1" s="1"/>
  <c r="I458" i="1"/>
  <c r="Q458" i="1" s="1"/>
  <c r="I459" i="1"/>
  <c r="Q459" i="1" s="1"/>
  <c r="I460" i="1"/>
  <c r="Q460" i="1" s="1"/>
  <c r="I461" i="1"/>
  <c r="Q461" i="1" s="1"/>
  <c r="I462" i="1"/>
  <c r="Q462" i="1" s="1"/>
  <c r="I463" i="1"/>
  <c r="Q463" i="1" s="1"/>
  <c r="I464" i="1"/>
  <c r="Q464" i="1" s="1"/>
  <c r="I465" i="1"/>
  <c r="Q465" i="1" s="1"/>
  <c r="I466" i="1"/>
  <c r="Q466" i="1" s="1"/>
  <c r="I467" i="1"/>
  <c r="Q467" i="1" s="1"/>
  <c r="I468" i="1"/>
  <c r="Q468" i="1" s="1"/>
  <c r="I469" i="1"/>
  <c r="Q469" i="1" s="1"/>
  <c r="I470" i="1"/>
  <c r="Q470" i="1" s="1"/>
  <c r="I471" i="1"/>
  <c r="Q471" i="1" s="1"/>
  <c r="I472" i="1"/>
  <c r="Q472" i="1" s="1"/>
  <c r="I473" i="1"/>
  <c r="Q473" i="1" s="1"/>
  <c r="I474" i="1"/>
  <c r="Q474" i="1" s="1"/>
  <c r="I475" i="1"/>
  <c r="Q475" i="1" s="1"/>
  <c r="I476" i="1"/>
  <c r="Q476" i="1" s="1"/>
  <c r="I477" i="1"/>
  <c r="Q477" i="1" s="1"/>
  <c r="I478" i="1"/>
  <c r="Q478" i="1" s="1"/>
  <c r="I479" i="1"/>
  <c r="Q479" i="1" s="1"/>
  <c r="I480" i="1"/>
  <c r="Q480" i="1" s="1"/>
  <c r="I481" i="1"/>
  <c r="Q481" i="1" s="1"/>
  <c r="I482" i="1"/>
  <c r="Q482" i="1" s="1"/>
  <c r="I483" i="1"/>
  <c r="Q483" i="1" s="1"/>
  <c r="I484" i="1"/>
  <c r="Q484" i="1" s="1"/>
  <c r="I485" i="1"/>
  <c r="Q485" i="1" s="1"/>
  <c r="I486" i="1"/>
  <c r="Q486" i="1" s="1"/>
  <c r="I487" i="1"/>
  <c r="Q487" i="1" s="1"/>
  <c r="I488" i="1"/>
  <c r="Q488" i="1" s="1"/>
  <c r="I489" i="1"/>
  <c r="Q489" i="1" s="1"/>
  <c r="I490" i="1"/>
  <c r="Q490" i="1" s="1"/>
  <c r="I491" i="1"/>
  <c r="Q491" i="1" s="1"/>
  <c r="I492" i="1"/>
  <c r="Q492" i="1" s="1"/>
  <c r="I493" i="1"/>
  <c r="Q493" i="1" s="1"/>
  <c r="I494" i="1"/>
  <c r="Q494" i="1" s="1"/>
  <c r="I495" i="1"/>
  <c r="Q495" i="1" s="1"/>
  <c r="I496" i="1"/>
  <c r="Q496" i="1" s="1"/>
  <c r="I497" i="1"/>
  <c r="Q497" i="1" s="1"/>
  <c r="I498" i="1"/>
  <c r="Q498" i="1" s="1"/>
  <c r="I499" i="1"/>
  <c r="Q499" i="1" s="1"/>
  <c r="I500" i="1"/>
  <c r="Q500" i="1" s="1"/>
  <c r="I501" i="1"/>
  <c r="Q501" i="1" s="1"/>
  <c r="I502" i="1"/>
  <c r="Q502" i="1" s="1"/>
  <c r="I503" i="1"/>
  <c r="Q503" i="1" s="1"/>
  <c r="I504" i="1"/>
  <c r="Q504" i="1" s="1"/>
  <c r="I505" i="1"/>
  <c r="Q505" i="1" s="1"/>
  <c r="I506" i="1"/>
  <c r="Q506" i="1" s="1"/>
  <c r="I507" i="1"/>
  <c r="Q507" i="1" s="1"/>
  <c r="I508" i="1"/>
  <c r="Q508" i="1" s="1"/>
  <c r="I509" i="1"/>
  <c r="Q509" i="1" s="1"/>
  <c r="I510" i="1"/>
  <c r="Q510" i="1" s="1"/>
  <c r="I511" i="1"/>
  <c r="Q511" i="1" s="1"/>
  <c r="I512" i="1"/>
  <c r="Q512" i="1" s="1"/>
  <c r="I513" i="1"/>
  <c r="Q513" i="1" s="1"/>
  <c r="I514" i="1"/>
  <c r="Q514" i="1" s="1"/>
  <c r="I515" i="1"/>
  <c r="Q515" i="1" s="1"/>
  <c r="I516" i="1"/>
  <c r="Q516" i="1" s="1"/>
  <c r="I517" i="1"/>
  <c r="Q517" i="1" s="1"/>
  <c r="I518" i="1"/>
  <c r="Q518" i="1" s="1"/>
  <c r="I519" i="1"/>
  <c r="Q519" i="1" s="1"/>
  <c r="I520" i="1"/>
  <c r="Q520" i="1" s="1"/>
  <c r="I521" i="1"/>
  <c r="Q521" i="1" s="1"/>
  <c r="I522" i="1"/>
  <c r="Q522" i="1" s="1"/>
  <c r="I523" i="1"/>
  <c r="Q523" i="1" s="1"/>
  <c r="I524" i="1"/>
  <c r="Q524" i="1" s="1"/>
  <c r="I525" i="1"/>
  <c r="Q525" i="1" s="1"/>
  <c r="I526" i="1"/>
  <c r="Q526" i="1" s="1"/>
  <c r="I527" i="1"/>
  <c r="Q527" i="1" s="1"/>
  <c r="I528" i="1"/>
  <c r="Q528" i="1" s="1"/>
  <c r="I529" i="1"/>
  <c r="Q529" i="1" s="1"/>
  <c r="I530" i="1"/>
  <c r="Q530" i="1" s="1"/>
  <c r="I531" i="1"/>
  <c r="Q531" i="1" s="1"/>
  <c r="I532" i="1"/>
  <c r="Q532" i="1" s="1"/>
  <c r="I533" i="1"/>
  <c r="Q533" i="1" s="1"/>
  <c r="I534" i="1"/>
  <c r="Q534" i="1" s="1"/>
  <c r="I535" i="1"/>
  <c r="Q535" i="1" s="1"/>
  <c r="I536" i="1"/>
  <c r="Q536" i="1" s="1"/>
  <c r="I537" i="1"/>
  <c r="Q537" i="1" s="1"/>
  <c r="I538" i="1"/>
  <c r="Q538" i="1" s="1"/>
  <c r="I539" i="1"/>
  <c r="Q539" i="1" s="1"/>
  <c r="I540" i="1"/>
  <c r="Q540" i="1" s="1"/>
  <c r="I541" i="1"/>
  <c r="Q541" i="1" s="1"/>
  <c r="I542" i="1"/>
  <c r="Q542" i="1" s="1"/>
  <c r="I543" i="1"/>
  <c r="Q543" i="1" s="1"/>
  <c r="I544" i="1"/>
  <c r="Q544" i="1" s="1"/>
  <c r="I545" i="1"/>
  <c r="Q545" i="1" s="1"/>
  <c r="I546" i="1"/>
  <c r="Q546" i="1" s="1"/>
  <c r="I547" i="1"/>
  <c r="Q547" i="1" s="1"/>
  <c r="I548" i="1"/>
  <c r="Q548" i="1" s="1"/>
  <c r="I549" i="1"/>
  <c r="Q549" i="1" s="1"/>
  <c r="I550" i="1"/>
  <c r="Q550" i="1" s="1"/>
  <c r="I551" i="1"/>
  <c r="Q551" i="1" s="1"/>
  <c r="I552" i="1"/>
  <c r="Q552" i="1" s="1"/>
  <c r="I553" i="1"/>
  <c r="Q553" i="1" s="1"/>
  <c r="I554" i="1"/>
  <c r="Q554" i="1" s="1"/>
  <c r="I555" i="1"/>
  <c r="Q555" i="1" s="1"/>
  <c r="I556" i="1"/>
  <c r="Q556" i="1" s="1"/>
  <c r="I557" i="1"/>
  <c r="Q557" i="1" s="1"/>
  <c r="I558" i="1"/>
  <c r="Q558" i="1" s="1"/>
  <c r="I559" i="1"/>
  <c r="Q559" i="1" s="1"/>
  <c r="I560" i="1"/>
  <c r="Q560" i="1" s="1"/>
  <c r="I561" i="1"/>
  <c r="Q561" i="1" s="1"/>
  <c r="I562" i="1"/>
  <c r="Q562" i="1" s="1"/>
  <c r="I563" i="1"/>
  <c r="Q563" i="1" s="1"/>
  <c r="I564" i="1"/>
  <c r="Q564" i="1" s="1"/>
  <c r="I565" i="1"/>
  <c r="Q565" i="1" s="1"/>
  <c r="I566" i="1"/>
  <c r="Q566" i="1" s="1"/>
  <c r="I567" i="1"/>
  <c r="Q567" i="1" s="1"/>
  <c r="I568" i="1"/>
  <c r="Q568" i="1" s="1"/>
  <c r="I569" i="1"/>
  <c r="Q569" i="1" s="1"/>
  <c r="I570" i="1"/>
  <c r="Q570" i="1" s="1"/>
  <c r="I571" i="1"/>
  <c r="Q571" i="1" s="1"/>
  <c r="I572" i="1"/>
  <c r="Q572" i="1" s="1"/>
  <c r="I573" i="1"/>
  <c r="Q573" i="1" s="1"/>
  <c r="I574" i="1"/>
  <c r="Q574" i="1" s="1"/>
  <c r="I575" i="1"/>
  <c r="Q575" i="1" s="1"/>
  <c r="I576" i="1"/>
  <c r="Q576" i="1" s="1"/>
  <c r="I577" i="1"/>
  <c r="Q577" i="1" s="1"/>
  <c r="I578" i="1"/>
  <c r="Q578" i="1" s="1"/>
  <c r="I579" i="1"/>
  <c r="Q579" i="1" s="1"/>
  <c r="I580" i="1"/>
  <c r="Q580" i="1" s="1"/>
  <c r="I581" i="1"/>
  <c r="Q581" i="1" s="1"/>
  <c r="I582" i="1"/>
  <c r="Q582" i="1" s="1"/>
  <c r="I583" i="1"/>
  <c r="Q583" i="1" s="1"/>
  <c r="I584" i="1"/>
  <c r="Q584" i="1" s="1"/>
  <c r="I585" i="1"/>
  <c r="Q585" i="1" s="1"/>
  <c r="I586" i="1"/>
  <c r="Q586" i="1" s="1"/>
  <c r="I587" i="1"/>
  <c r="Q587" i="1" s="1"/>
  <c r="I588" i="1"/>
  <c r="Q588" i="1" s="1"/>
  <c r="I589" i="1"/>
  <c r="Q589" i="1" s="1"/>
  <c r="I590" i="1"/>
  <c r="Q590" i="1" s="1"/>
  <c r="I591" i="1"/>
  <c r="Q591" i="1" s="1"/>
  <c r="I592" i="1"/>
  <c r="Q592" i="1" s="1"/>
  <c r="I593" i="1"/>
  <c r="Q593" i="1" s="1"/>
  <c r="I594" i="1"/>
  <c r="Q594" i="1" s="1"/>
  <c r="I595" i="1"/>
  <c r="Q595" i="1" s="1"/>
  <c r="I596" i="1"/>
  <c r="Q596" i="1" s="1"/>
  <c r="I597" i="1"/>
  <c r="Q597" i="1" s="1"/>
  <c r="I598" i="1"/>
  <c r="Q598" i="1" s="1"/>
  <c r="I599" i="1"/>
  <c r="Q599" i="1" s="1"/>
  <c r="I600" i="1"/>
  <c r="Q600" i="1" s="1"/>
  <c r="I601" i="1"/>
  <c r="Q601" i="1" s="1"/>
  <c r="I602" i="1"/>
  <c r="Q602" i="1" s="1"/>
  <c r="I603" i="1"/>
  <c r="Q603" i="1" s="1"/>
  <c r="I604" i="1"/>
  <c r="Q604" i="1" s="1"/>
  <c r="I605" i="1"/>
  <c r="Q605" i="1" s="1"/>
  <c r="I606" i="1"/>
  <c r="Q606" i="1" s="1"/>
  <c r="I607" i="1"/>
  <c r="Q607" i="1" s="1"/>
  <c r="I608" i="1"/>
  <c r="Q608" i="1" s="1"/>
  <c r="I609" i="1"/>
  <c r="Q609" i="1" s="1"/>
  <c r="I610" i="1"/>
  <c r="Q610" i="1" s="1"/>
  <c r="I611" i="1"/>
  <c r="Q611" i="1" s="1"/>
  <c r="I612" i="1"/>
  <c r="Q612" i="1" s="1"/>
  <c r="I613" i="1"/>
  <c r="Q613" i="1" s="1"/>
  <c r="I614" i="1"/>
  <c r="Q614" i="1" s="1"/>
  <c r="I615" i="1"/>
  <c r="Q615" i="1" s="1"/>
  <c r="I616" i="1"/>
  <c r="Q616" i="1" s="1"/>
  <c r="I617" i="1"/>
  <c r="Q617" i="1" s="1"/>
  <c r="I618" i="1"/>
  <c r="Q618" i="1" s="1"/>
  <c r="I619" i="1"/>
  <c r="Q619" i="1" s="1"/>
  <c r="I620" i="1"/>
  <c r="Q620" i="1" s="1"/>
  <c r="I621" i="1"/>
  <c r="Q621" i="1" s="1"/>
  <c r="I622" i="1"/>
  <c r="Q622" i="1" s="1"/>
  <c r="I623" i="1"/>
  <c r="Q623" i="1" s="1"/>
  <c r="I624" i="1"/>
  <c r="Q624" i="1" s="1"/>
  <c r="I625" i="1"/>
  <c r="Q625" i="1" s="1"/>
  <c r="I626" i="1"/>
  <c r="Q626" i="1" s="1"/>
  <c r="I627" i="1"/>
  <c r="Q627" i="1" s="1"/>
  <c r="I628" i="1"/>
  <c r="Q628" i="1" s="1"/>
  <c r="I629" i="1"/>
  <c r="Q629" i="1" s="1"/>
  <c r="I630" i="1"/>
  <c r="Q630" i="1" s="1"/>
  <c r="I631" i="1"/>
  <c r="Q631" i="1" s="1"/>
  <c r="I632" i="1"/>
  <c r="Q632" i="1" s="1"/>
  <c r="I633" i="1"/>
  <c r="Q633" i="1" s="1"/>
  <c r="I634" i="1"/>
  <c r="Q634" i="1" s="1"/>
  <c r="I635" i="1"/>
  <c r="Q635" i="1" s="1"/>
  <c r="I636" i="1"/>
  <c r="Q636" i="1" s="1"/>
  <c r="I637" i="1"/>
  <c r="Q637" i="1" s="1"/>
  <c r="I638" i="1"/>
  <c r="Q638" i="1" s="1"/>
  <c r="I639" i="1"/>
  <c r="Q639" i="1" s="1"/>
  <c r="I640" i="1"/>
  <c r="Q640" i="1" s="1"/>
  <c r="I641" i="1"/>
  <c r="Q641" i="1" s="1"/>
  <c r="I642" i="1"/>
  <c r="Q642" i="1" s="1"/>
  <c r="I643" i="1"/>
  <c r="Q643" i="1" s="1"/>
  <c r="I644" i="1"/>
  <c r="Q644" i="1" s="1"/>
  <c r="I645" i="1"/>
  <c r="Q645" i="1" s="1"/>
  <c r="I646" i="1"/>
  <c r="Q646" i="1" s="1"/>
  <c r="I647" i="1"/>
  <c r="Q647" i="1" s="1"/>
  <c r="I648" i="1"/>
  <c r="Q648" i="1" s="1"/>
  <c r="I649" i="1"/>
  <c r="Q649" i="1" s="1"/>
  <c r="I650" i="1"/>
  <c r="Q650" i="1" s="1"/>
  <c r="I651" i="1"/>
  <c r="Q651" i="1" s="1"/>
  <c r="I652" i="1"/>
  <c r="Q652" i="1" s="1"/>
  <c r="I653" i="1"/>
  <c r="Q653" i="1" s="1"/>
  <c r="I654" i="1"/>
  <c r="Q654" i="1" s="1"/>
  <c r="I655" i="1"/>
  <c r="Q655" i="1" s="1"/>
  <c r="I656" i="1"/>
  <c r="Q656" i="1" s="1"/>
  <c r="I657" i="1"/>
  <c r="Q657" i="1" s="1"/>
  <c r="I658" i="1"/>
  <c r="Q658" i="1" s="1"/>
  <c r="I659" i="1"/>
  <c r="Q659" i="1" s="1"/>
  <c r="I660" i="1"/>
  <c r="Q660" i="1" s="1"/>
  <c r="I661" i="1"/>
  <c r="Q661" i="1" s="1"/>
  <c r="I662" i="1"/>
  <c r="Q662" i="1" s="1"/>
  <c r="I663" i="1"/>
  <c r="Q663" i="1" s="1"/>
  <c r="I664" i="1"/>
  <c r="Q664" i="1" s="1"/>
  <c r="I665" i="1"/>
  <c r="Q665" i="1" s="1"/>
  <c r="I666" i="1"/>
  <c r="Q666" i="1" s="1"/>
  <c r="I667" i="1"/>
  <c r="Q667" i="1" s="1"/>
  <c r="I668" i="1"/>
  <c r="Q668" i="1" s="1"/>
  <c r="I669" i="1"/>
  <c r="Q669" i="1" s="1"/>
  <c r="I670" i="1"/>
  <c r="Q670" i="1" s="1"/>
  <c r="I671" i="1"/>
  <c r="Q671" i="1" s="1"/>
  <c r="I672" i="1"/>
  <c r="Q672" i="1" s="1"/>
  <c r="I673" i="1"/>
  <c r="Q673" i="1" s="1"/>
  <c r="I674" i="1"/>
  <c r="Q674" i="1" s="1"/>
  <c r="I675" i="1"/>
  <c r="Q675" i="1" s="1"/>
  <c r="I676" i="1"/>
  <c r="Q676" i="1" s="1"/>
  <c r="I677" i="1"/>
  <c r="Q677" i="1" s="1"/>
  <c r="I678" i="1"/>
  <c r="Q678" i="1" s="1"/>
  <c r="I679" i="1"/>
  <c r="Q679" i="1" s="1"/>
  <c r="I680" i="1"/>
  <c r="Q680" i="1" s="1"/>
  <c r="I681" i="1"/>
  <c r="Q681" i="1" s="1"/>
  <c r="I682" i="1"/>
  <c r="Q682" i="1" s="1"/>
  <c r="I683" i="1"/>
  <c r="Q683" i="1" s="1"/>
  <c r="I684" i="1"/>
  <c r="Q684" i="1" s="1"/>
  <c r="I685" i="1"/>
  <c r="Q685" i="1" s="1"/>
  <c r="I686" i="1"/>
  <c r="Q686" i="1" s="1"/>
  <c r="I687" i="1"/>
  <c r="Q687" i="1" s="1"/>
  <c r="I688" i="1"/>
  <c r="Q688" i="1" s="1"/>
  <c r="I689" i="1"/>
  <c r="Q689" i="1" s="1"/>
  <c r="I690" i="1"/>
  <c r="Q690" i="1" s="1"/>
  <c r="I691" i="1"/>
  <c r="Q691" i="1" s="1"/>
  <c r="I692" i="1"/>
  <c r="Q692" i="1" s="1"/>
  <c r="I693" i="1"/>
  <c r="Q693" i="1" s="1"/>
  <c r="I694" i="1"/>
  <c r="Q694" i="1" s="1"/>
  <c r="I695" i="1"/>
  <c r="Q695" i="1" s="1"/>
  <c r="I696" i="1"/>
  <c r="Q696" i="1" s="1"/>
  <c r="I697" i="1"/>
  <c r="Q697" i="1" s="1"/>
  <c r="I698" i="1"/>
  <c r="Q698" i="1" s="1"/>
  <c r="I699" i="1"/>
  <c r="Q699" i="1" s="1"/>
  <c r="I700" i="1"/>
  <c r="Q700" i="1" s="1"/>
  <c r="I701" i="1"/>
  <c r="Q701" i="1" s="1"/>
  <c r="I702" i="1"/>
  <c r="Q702" i="1" s="1"/>
  <c r="I703" i="1"/>
  <c r="Q703" i="1" s="1"/>
  <c r="I704" i="1"/>
  <c r="Q704" i="1" s="1"/>
  <c r="I705" i="1"/>
  <c r="Q705" i="1" s="1"/>
  <c r="I706" i="1"/>
  <c r="Q706" i="1" s="1"/>
  <c r="I707" i="1"/>
  <c r="Q707" i="1" s="1"/>
  <c r="I708" i="1"/>
  <c r="Q708" i="1" s="1"/>
  <c r="I709" i="1"/>
  <c r="Q709" i="1" s="1"/>
  <c r="I710" i="1"/>
  <c r="Q710" i="1" s="1"/>
  <c r="I711" i="1"/>
  <c r="Q711" i="1" s="1"/>
  <c r="I712" i="1"/>
  <c r="Q712" i="1" s="1"/>
  <c r="I713" i="1"/>
  <c r="Q713" i="1" s="1"/>
  <c r="I714" i="1"/>
  <c r="Q714" i="1" s="1"/>
  <c r="I715" i="1"/>
  <c r="Q715" i="1" s="1"/>
  <c r="I716" i="1"/>
  <c r="Q716" i="1" s="1"/>
  <c r="I717" i="1"/>
  <c r="Q717" i="1" s="1"/>
  <c r="I718" i="1"/>
  <c r="Q718" i="1" s="1"/>
  <c r="I719" i="1"/>
  <c r="Q719" i="1" s="1"/>
  <c r="I720" i="1"/>
  <c r="Q720" i="1" s="1"/>
  <c r="I721" i="1"/>
  <c r="Q721" i="1" s="1"/>
  <c r="I722" i="1"/>
  <c r="Q722" i="1" s="1"/>
  <c r="I723" i="1"/>
  <c r="Q723" i="1" s="1"/>
  <c r="I724" i="1"/>
  <c r="Q724" i="1" s="1"/>
  <c r="I725" i="1"/>
  <c r="Q725" i="1" s="1"/>
  <c r="I726" i="1"/>
  <c r="Q726" i="1" s="1"/>
  <c r="I727" i="1"/>
  <c r="Q727" i="1" s="1"/>
  <c r="I728" i="1"/>
  <c r="Q728" i="1" s="1"/>
  <c r="I729" i="1"/>
  <c r="Q729" i="1" s="1"/>
  <c r="I730" i="1"/>
  <c r="Q730" i="1" s="1"/>
  <c r="I731" i="1"/>
  <c r="Q731" i="1" s="1"/>
  <c r="I732" i="1"/>
  <c r="Q732" i="1" s="1"/>
  <c r="I733" i="1"/>
  <c r="Q733" i="1" s="1"/>
  <c r="I734" i="1"/>
  <c r="Q734" i="1" s="1"/>
  <c r="I735" i="1"/>
  <c r="Q735" i="1" s="1"/>
  <c r="I736" i="1"/>
  <c r="Q736" i="1" s="1"/>
  <c r="I737" i="1"/>
  <c r="Q737" i="1" s="1"/>
  <c r="I738" i="1"/>
  <c r="Q738" i="1" s="1"/>
  <c r="I739" i="1"/>
  <c r="Q739" i="1" s="1"/>
  <c r="I740" i="1"/>
  <c r="Q740" i="1" s="1"/>
  <c r="I741" i="1"/>
  <c r="Q741" i="1" s="1"/>
  <c r="I742" i="1"/>
  <c r="Q742" i="1" s="1"/>
  <c r="I743" i="1"/>
  <c r="Q743" i="1" s="1"/>
  <c r="I744" i="1"/>
  <c r="Q744" i="1" s="1"/>
  <c r="I745" i="1"/>
  <c r="Q745" i="1" s="1"/>
  <c r="I746" i="1"/>
  <c r="Q746" i="1" s="1"/>
  <c r="I747" i="1"/>
  <c r="Q747" i="1" s="1"/>
  <c r="I748" i="1"/>
  <c r="Q748" i="1" s="1"/>
  <c r="I749" i="1"/>
  <c r="Q749" i="1" s="1"/>
  <c r="I750" i="1"/>
  <c r="Q750" i="1" s="1"/>
  <c r="I751" i="1"/>
  <c r="Q751" i="1" s="1"/>
  <c r="I752" i="1"/>
  <c r="Q752" i="1" s="1"/>
  <c r="I753" i="1"/>
  <c r="Q753" i="1" s="1"/>
  <c r="I754" i="1"/>
  <c r="Q754" i="1" s="1"/>
  <c r="I755" i="1"/>
  <c r="Q755" i="1" s="1"/>
  <c r="I756" i="1"/>
  <c r="Q756" i="1" s="1"/>
  <c r="I757" i="1"/>
  <c r="Q757" i="1" s="1"/>
  <c r="I758" i="1"/>
  <c r="Q758" i="1" s="1"/>
  <c r="I759" i="1"/>
  <c r="Q759" i="1" s="1"/>
  <c r="I760" i="1"/>
  <c r="Q760" i="1" s="1"/>
  <c r="I761" i="1"/>
  <c r="Q761" i="1" s="1"/>
  <c r="I762" i="1"/>
  <c r="Q762" i="1" s="1"/>
  <c r="I763" i="1"/>
  <c r="Q763" i="1" s="1"/>
  <c r="I764" i="1"/>
  <c r="Q764" i="1" s="1"/>
  <c r="I765" i="1"/>
  <c r="Q765" i="1" s="1"/>
  <c r="I766" i="1"/>
  <c r="Q766" i="1" s="1"/>
  <c r="I767" i="1"/>
  <c r="Q767" i="1" s="1"/>
  <c r="I768" i="1"/>
  <c r="Q768" i="1" s="1"/>
  <c r="I769" i="1"/>
  <c r="Q769" i="1" s="1"/>
  <c r="I770" i="1"/>
  <c r="Q770" i="1" s="1"/>
  <c r="I771" i="1"/>
  <c r="Q771" i="1" s="1"/>
  <c r="I772" i="1"/>
  <c r="Q772" i="1" s="1"/>
  <c r="I773" i="1"/>
  <c r="Q773" i="1" s="1"/>
  <c r="I774" i="1"/>
  <c r="Q774" i="1" s="1"/>
  <c r="I775" i="1"/>
  <c r="Q775" i="1" s="1"/>
  <c r="I776" i="1"/>
  <c r="Q776" i="1" s="1"/>
  <c r="I777" i="1"/>
  <c r="Q777" i="1" s="1"/>
  <c r="I778" i="1"/>
  <c r="Q778" i="1" s="1"/>
  <c r="I779" i="1"/>
  <c r="Q779" i="1" s="1"/>
  <c r="I780" i="1"/>
  <c r="Q780" i="1" s="1"/>
  <c r="I781" i="1"/>
  <c r="Q781" i="1" s="1"/>
  <c r="I782" i="1"/>
  <c r="Q782" i="1" s="1"/>
  <c r="I783" i="1"/>
  <c r="Q783" i="1" s="1"/>
  <c r="I784" i="1"/>
  <c r="Q784" i="1" s="1"/>
  <c r="I785" i="1"/>
  <c r="Q785" i="1" s="1"/>
  <c r="I786" i="1"/>
  <c r="Q786" i="1" s="1"/>
  <c r="I787" i="1"/>
  <c r="Q787" i="1" s="1"/>
  <c r="I788" i="1"/>
  <c r="Q788" i="1" s="1"/>
  <c r="I789" i="1"/>
  <c r="Q789" i="1" s="1"/>
  <c r="I790" i="1"/>
  <c r="Q790" i="1" s="1"/>
  <c r="I791" i="1"/>
  <c r="Q791" i="1" s="1"/>
  <c r="I792" i="1"/>
  <c r="Q792" i="1" s="1"/>
  <c r="I793" i="1"/>
  <c r="Q793" i="1" s="1"/>
  <c r="I794" i="1"/>
  <c r="Q794" i="1" s="1"/>
  <c r="I795" i="1"/>
  <c r="Q795" i="1" s="1"/>
  <c r="I796" i="1"/>
  <c r="Q796" i="1" s="1"/>
  <c r="I797" i="1"/>
  <c r="Q797" i="1" s="1"/>
  <c r="I798" i="1"/>
  <c r="Q798" i="1" s="1"/>
  <c r="I799" i="1"/>
  <c r="Q799" i="1" s="1"/>
  <c r="I800" i="1"/>
  <c r="Q800" i="1" s="1"/>
  <c r="I801" i="1"/>
  <c r="Q801" i="1" s="1"/>
  <c r="I802" i="1"/>
  <c r="Q802" i="1" s="1"/>
  <c r="I803" i="1"/>
  <c r="Q803" i="1" s="1"/>
  <c r="I804" i="1"/>
  <c r="Q804" i="1" s="1"/>
  <c r="I805" i="1"/>
  <c r="Q805" i="1" s="1"/>
  <c r="I806" i="1"/>
  <c r="Q806" i="1" s="1"/>
  <c r="I807" i="1"/>
  <c r="Q807" i="1" s="1"/>
  <c r="I808" i="1"/>
  <c r="Q808" i="1" s="1"/>
  <c r="I809" i="1"/>
  <c r="Q809" i="1" s="1"/>
  <c r="I810" i="1"/>
  <c r="Q810" i="1" s="1"/>
  <c r="I811" i="1"/>
  <c r="Q811" i="1" s="1"/>
  <c r="I812" i="1"/>
  <c r="Q812" i="1" s="1"/>
  <c r="I813" i="1"/>
  <c r="Q813" i="1" s="1"/>
  <c r="I814" i="1"/>
  <c r="Q814" i="1" s="1"/>
  <c r="I815" i="1"/>
  <c r="Q815" i="1" s="1"/>
  <c r="I816" i="1"/>
  <c r="Q816" i="1" s="1"/>
  <c r="I817" i="1"/>
  <c r="Q817" i="1" s="1"/>
  <c r="I818" i="1"/>
  <c r="Q818" i="1" s="1"/>
  <c r="I819" i="1"/>
  <c r="Q819" i="1" s="1"/>
  <c r="I820" i="1"/>
  <c r="Q820" i="1" s="1"/>
  <c r="I821" i="1"/>
  <c r="Q821" i="1" s="1"/>
  <c r="I822" i="1"/>
  <c r="Q822" i="1" s="1"/>
  <c r="I823" i="1"/>
  <c r="Q823" i="1" s="1"/>
  <c r="I824" i="1"/>
  <c r="Q824" i="1" s="1"/>
  <c r="I825" i="1"/>
  <c r="Q825" i="1" s="1"/>
  <c r="I826" i="1"/>
  <c r="Q826" i="1" s="1"/>
  <c r="I827" i="1"/>
  <c r="Q827" i="1" s="1"/>
  <c r="I828" i="1"/>
  <c r="Q828" i="1" s="1"/>
  <c r="I829" i="1"/>
  <c r="Q829" i="1" s="1"/>
  <c r="I830" i="1"/>
  <c r="Q830" i="1" s="1"/>
  <c r="I831" i="1"/>
  <c r="Q831" i="1" s="1"/>
  <c r="I832" i="1"/>
  <c r="Q832" i="1" s="1"/>
  <c r="I833" i="1"/>
  <c r="Q833" i="1" s="1"/>
  <c r="I834" i="1"/>
  <c r="Q834" i="1" s="1"/>
  <c r="I835" i="1"/>
  <c r="Q835" i="1" s="1"/>
  <c r="I836" i="1"/>
  <c r="Q836" i="1" s="1"/>
  <c r="I837" i="1"/>
  <c r="Q837" i="1" s="1"/>
  <c r="I838" i="1"/>
  <c r="Q838" i="1" s="1"/>
  <c r="I839" i="1"/>
  <c r="Q839" i="1" s="1"/>
  <c r="I840" i="1"/>
  <c r="Q840" i="1" s="1"/>
  <c r="I841" i="1"/>
  <c r="Q841" i="1" s="1"/>
  <c r="I842" i="1"/>
  <c r="Q842" i="1" s="1"/>
  <c r="I843" i="1"/>
  <c r="Q843" i="1" s="1"/>
  <c r="I844" i="1"/>
  <c r="Q844" i="1" s="1"/>
  <c r="I845" i="1"/>
  <c r="Q845" i="1" s="1"/>
  <c r="I846" i="1"/>
  <c r="Q846" i="1" s="1"/>
  <c r="I847" i="1"/>
  <c r="Q847" i="1" s="1"/>
  <c r="I848" i="1"/>
  <c r="Q848" i="1" s="1"/>
  <c r="I849" i="1"/>
  <c r="Q849" i="1" s="1"/>
  <c r="I850" i="1"/>
  <c r="Q850" i="1" s="1"/>
  <c r="I851" i="1"/>
  <c r="Q851" i="1" s="1"/>
  <c r="I852" i="1"/>
  <c r="Q852" i="1" s="1"/>
  <c r="I853" i="1"/>
  <c r="Q853" i="1" s="1"/>
  <c r="I854" i="1"/>
  <c r="Q854" i="1" s="1"/>
  <c r="I855" i="1"/>
  <c r="Q855" i="1" s="1"/>
  <c r="I856" i="1"/>
  <c r="Q856" i="1" s="1"/>
  <c r="I857" i="1"/>
  <c r="Q857" i="1" s="1"/>
  <c r="I858" i="1"/>
  <c r="Q858" i="1" s="1"/>
  <c r="I859" i="1"/>
  <c r="Q859" i="1" s="1"/>
  <c r="I860" i="1"/>
  <c r="Q860" i="1" s="1"/>
  <c r="I861" i="1"/>
  <c r="Q861" i="1" s="1"/>
  <c r="I862" i="1"/>
  <c r="Q862" i="1" s="1"/>
  <c r="I863" i="1"/>
  <c r="Q863" i="1" s="1"/>
  <c r="I864" i="1"/>
  <c r="Q864" i="1" s="1"/>
  <c r="I865" i="1"/>
  <c r="Q865" i="1" s="1"/>
  <c r="I866" i="1"/>
  <c r="Q866" i="1" s="1"/>
  <c r="I867" i="1"/>
  <c r="Q867" i="1" s="1"/>
  <c r="I868" i="1"/>
  <c r="Q868" i="1" s="1"/>
  <c r="I869" i="1"/>
  <c r="Q869" i="1" s="1"/>
  <c r="I870" i="1"/>
  <c r="Q870" i="1" s="1"/>
  <c r="I871" i="1"/>
  <c r="Q871" i="1" s="1"/>
  <c r="I872" i="1"/>
  <c r="Q872" i="1" s="1"/>
  <c r="I873" i="1"/>
  <c r="Q873" i="1" s="1"/>
  <c r="I874" i="1"/>
  <c r="Q874" i="1" s="1"/>
  <c r="I875" i="1"/>
  <c r="Q875" i="1" s="1"/>
  <c r="I876" i="1"/>
  <c r="Q876" i="1" s="1"/>
  <c r="I877" i="1"/>
  <c r="Q877" i="1" s="1"/>
  <c r="I878" i="1"/>
  <c r="Q878" i="1" s="1"/>
  <c r="I879" i="1"/>
  <c r="Q879" i="1" s="1"/>
  <c r="I880" i="1"/>
  <c r="Q880" i="1" s="1"/>
  <c r="I881" i="1"/>
  <c r="Q881" i="1" s="1"/>
  <c r="I882" i="1"/>
  <c r="Q882" i="1" s="1"/>
  <c r="I883" i="1"/>
  <c r="Q883" i="1" s="1"/>
  <c r="I884" i="1"/>
  <c r="Q884" i="1" s="1"/>
  <c r="I885" i="1"/>
  <c r="Q885" i="1" s="1"/>
  <c r="I886" i="1"/>
  <c r="Q886" i="1" s="1"/>
  <c r="I887" i="1"/>
  <c r="Q887" i="1" s="1"/>
  <c r="I888" i="1"/>
  <c r="Q888" i="1" s="1"/>
  <c r="I889" i="1"/>
  <c r="Q889" i="1" s="1"/>
  <c r="I890" i="1"/>
  <c r="Q890" i="1" s="1"/>
  <c r="I891" i="1"/>
  <c r="Q891" i="1" s="1"/>
  <c r="I892" i="1"/>
  <c r="Q892" i="1" s="1"/>
  <c r="I893" i="1"/>
  <c r="Q893" i="1" s="1"/>
  <c r="I894" i="1"/>
  <c r="Q894" i="1" s="1"/>
  <c r="I895" i="1"/>
  <c r="Q895" i="1" s="1"/>
  <c r="I896" i="1"/>
  <c r="Q896" i="1" s="1"/>
  <c r="I897" i="1"/>
  <c r="Q897" i="1" s="1"/>
  <c r="I898" i="1"/>
  <c r="Q898" i="1" s="1"/>
  <c r="I899" i="1"/>
  <c r="Q899" i="1" s="1"/>
  <c r="I900" i="1"/>
  <c r="Q900" i="1" s="1"/>
  <c r="I901" i="1"/>
  <c r="Q901" i="1" s="1"/>
  <c r="I902" i="1"/>
  <c r="Q902" i="1" s="1"/>
  <c r="I903" i="1"/>
  <c r="Q903" i="1" s="1"/>
  <c r="I904" i="1"/>
  <c r="Q904" i="1" s="1"/>
  <c r="I905" i="1"/>
  <c r="Q905" i="1" s="1"/>
  <c r="I906" i="1"/>
  <c r="Q906" i="1" s="1"/>
  <c r="I907" i="1"/>
  <c r="Q907" i="1" s="1"/>
  <c r="I908" i="1"/>
  <c r="Q908" i="1" s="1"/>
  <c r="I909" i="1"/>
  <c r="Q909" i="1" s="1"/>
  <c r="I910" i="1"/>
  <c r="Q910" i="1" s="1"/>
  <c r="I911" i="1"/>
  <c r="Q911" i="1" s="1"/>
  <c r="I912" i="1"/>
  <c r="Q912" i="1" s="1"/>
  <c r="I913" i="1"/>
  <c r="Q913" i="1" s="1"/>
  <c r="I914" i="1"/>
  <c r="Q914" i="1" s="1"/>
  <c r="I915" i="1"/>
  <c r="Q915" i="1" s="1"/>
  <c r="I916" i="1"/>
  <c r="Q916" i="1" s="1"/>
  <c r="I917" i="1"/>
  <c r="Q917" i="1" s="1"/>
  <c r="I918" i="1"/>
  <c r="Q918" i="1" s="1"/>
  <c r="I919" i="1"/>
  <c r="Q919" i="1" s="1"/>
  <c r="I920" i="1"/>
  <c r="Q920" i="1" s="1"/>
  <c r="I921" i="1"/>
  <c r="Q921" i="1" s="1"/>
  <c r="I922" i="1"/>
  <c r="Q922" i="1" s="1"/>
  <c r="I923" i="1"/>
  <c r="Q923" i="1" s="1"/>
  <c r="I924" i="1"/>
  <c r="Q924" i="1" s="1"/>
  <c r="I925" i="1"/>
  <c r="Q925" i="1" s="1"/>
  <c r="I926" i="1"/>
  <c r="Q926" i="1" s="1"/>
  <c r="I927" i="1"/>
  <c r="Q927" i="1" s="1"/>
  <c r="I928" i="1"/>
  <c r="Q928" i="1" s="1"/>
  <c r="I929" i="1"/>
  <c r="Q929" i="1" s="1"/>
  <c r="I930" i="1"/>
  <c r="Q930" i="1" s="1"/>
  <c r="I931" i="1"/>
  <c r="Q931" i="1" s="1"/>
  <c r="I932" i="1"/>
  <c r="Q932" i="1" s="1"/>
  <c r="I933" i="1"/>
  <c r="Q933" i="1" s="1"/>
  <c r="I934" i="1"/>
  <c r="Q934" i="1" s="1"/>
  <c r="I935" i="1"/>
  <c r="Q935" i="1" s="1"/>
  <c r="I936" i="1"/>
  <c r="Q936" i="1" s="1"/>
  <c r="I937" i="1"/>
  <c r="Q937" i="1" s="1"/>
  <c r="I938" i="1"/>
  <c r="Q938" i="1" s="1"/>
  <c r="I939" i="1"/>
  <c r="Q939" i="1" s="1"/>
  <c r="I940" i="1"/>
  <c r="Q940" i="1" s="1"/>
  <c r="I941" i="1"/>
  <c r="Q941" i="1" s="1"/>
  <c r="I942" i="1"/>
  <c r="Q942" i="1" s="1"/>
  <c r="I943" i="1"/>
  <c r="Q943" i="1" s="1"/>
  <c r="I944" i="1"/>
  <c r="Q944" i="1" s="1"/>
  <c r="I945" i="1"/>
  <c r="Q945" i="1" s="1"/>
  <c r="I946" i="1"/>
  <c r="Q946" i="1" s="1"/>
  <c r="I947" i="1"/>
  <c r="Q947" i="1" s="1"/>
  <c r="I948" i="1"/>
  <c r="Q948" i="1" s="1"/>
  <c r="I949" i="1"/>
  <c r="Q949" i="1" s="1"/>
  <c r="I950" i="1"/>
  <c r="Q950" i="1" s="1"/>
  <c r="I951" i="1"/>
  <c r="Q951" i="1" s="1"/>
  <c r="I952" i="1"/>
  <c r="Q952" i="1" s="1"/>
  <c r="I953" i="1"/>
  <c r="Q953" i="1" s="1"/>
  <c r="I954" i="1"/>
  <c r="Q954" i="1" s="1"/>
  <c r="I955" i="1"/>
  <c r="Q955" i="1" s="1"/>
  <c r="I956" i="1"/>
  <c r="Q956" i="1" s="1"/>
  <c r="I957" i="1"/>
  <c r="Q957" i="1" s="1"/>
  <c r="I958" i="1"/>
  <c r="Q958" i="1" s="1"/>
  <c r="I959" i="1"/>
  <c r="Q959" i="1" s="1"/>
  <c r="I960" i="1"/>
  <c r="Q960" i="1" s="1"/>
  <c r="I961" i="1"/>
  <c r="Q961" i="1" s="1"/>
  <c r="I962" i="1"/>
  <c r="Q962" i="1" s="1"/>
  <c r="I963" i="1"/>
  <c r="Q963" i="1" s="1"/>
  <c r="I964" i="1"/>
  <c r="Q964" i="1" s="1"/>
  <c r="I965" i="1"/>
  <c r="Q965" i="1" s="1"/>
  <c r="I966" i="1"/>
  <c r="Q966" i="1" s="1"/>
  <c r="I967" i="1"/>
  <c r="Q967" i="1" s="1"/>
  <c r="I968" i="1"/>
  <c r="Q968" i="1" s="1"/>
  <c r="I969" i="1"/>
  <c r="Q969" i="1" s="1"/>
  <c r="I970" i="1"/>
  <c r="Q970" i="1" s="1"/>
  <c r="I971" i="1"/>
  <c r="Q971" i="1" s="1"/>
  <c r="I972" i="1"/>
  <c r="Q972" i="1" s="1"/>
  <c r="I973" i="1"/>
  <c r="Q973" i="1" s="1"/>
  <c r="I974" i="1"/>
  <c r="Q974" i="1" s="1"/>
  <c r="I975" i="1"/>
  <c r="Q975" i="1" s="1"/>
  <c r="I976" i="1"/>
  <c r="Q976" i="1" s="1"/>
  <c r="I977" i="1"/>
  <c r="Q977" i="1" s="1"/>
  <c r="I978" i="1"/>
  <c r="Q978" i="1" s="1"/>
  <c r="I979" i="1"/>
  <c r="Q979" i="1" s="1"/>
  <c r="I980" i="1"/>
  <c r="Q980" i="1" s="1"/>
  <c r="I981" i="1"/>
  <c r="Q981" i="1" s="1"/>
  <c r="I982" i="1"/>
  <c r="Q982" i="1" s="1"/>
  <c r="I983" i="1"/>
  <c r="Q983" i="1" s="1"/>
  <c r="I984" i="1"/>
  <c r="Q984" i="1" s="1"/>
  <c r="I985" i="1"/>
  <c r="Q985" i="1" s="1"/>
  <c r="I986" i="1"/>
  <c r="Q986" i="1" s="1"/>
  <c r="I987" i="1"/>
  <c r="Q987" i="1" s="1"/>
  <c r="I988" i="1"/>
  <c r="Q988" i="1" s="1"/>
  <c r="I989" i="1"/>
  <c r="Q989" i="1" s="1"/>
  <c r="I990" i="1"/>
  <c r="Q990" i="1" s="1"/>
  <c r="I991" i="1"/>
  <c r="Q991" i="1" s="1"/>
  <c r="I992" i="1"/>
  <c r="Q992" i="1" s="1"/>
  <c r="I993" i="1"/>
  <c r="Q993" i="1" s="1"/>
  <c r="I994" i="1"/>
  <c r="Q994" i="1" s="1"/>
  <c r="I995" i="1"/>
  <c r="Q995" i="1" s="1"/>
  <c r="I996" i="1"/>
  <c r="Q996" i="1" s="1"/>
  <c r="I997" i="1"/>
  <c r="Q997" i="1" s="1"/>
  <c r="I998" i="1"/>
  <c r="Q998" i="1" s="1"/>
  <c r="I999" i="1"/>
  <c r="Q999" i="1" s="1"/>
  <c r="I1000" i="1"/>
  <c r="Q1000" i="1" s="1"/>
  <c r="I1001" i="1"/>
  <c r="Q1001" i="1" s="1"/>
  <c r="I1002" i="1"/>
  <c r="Q1002" i="1" s="1"/>
  <c r="I1003" i="1"/>
  <c r="Q1003" i="1" s="1"/>
  <c r="I1004" i="1"/>
  <c r="Q1004" i="1" s="1"/>
  <c r="I1005" i="1"/>
  <c r="Q1005" i="1" s="1"/>
  <c r="I1006" i="1"/>
  <c r="Q1006" i="1" s="1"/>
  <c r="I1007" i="1"/>
  <c r="Q1007" i="1" s="1"/>
  <c r="I1008" i="1"/>
  <c r="Q1008" i="1" s="1"/>
  <c r="I1009" i="1"/>
  <c r="Q1009" i="1" s="1"/>
  <c r="I1010" i="1"/>
  <c r="Q1010" i="1" s="1"/>
  <c r="I1011" i="1"/>
  <c r="Q1011" i="1" s="1"/>
  <c r="I1012" i="1"/>
  <c r="Q1012" i="1" s="1"/>
  <c r="I1013" i="1"/>
  <c r="Q1013" i="1" s="1"/>
  <c r="I1014" i="1"/>
  <c r="Q1014" i="1" s="1"/>
  <c r="I1015" i="1"/>
  <c r="Q1015" i="1" s="1"/>
  <c r="I1016" i="1"/>
  <c r="Q1016" i="1" s="1"/>
  <c r="I1017" i="1"/>
  <c r="Q1017" i="1" s="1"/>
  <c r="I1018" i="1"/>
  <c r="Q1018" i="1" s="1"/>
  <c r="I1019" i="1"/>
  <c r="Q1019" i="1" s="1"/>
  <c r="I1020" i="1"/>
  <c r="Q1020" i="1" s="1"/>
  <c r="I1021" i="1"/>
  <c r="Q1021" i="1" s="1"/>
  <c r="I1022" i="1"/>
  <c r="Q1022" i="1" s="1"/>
  <c r="I1023" i="1"/>
  <c r="Q1023" i="1" s="1"/>
  <c r="I1024" i="1"/>
  <c r="Q1024" i="1" s="1"/>
  <c r="I1025" i="1"/>
  <c r="Q1025" i="1" s="1"/>
  <c r="I1026" i="1"/>
  <c r="Q1026" i="1" s="1"/>
  <c r="I1027" i="1"/>
  <c r="Q1027" i="1" s="1"/>
  <c r="I1028" i="1"/>
  <c r="Q1028" i="1" s="1"/>
  <c r="I1029" i="1"/>
  <c r="Q1029" i="1" s="1"/>
  <c r="I1030" i="1"/>
  <c r="Q1030" i="1" s="1"/>
  <c r="I1031" i="1"/>
  <c r="Q1031" i="1" s="1"/>
  <c r="I1032" i="1"/>
  <c r="Q1032" i="1" s="1"/>
  <c r="I1033" i="1"/>
  <c r="Q1033" i="1" s="1"/>
  <c r="I1034" i="1"/>
  <c r="Q1034" i="1" s="1"/>
  <c r="I1035" i="1"/>
  <c r="Q1035" i="1" s="1"/>
  <c r="I1036" i="1"/>
  <c r="Q1036" i="1" s="1"/>
  <c r="I1037" i="1"/>
  <c r="Q1037" i="1" s="1"/>
  <c r="I1038" i="1"/>
  <c r="Q1038" i="1" s="1"/>
  <c r="I1039" i="1"/>
  <c r="Q1039" i="1" s="1"/>
  <c r="I1040" i="1"/>
  <c r="Q1040" i="1" s="1"/>
  <c r="I1041" i="1"/>
  <c r="Q1041" i="1" s="1"/>
  <c r="I1042" i="1"/>
  <c r="Q1042" i="1" s="1"/>
  <c r="I1043" i="1"/>
  <c r="Q1043" i="1" s="1"/>
  <c r="I1044" i="1"/>
  <c r="Q1044" i="1" s="1"/>
  <c r="I1045" i="1"/>
  <c r="Q1045" i="1" s="1"/>
  <c r="I1046" i="1"/>
  <c r="Q1046" i="1" s="1"/>
  <c r="I1047" i="1"/>
  <c r="Q1047" i="1" s="1"/>
  <c r="I1048" i="1"/>
  <c r="Q1048" i="1" s="1"/>
  <c r="I1049" i="1"/>
  <c r="Q1049" i="1" s="1"/>
  <c r="I1050" i="1"/>
  <c r="Q1050" i="1" s="1"/>
  <c r="I1051" i="1"/>
  <c r="Q1051" i="1" s="1"/>
  <c r="I1052" i="1"/>
  <c r="Q1052" i="1" s="1"/>
  <c r="I1053" i="1"/>
  <c r="Q1053" i="1" s="1"/>
  <c r="I1054" i="1"/>
  <c r="Q1054" i="1" s="1"/>
  <c r="I1055" i="1"/>
  <c r="Q1055" i="1" s="1"/>
  <c r="I1056" i="1"/>
  <c r="Q1056" i="1" s="1"/>
  <c r="I1057" i="1"/>
  <c r="Q1057" i="1" s="1"/>
  <c r="I1058" i="1"/>
  <c r="Q1058" i="1" s="1"/>
  <c r="I1059" i="1"/>
  <c r="Q1059" i="1" s="1"/>
  <c r="I1060" i="1"/>
  <c r="Q1060" i="1" s="1"/>
  <c r="I1061" i="1"/>
  <c r="Q1061" i="1" s="1"/>
  <c r="I1062" i="1"/>
  <c r="Q1062" i="1" s="1"/>
  <c r="I1063" i="1"/>
  <c r="Q1063" i="1" s="1"/>
  <c r="I1064" i="1"/>
  <c r="Q1064" i="1" s="1"/>
  <c r="I1065" i="1"/>
  <c r="Q1065" i="1" s="1"/>
  <c r="I1066" i="1"/>
  <c r="Q1066" i="1" s="1"/>
  <c r="I1067" i="1"/>
  <c r="Q1067" i="1" s="1"/>
  <c r="I1068" i="1"/>
  <c r="Q1068" i="1" s="1"/>
  <c r="I1069" i="1"/>
  <c r="Q1069" i="1" s="1"/>
  <c r="I1070" i="1"/>
  <c r="Q1070" i="1" s="1"/>
  <c r="I1071" i="1"/>
  <c r="Q1071" i="1" s="1"/>
  <c r="I1072" i="1"/>
  <c r="Q1072" i="1" s="1"/>
  <c r="I1073" i="1"/>
  <c r="Q1073" i="1" s="1"/>
  <c r="I1074" i="1"/>
  <c r="Q1074" i="1" s="1"/>
  <c r="I1075" i="1"/>
  <c r="Q1075" i="1" s="1"/>
  <c r="I1076" i="1"/>
  <c r="Q1076" i="1" s="1"/>
  <c r="I1077" i="1"/>
  <c r="Q1077" i="1" s="1"/>
  <c r="I1078" i="1"/>
  <c r="Q1078" i="1" s="1"/>
  <c r="I1079" i="1"/>
  <c r="Q1079" i="1" s="1"/>
  <c r="I1080" i="1"/>
  <c r="Q1080" i="1" s="1"/>
  <c r="I1081" i="1"/>
  <c r="Q1081" i="1" s="1"/>
  <c r="I1082" i="1"/>
  <c r="Q1082" i="1" s="1"/>
  <c r="I1083" i="1"/>
  <c r="Q1083" i="1" s="1"/>
  <c r="I1084" i="1"/>
  <c r="Q1084" i="1" s="1"/>
  <c r="I1085" i="1"/>
  <c r="Q1085" i="1" s="1"/>
  <c r="I1086" i="1"/>
  <c r="Q1086" i="1" s="1"/>
  <c r="I1087" i="1"/>
  <c r="Q1087" i="1" s="1"/>
  <c r="I1088" i="1"/>
  <c r="Q1088" i="1" s="1"/>
  <c r="I1089" i="1"/>
  <c r="Q1089" i="1" s="1"/>
  <c r="I1090" i="1"/>
  <c r="Q1090" i="1" s="1"/>
  <c r="I1091" i="1"/>
  <c r="Q1091" i="1" s="1"/>
  <c r="I1092" i="1"/>
  <c r="Q1092" i="1" s="1"/>
  <c r="I1093" i="1"/>
  <c r="Q1093" i="1" s="1"/>
  <c r="I1094" i="1"/>
  <c r="Q1094" i="1" s="1"/>
  <c r="I1095" i="1"/>
  <c r="Q1095" i="1" s="1"/>
  <c r="I1096" i="1"/>
  <c r="Q1096" i="1" s="1"/>
  <c r="I1097" i="1"/>
  <c r="Q1097" i="1" s="1"/>
  <c r="I1098" i="1"/>
  <c r="Q1098" i="1" s="1"/>
  <c r="I1099" i="1"/>
  <c r="Q1099" i="1" s="1"/>
  <c r="I1100" i="1"/>
  <c r="Q1100" i="1" s="1"/>
  <c r="I1101" i="1"/>
  <c r="Q1101" i="1" s="1"/>
  <c r="I1102" i="1"/>
  <c r="Q1102" i="1" s="1"/>
  <c r="I1103" i="1"/>
  <c r="Q1103" i="1" s="1"/>
  <c r="I1104" i="1"/>
  <c r="Q1104" i="1" s="1"/>
  <c r="I1105" i="1"/>
  <c r="Q1105" i="1" s="1"/>
  <c r="I1106" i="1"/>
  <c r="Q1106" i="1" s="1"/>
  <c r="I1107" i="1"/>
  <c r="Q1107" i="1" s="1"/>
  <c r="I1108" i="1"/>
  <c r="Q1108" i="1" s="1"/>
  <c r="I1109" i="1"/>
  <c r="Q1109" i="1" s="1"/>
  <c r="I2" i="1"/>
  <c r="Q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2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B2" i="14" l="1"/>
  <c r="F2" i="16"/>
  <c r="D2" i="15"/>
  <c r="E2" i="15" s="1"/>
  <c r="D9" i="15"/>
  <c r="D8" i="15"/>
  <c r="D7" i="15"/>
  <c r="D6" i="15"/>
  <c r="D5" i="15"/>
  <c r="D4" i="15"/>
  <c r="D3" i="15"/>
  <c r="C2" i="15"/>
  <c r="B9" i="15"/>
  <c r="C9" i="15" s="1"/>
  <c r="B8" i="15"/>
  <c r="C8" i="15" s="1"/>
  <c r="B7" i="15"/>
  <c r="C7" i="15" s="1"/>
  <c r="B6" i="15"/>
  <c r="C6" i="15" s="1"/>
  <c r="B5" i="15"/>
  <c r="C5" i="15" s="1"/>
  <c r="B4" i="15"/>
  <c r="C4" i="15" s="1"/>
  <c r="B3" i="15"/>
  <c r="C3" i="15" s="1"/>
  <c r="H2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J2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B15" i="11"/>
  <c r="B16" i="11"/>
  <c r="B17" i="11"/>
  <c r="B18" i="11"/>
  <c r="B19" i="11"/>
  <c r="B20" i="11"/>
  <c r="B21" i="11"/>
  <c r="B14" i="11"/>
  <c r="E15" i="11"/>
  <c r="E16" i="11"/>
  <c r="E17" i="11"/>
  <c r="E18" i="11"/>
  <c r="E19" i="11"/>
  <c r="E14" i="1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D3" i="11"/>
  <c r="D5" i="11"/>
  <c r="D4" i="1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C3" i="9"/>
  <c r="C4" i="9"/>
  <c r="C5" i="9"/>
  <c r="C6" i="9"/>
  <c r="C7" i="9"/>
  <c r="C8" i="9"/>
  <c r="C2" i="9"/>
  <c r="B3" i="11"/>
  <c r="F3" i="11" s="1"/>
  <c r="B4" i="11"/>
  <c r="F4" i="11" s="1"/>
  <c r="B5" i="11"/>
  <c r="F5" i="11" s="1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A2" i="7" a="1"/>
  <c r="E3" i="15" l="1"/>
  <c r="E4" i="15"/>
  <c r="E5" i="15"/>
  <c r="E6" i="15"/>
  <c r="E7" i="15"/>
  <c r="E8" i="15"/>
  <c r="E9" i="15"/>
  <c r="E4" i="11"/>
  <c r="E5" i="11"/>
  <c r="E3" i="11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A2" i="7"/>
  <c r="J2" i="7" l="1"/>
  <c r="B2" i="7"/>
  <c r="G151" i="7"/>
  <c r="H151" i="7" s="1"/>
  <c r="C151" i="7"/>
  <c r="G150" i="7"/>
  <c r="H150" i="7" s="1"/>
  <c r="C150" i="7"/>
  <c r="G149" i="7"/>
  <c r="H149" i="7" s="1"/>
  <c r="C149" i="7"/>
  <c r="G148" i="7"/>
  <c r="H148" i="7" s="1"/>
  <c r="C148" i="7"/>
  <c r="G147" i="7"/>
  <c r="H147" i="7" s="1"/>
  <c r="C147" i="7"/>
  <c r="G146" i="7"/>
  <c r="H146" i="7" s="1"/>
  <c r="I146" i="7" s="1"/>
  <c r="Q302" i="3" s="1"/>
  <c r="C146" i="7"/>
  <c r="G145" i="7"/>
  <c r="H145" i="7" s="1"/>
  <c r="C145" i="7"/>
  <c r="G144" i="7"/>
  <c r="H144" i="7" s="1"/>
  <c r="C144" i="7"/>
  <c r="G143" i="7"/>
  <c r="H143" i="7" s="1"/>
  <c r="C143" i="7"/>
  <c r="G142" i="7"/>
  <c r="H142" i="7" s="1"/>
  <c r="C142" i="7"/>
  <c r="G141" i="7"/>
  <c r="H141" i="7" s="1"/>
  <c r="C141" i="7"/>
  <c r="G140" i="7"/>
  <c r="H140" i="7" s="1"/>
  <c r="C140" i="7"/>
  <c r="G139" i="7"/>
  <c r="H139" i="7" s="1"/>
  <c r="C139" i="7"/>
  <c r="G138" i="7"/>
  <c r="H138" i="7" s="1"/>
  <c r="C138" i="7"/>
  <c r="G137" i="7"/>
  <c r="H137" i="7" s="1"/>
  <c r="C137" i="7"/>
  <c r="G136" i="7"/>
  <c r="H136" i="7" s="1"/>
  <c r="C136" i="7"/>
  <c r="G135" i="7"/>
  <c r="H135" i="7" s="1"/>
  <c r="C135" i="7"/>
  <c r="G134" i="7"/>
  <c r="H134" i="7" s="1"/>
  <c r="C134" i="7"/>
  <c r="G133" i="7"/>
  <c r="H133" i="7" s="1"/>
  <c r="C133" i="7"/>
  <c r="G132" i="7"/>
  <c r="H132" i="7" s="1"/>
  <c r="C132" i="7"/>
  <c r="G131" i="7"/>
  <c r="H131" i="7" s="1"/>
  <c r="C131" i="7"/>
  <c r="G130" i="7"/>
  <c r="H130" i="7" s="1"/>
  <c r="C130" i="7"/>
  <c r="G129" i="7"/>
  <c r="H129" i="7" s="1"/>
  <c r="I129" i="7" s="1"/>
  <c r="C129" i="7"/>
  <c r="G128" i="7"/>
  <c r="H128" i="7" s="1"/>
  <c r="C128" i="7"/>
  <c r="G127" i="7"/>
  <c r="H127" i="7" s="1"/>
  <c r="I127" i="7" s="1"/>
  <c r="Q260" i="3" s="1"/>
  <c r="C127" i="7"/>
  <c r="G126" i="7"/>
  <c r="H126" i="7" s="1"/>
  <c r="C126" i="7"/>
  <c r="G125" i="7"/>
  <c r="H125" i="7" s="1"/>
  <c r="I125" i="7" s="1"/>
  <c r="Q257" i="3" s="1"/>
  <c r="C125" i="7"/>
  <c r="G124" i="7"/>
  <c r="H124" i="7" s="1"/>
  <c r="C124" i="7"/>
  <c r="G123" i="7"/>
  <c r="H123" i="7" s="1"/>
  <c r="I123" i="7" s="1"/>
  <c r="C123" i="7"/>
  <c r="G122" i="7"/>
  <c r="H122" i="7" s="1"/>
  <c r="C122" i="7"/>
  <c r="G121" i="7"/>
  <c r="H121" i="7" s="1"/>
  <c r="C121" i="7"/>
  <c r="G120" i="7"/>
  <c r="H120" i="7" s="1"/>
  <c r="C120" i="7"/>
  <c r="G119" i="7"/>
  <c r="H119" i="7" s="1"/>
  <c r="C119" i="7"/>
  <c r="G118" i="7"/>
  <c r="H118" i="7" s="1"/>
  <c r="C118" i="7"/>
  <c r="G117" i="7"/>
  <c r="H117" i="7" s="1"/>
  <c r="C117" i="7"/>
  <c r="G116" i="7"/>
  <c r="H116" i="7" s="1"/>
  <c r="C116" i="7"/>
  <c r="G115" i="7"/>
  <c r="H115" i="7" s="1"/>
  <c r="C115" i="7"/>
  <c r="G114" i="7"/>
  <c r="H114" i="7" s="1"/>
  <c r="C114" i="7"/>
  <c r="G113" i="7"/>
  <c r="H113" i="7" s="1"/>
  <c r="C113" i="7"/>
  <c r="G112" i="7"/>
  <c r="H112" i="7" s="1"/>
  <c r="I112" i="7" s="1"/>
  <c r="C112" i="7"/>
  <c r="G111" i="7"/>
  <c r="H111" i="7" s="1"/>
  <c r="C111" i="7"/>
  <c r="G110" i="7"/>
  <c r="H110" i="7" s="1"/>
  <c r="C110" i="7"/>
  <c r="G109" i="7"/>
  <c r="H109" i="7" s="1"/>
  <c r="I109" i="7" s="1"/>
  <c r="C109" i="7"/>
  <c r="G108" i="7"/>
  <c r="H108" i="7" s="1"/>
  <c r="C108" i="7"/>
  <c r="G107" i="7"/>
  <c r="H107" i="7" s="1"/>
  <c r="C107" i="7"/>
  <c r="G106" i="7"/>
  <c r="H106" i="7" s="1"/>
  <c r="I106" i="7" s="1"/>
  <c r="C106" i="7"/>
  <c r="G105" i="7"/>
  <c r="H105" i="7" s="1"/>
  <c r="C105" i="7"/>
  <c r="G104" i="7"/>
  <c r="H104" i="7" s="1"/>
  <c r="C104" i="7"/>
  <c r="G103" i="7"/>
  <c r="H103" i="7" s="1"/>
  <c r="C103" i="7"/>
  <c r="G102" i="7"/>
  <c r="H102" i="7" s="1"/>
  <c r="C102" i="7"/>
  <c r="G101" i="7"/>
  <c r="H101" i="7" s="1"/>
  <c r="C101" i="7"/>
  <c r="G100" i="7"/>
  <c r="H100" i="7" s="1"/>
  <c r="C100" i="7"/>
  <c r="G99" i="7"/>
  <c r="H99" i="7" s="1"/>
  <c r="I99" i="7" s="1"/>
  <c r="C99" i="7"/>
  <c r="G98" i="7"/>
  <c r="H98" i="7" s="1"/>
  <c r="C98" i="7"/>
  <c r="G97" i="7"/>
  <c r="H97" i="7" s="1"/>
  <c r="C97" i="7"/>
  <c r="G96" i="7"/>
  <c r="H96" i="7" s="1"/>
  <c r="C96" i="7"/>
  <c r="G95" i="7"/>
  <c r="H95" i="7" s="1"/>
  <c r="C95" i="7"/>
  <c r="G94" i="7"/>
  <c r="H94" i="7" s="1"/>
  <c r="I94" i="7" s="1"/>
  <c r="C94" i="7"/>
  <c r="G93" i="7"/>
  <c r="H93" i="7" s="1"/>
  <c r="C93" i="7"/>
  <c r="G92" i="7"/>
  <c r="H92" i="7" s="1"/>
  <c r="C92" i="7"/>
  <c r="G91" i="7"/>
  <c r="H91" i="7" s="1"/>
  <c r="C91" i="7"/>
  <c r="G90" i="7"/>
  <c r="H90" i="7" s="1"/>
  <c r="C90" i="7"/>
  <c r="G89" i="7"/>
  <c r="H89" i="7" s="1"/>
  <c r="C89" i="7"/>
  <c r="G88" i="7"/>
  <c r="H88" i="7" s="1"/>
  <c r="C88" i="7"/>
  <c r="G87" i="7"/>
  <c r="H87" i="7" s="1"/>
  <c r="C87" i="7"/>
  <c r="G86" i="7"/>
  <c r="H86" i="7" s="1"/>
  <c r="C86" i="7"/>
  <c r="G85" i="7"/>
  <c r="H85" i="7" s="1"/>
  <c r="C85" i="7"/>
  <c r="G84" i="7"/>
  <c r="H84" i="7" s="1"/>
  <c r="C84" i="7"/>
  <c r="G83" i="7"/>
  <c r="H83" i="7" s="1"/>
  <c r="C83" i="7"/>
  <c r="G82" i="7"/>
  <c r="H82" i="7" s="1"/>
  <c r="C82" i="7"/>
  <c r="G81" i="7"/>
  <c r="H81" i="7" s="1"/>
  <c r="C81" i="7"/>
  <c r="G80" i="7"/>
  <c r="H80" i="7" s="1"/>
  <c r="C80" i="7"/>
  <c r="G79" i="7"/>
  <c r="H79" i="7" s="1"/>
  <c r="C79" i="7"/>
  <c r="G78" i="7"/>
  <c r="H78" i="7" s="1"/>
  <c r="C78" i="7"/>
  <c r="G77" i="7"/>
  <c r="H77" i="7" s="1"/>
  <c r="C77" i="7"/>
  <c r="G76" i="7"/>
  <c r="H76" i="7" s="1"/>
  <c r="C76" i="7"/>
  <c r="G75" i="7"/>
  <c r="H75" i="7" s="1"/>
  <c r="I75" i="7" s="1"/>
  <c r="Q155" i="3" s="1"/>
  <c r="C75" i="7"/>
  <c r="G74" i="7"/>
  <c r="H74" i="7" s="1"/>
  <c r="C74" i="7"/>
  <c r="G73" i="7"/>
  <c r="H73" i="7" s="1"/>
  <c r="C73" i="7"/>
  <c r="G72" i="7"/>
  <c r="H72" i="7" s="1"/>
  <c r="C72" i="7"/>
  <c r="G71" i="7"/>
  <c r="H71" i="7" s="1"/>
  <c r="C71" i="7"/>
  <c r="G70" i="7"/>
  <c r="H70" i="7" s="1"/>
  <c r="C70" i="7"/>
  <c r="G69" i="7"/>
  <c r="H69" i="7" s="1"/>
  <c r="I69" i="7" s="1"/>
  <c r="C69" i="7"/>
  <c r="G68" i="7"/>
  <c r="H68" i="7" s="1"/>
  <c r="C68" i="7"/>
  <c r="G67" i="7"/>
  <c r="H67" i="7" s="1"/>
  <c r="C67" i="7"/>
  <c r="G66" i="7"/>
  <c r="H66" i="7" s="1"/>
  <c r="C66" i="7"/>
  <c r="G65" i="7"/>
  <c r="H65" i="7" s="1"/>
  <c r="C65" i="7"/>
  <c r="G64" i="7"/>
  <c r="H64" i="7" s="1"/>
  <c r="C64" i="7"/>
  <c r="G63" i="7"/>
  <c r="H63" i="7" s="1"/>
  <c r="C63" i="7"/>
  <c r="G62" i="7"/>
  <c r="H62" i="7" s="1"/>
  <c r="I62" i="7" s="1"/>
  <c r="Q128" i="3" s="1"/>
  <c r="C62" i="7"/>
  <c r="G61" i="7"/>
  <c r="H61" i="7" s="1"/>
  <c r="C61" i="7"/>
  <c r="G60" i="7"/>
  <c r="H60" i="7" s="1"/>
  <c r="C60" i="7"/>
  <c r="G59" i="7"/>
  <c r="H59" i="7" s="1"/>
  <c r="C59" i="7"/>
  <c r="G58" i="7"/>
  <c r="H58" i="7" s="1"/>
  <c r="I58" i="7" s="1"/>
  <c r="Q120" i="3" s="1"/>
  <c r="C58" i="7"/>
  <c r="G57" i="7"/>
  <c r="H57" i="7" s="1"/>
  <c r="C57" i="7"/>
  <c r="G56" i="7"/>
  <c r="H56" i="7" s="1"/>
  <c r="C56" i="7"/>
  <c r="G55" i="7"/>
  <c r="H55" i="7" s="1"/>
  <c r="C55" i="7"/>
  <c r="G54" i="7"/>
  <c r="H54" i="7" s="1"/>
  <c r="C54" i="7"/>
  <c r="G53" i="7"/>
  <c r="H53" i="7" s="1"/>
  <c r="C53" i="7"/>
  <c r="G52" i="7"/>
  <c r="H52" i="7" s="1"/>
  <c r="C52" i="7"/>
  <c r="G51" i="7"/>
  <c r="H51" i="7" s="1"/>
  <c r="C51" i="7"/>
  <c r="G50" i="7"/>
  <c r="H50" i="7" s="1"/>
  <c r="C50" i="7"/>
  <c r="G49" i="7"/>
  <c r="H49" i="7" s="1"/>
  <c r="C49" i="7"/>
  <c r="G48" i="7"/>
  <c r="H48" i="7" s="1"/>
  <c r="I48" i="7" s="1"/>
  <c r="C48" i="7"/>
  <c r="G47" i="7"/>
  <c r="H47" i="7" s="1"/>
  <c r="C47" i="7"/>
  <c r="G46" i="7"/>
  <c r="C46" i="7"/>
  <c r="G45" i="7"/>
  <c r="H45" i="7" s="1"/>
  <c r="C45" i="7"/>
  <c r="G44" i="7"/>
  <c r="H44" i="7" s="1"/>
  <c r="C44" i="7"/>
  <c r="G43" i="7"/>
  <c r="H43" i="7" s="1"/>
  <c r="C43" i="7"/>
  <c r="G42" i="7"/>
  <c r="H42" i="7" s="1"/>
  <c r="I42" i="7" s="1"/>
  <c r="C42" i="7"/>
  <c r="G41" i="7"/>
  <c r="H41" i="7" s="1"/>
  <c r="C41" i="7"/>
  <c r="G40" i="7"/>
  <c r="H40" i="7" s="1"/>
  <c r="C40" i="7"/>
  <c r="G39" i="7"/>
  <c r="H39" i="7" s="1"/>
  <c r="C39" i="7"/>
  <c r="G38" i="7"/>
  <c r="H38" i="7" s="1"/>
  <c r="C38" i="7"/>
  <c r="G37" i="7"/>
  <c r="H37" i="7" s="1"/>
  <c r="C37" i="7"/>
  <c r="G36" i="7"/>
  <c r="H36" i="7" s="1"/>
  <c r="C36" i="7"/>
  <c r="G35" i="7"/>
  <c r="H35" i="7" s="1"/>
  <c r="C35" i="7"/>
  <c r="G34" i="7"/>
  <c r="H34" i="7" s="1"/>
  <c r="I34" i="7" s="1"/>
  <c r="Q71" i="3" s="1"/>
  <c r="C34" i="7"/>
  <c r="G33" i="7"/>
  <c r="H33" i="7" s="1"/>
  <c r="C33" i="7"/>
  <c r="G32" i="7"/>
  <c r="H32" i="7" s="1"/>
  <c r="I32" i="7" s="1"/>
  <c r="Q68" i="3" s="1"/>
  <c r="C32" i="7"/>
  <c r="G31" i="7"/>
  <c r="H31" i="7" s="1"/>
  <c r="C31" i="7"/>
  <c r="G30" i="7"/>
  <c r="H30" i="7" s="1"/>
  <c r="C30" i="7"/>
  <c r="G29" i="7"/>
  <c r="H29" i="7" s="1"/>
  <c r="C29" i="7"/>
  <c r="G28" i="7"/>
  <c r="H28" i="7" s="1"/>
  <c r="C28" i="7"/>
  <c r="G27" i="7"/>
  <c r="H27" i="7" s="1"/>
  <c r="C27" i="7"/>
  <c r="G26" i="7"/>
  <c r="H26" i="7" s="1"/>
  <c r="C26" i="7"/>
  <c r="G25" i="7"/>
  <c r="H25" i="7" s="1"/>
  <c r="C25" i="7"/>
  <c r="G24" i="7"/>
  <c r="H24" i="7" s="1"/>
  <c r="C24" i="7"/>
  <c r="G23" i="7"/>
  <c r="H23" i="7" s="1"/>
  <c r="I23" i="7" s="1"/>
  <c r="C23" i="7"/>
  <c r="G22" i="7"/>
  <c r="H22" i="7" s="1"/>
  <c r="C22" i="7"/>
  <c r="G21" i="7"/>
  <c r="H21" i="7" s="1"/>
  <c r="C21" i="7"/>
  <c r="G20" i="7"/>
  <c r="H20" i="7" s="1"/>
  <c r="C20" i="7"/>
  <c r="G19" i="7"/>
  <c r="H19" i="7" s="1"/>
  <c r="C19" i="7"/>
  <c r="G18" i="7"/>
  <c r="H18" i="7" s="1"/>
  <c r="C18" i="7"/>
  <c r="G17" i="7"/>
  <c r="H17" i="7" s="1"/>
  <c r="C17" i="7"/>
  <c r="G16" i="7"/>
  <c r="H16" i="7" s="1"/>
  <c r="C16" i="7"/>
  <c r="G15" i="7"/>
  <c r="H15" i="7" s="1"/>
  <c r="C15" i="7"/>
  <c r="G14" i="7"/>
  <c r="H14" i="7" s="1"/>
  <c r="C14" i="7"/>
  <c r="G13" i="7"/>
  <c r="H13" i="7" s="1"/>
  <c r="C13" i="7"/>
  <c r="G12" i="7"/>
  <c r="H12" i="7" s="1"/>
  <c r="C12" i="7"/>
  <c r="G11" i="7"/>
  <c r="H11" i="7" s="1"/>
  <c r="C11" i="7"/>
  <c r="G10" i="7"/>
  <c r="H10" i="7" s="1"/>
  <c r="C10" i="7"/>
  <c r="G9" i="7"/>
  <c r="H9" i="7" s="1"/>
  <c r="C9" i="7"/>
  <c r="G8" i="7"/>
  <c r="H8" i="7" s="1"/>
  <c r="C8" i="7"/>
  <c r="G7" i="7"/>
  <c r="H7" i="7" s="1"/>
  <c r="C7" i="7"/>
  <c r="G6" i="7"/>
  <c r="H6" i="7" s="1"/>
  <c r="C6" i="7"/>
  <c r="G5" i="7"/>
  <c r="H5" i="7" s="1"/>
  <c r="C5" i="7"/>
  <c r="G4" i="7"/>
  <c r="H4" i="7" s="1"/>
  <c r="C4" i="7"/>
  <c r="G3" i="7"/>
  <c r="H3" i="7" s="1"/>
  <c r="C3" i="7"/>
  <c r="Q46" i="3" l="1"/>
  <c r="Q47" i="3"/>
  <c r="Q48" i="3"/>
  <c r="Q88" i="3"/>
  <c r="Q89" i="3"/>
  <c r="Q99" i="3"/>
  <c r="Q100" i="3"/>
  <c r="Q142" i="3"/>
  <c r="Q143" i="3"/>
  <c r="Q191" i="3"/>
  <c r="Q192" i="3"/>
  <c r="Q193" i="3"/>
  <c r="Q201" i="3"/>
  <c r="Q202" i="3"/>
  <c r="Q216" i="3"/>
  <c r="Q217" i="3"/>
  <c r="Q224" i="3"/>
  <c r="Q225" i="3"/>
  <c r="Q226" i="3"/>
  <c r="Q230" i="3"/>
  <c r="Q231" i="3"/>
  <c r="Q232" i="3"/>
  <c r="Q254" i="3"/>
  <c r="Q255" i="3"/>
  <c r="Q263" i="3"/>
  <c r="Q264" i="3"/>
  <c r="Q265" i="3"/>
  <c r="I3" i="7"/>
  <c r="I4" i="7"/>
  <c r="Q6" i="3" s="1"/>
  <c r="I5" i="7"/>
  <c r="Q7" i="3" s="1"/>
  <c r="I6" i="7"/>
  <c r="Q8" i="3" s="1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Q42" i="3" s="1"/>
  <c r="I21" i="7"/>
  <c r="Q43" i="3" s="1"/>
  <c r="I22" i="7"/>
  <c r="I24" i="7"/>
  <c r="I25" i="7"/>
  <c r="Q51" i="3" s="1"/>
  <c r="I26" i="7"/>
  <c r="I27" i="7"/>
  <c r="I28" i="7"/>
  <c r="I29" i="7"/>
  <c r="I30" i="7"/>
  <c r="I31" i="7"/>
  <c r="I33" i="7"/>
  <c r="I35" i="7"/>
  <c r="I36" i="7"/>
  <c r="I37" i="7"/>
  <c r="I38" i="7"/>
  <c r="I39" i="7"/>
  <c r="I40" i="7"/>
  <c r="I41" i="7"/>
  <c r="Q87" i="3" s="1"/>
  <c r="I43" i="7"/>
  <c r="I44" i="7"/>
  <c r="Q92" i="3" s="1"/>
  <c r="I45" i="7"/>
  <c r="Q93" i="3" s="1"/>
  <c r="I47" i="7"/>
  <c r="I49" i="7"/>
  <c r="I50" i="7"/>
  <c r="I51" i="7"/>
  <c r="I52" i="7"/>
  <c r="I53" i="7"/>
  <c r="I54" i="7"/>
  <c r="Q114" i="3" s="1"/>
  <c r="I55" i="7"/>
  <c r="I56" i="7"/>
  <c r="I57" i="7"/>
  <c r="Q119" i="3" s="1"/>
  <c r="I59" i="7"/>
  <c r="I60" i="7"/>
  <c r="I61" i="7"/>
  <c r="Q127" i="3" s="1"/>
  <c r="I63" i="7"/>
  <c r="I64" i="7"/>
  <c r="I65" i="7"/>
  <c r="Q135" i="3" s="1"/>
  <c r="I66" i="7"/>
  <c r="I67" i="7"/>
  <c r="I68" i="7"/>
  <c r="Q141" i="3" s="1"/>
  <c r="I70" i="7"/>
  <c r="I71" i="7"/>
  <c r="I72" i="7"/>
  <c r="I73" i="7"/>
  <c r="I74" i="7"/>
  <c r="Q154" i="3" s="1"/>
  <c r="I76" i="7"/>
  <c r="I77" i="7"/>
  <c r="Q159" i="3" s="1"/>
  <c r="I78" i="7"/>
  <c r="I79" i="7"/>
  <c r="I80" i="7"/>
  <c r="I81" i="7"/>
  <c r="I82" i="7"/>
  <c r="Q169" i="3" s="1"/>
  <c r="I83" i="7"/>
  <c r="I84" i="7"/>
  <c r="I85" i="7"/>
  <c r="I86" i="7"/>
  <c r="Q176" i="3" s="1"/>
  <c r="I87" i="7"/>
  <c r="I88" i="7"/>
  <c r="Q179" i="3" s="1"/>
  <c r="I89" i="7"/>
  <c r="I90" i="7"/>
  <c r="I91" i="7"/>
  <c r="I92" i="7"/>
  <c r="I93" i="7"/>
  <c r="I95" i="7"/>
  <c r="I96" i="7"/>
  <c r="Q196" i="3" s="1"/>
  <c r="I97" i="7"/>
  <c r="I98" i="7"/>
  <c r="I100" i="7"/>
  <c r="I101" i="7"/>
  <c r="I102" i="7"/>
  <c r="I103" i="7"/>
  <c r="I104" i="7"/>
  <c r="Q213" i="3" s="1"/>
  <c r="I105" i="7"/>
  <c r="I107" i="7"/>
  <c r="I108" i="7"/>
  <c r="I110" i="7"/>
  <c r="I111" i="7"/>
  <c r="Q229" i="3" s="1"/>
  <c r="I113" i="7"/>
  <c r="I114" i="7"/>
  <c r="I115" i="7"/>
  <c r="Q238" i="3" s="1"/>
  <c r="I116" i="7"/>
  <c r="Q239" i="3" s="1"/>
  <c r="I117" i="7"/>
  <c r="I118" i="7"/>
  <c r="I119" i="7"/>
  <c r="Q246" i="3" s="1"/>
  <c r="I120" i="7"/>
  <c r="I121" i="7"/>
  <c r="I122" i="7"/>
  <c r="I124" i="7"/>
  <c r="Q256" i="3" s="1"/>
  <c r="I126" i="7"/>
  <c r="I128" i="7"/>
  <c r="I130" i="7"/>
  <c r="Q266" i="3" s="1"/>
  <c r="I131" i="7"/>
  <c r="I132" i="7"/>
  <c r="I133" i="7"/>
  <c r="I134" i="7"/>
  <c r="I135" i="7"/>
  <c r="I136" i="7"/>
  <c r="I137" i="7"/>
  <c r="Q281" i="3" s="1"/>
  <c r="I138" i="7"/>
  <c r="I139" i="7"/>
  <c r="I140" i="7"/>
  <c r="Q288" i="3" s="1"/>
  <c r="I141" i="7"/>
  <c r="I142" i="7"/>
  <c r="I143" i="7"/>
  <c r="I144" i="7"/>
  <c r="I145" i="7"/>
  <c r="I147" i="7"/>
  <c r="I148" i="7"/>
  <c r="Q306" i="3" s="1"/>
  <c r="I149" i="7"/>
  <c r="Q307" i="3" s="1"/>
  <c r="I150" i="7"/>
  <c r="I151" i="7"/>
  <c r="G2" i="7"/>
  <c r="H2" i="7" s="1"/>
  <c r="C2" i="7"/>
  <c r="Q311" i="3" l="1"/>
  <c r="Q312" i="3"/>
  <c r="Q308" i="3"/>
  <c r="Q309" i="3"/>
  <c r="Q310" i="3"/>
  <c r="Q303" i="3"/>
  <c r="Q304" i="3"/>
  <c r="Q305" i="3"/>
  <c r="Q300" i="3"/>
  <c r="Q301" i="3"/>
  <c r="Q297" i="3"/>
  <c r="Q298" i="3"/>
  <c r="Q299" i="3"/>
  <c r="Q294" i="3"/>
  <c r="Q295" i="3"/>
  <c r="Q296" i="3"/>
  <c r="Q292" i="3"/>
  <c r="Q293" i="3"/>
  <c r="Q289" i="3"/>
  <c r="Q290" i="3"/>
  <c r="Q291" i="3"/>
  <c r="Q285" i="3"/>
  <c r="Q286" i="3"/>
  <c r="Q287" i="3"/>
  <c r="Q282" i="3"/>
  <c r="Q283" i="3"/>
  <c r="Q284" i="3"/>
  <c r="Q278" i="3"/>
  <c r="Q279" i="3"/>
  <c r="Q280" i="3"/>
  <c r="Q276" i="3"/>
  <c r="Q277" i="3"/>
  <c r="Q274" i="3"/>
  <c r="Q275" i="3"/>
  <c r="Q271" i="3"/>
  <c r="Q272" i="3"/>
  <c r="Q273" i="3"/>
  <c r="Q269" i="3"/>
  <c r="Q270" i="3"/>
  <c r="Q267" i="3"/>
  <c r="Q268" i="3"/>
  <c r="Q261" i="3"/>
  <c r="Q262" i="3"/>
  <c r="Q258" i="3"/>
  <c r="Q259" i="3"/>
  <c r="Q252" i="3"/>
  <c r="Q253" i="3"/>
  <c r="Q250" i="3"/>
  <c r="Q251" i="3"/>
  <c r="Q247" i="3"/>
  <c r="Q248" i="3"/>
  <c r="Q249" i="3"/>
  <c r="Q243" i="3"/>
  <c r="Q244" i="3"/>
  <c r="Q245" i="3"/>
  <c r="Q240" i="3"/>
  <c r="Q241" i="3"/>
  <c r="Q242" i="3"/>
  <c r="Q235" i="3"/>
  <c r="Q236" i="3"/>
  <c r="Q237" i="3"/>
  <c r="Q233" i="3"/>
  <c r="Q234" i="3"/>
  <c r="Q227" i="3"/>
  <c r="Q228" i="3"/>
  <c r="Q221" i="3"/>
  <c r="Q222" i="3"/>
  <c r="Q223" i="3"/>
  <c r="Q218" i="3"/>
  <c r="Q219" i="3"/>
  <c r="Q220" i="3"/>
  <c r="Q214" i="3"/>
  <c r="Q215" i="3"/>
  <c r="Q211" i="3"/>
  <c r="Q212" i="3"/>
  <c r="Q209" i="3"/>
  <c r="Q210" i="3"/>
  <c r="Q206" i="3"/>
  <c r="Q207" i="3"/>
  <c r="Q208" i="3"/>
  <c r="Q203" i="3"/>
  <c r="Q204" i="3"/>
  <c r="Q205" i="3"/>
  <c r="Q199" i="3"/>
  <c r="Q200" i="3"/>
  <c r="Q197" i="3"/>
  <c r="Q198" i="3"/>
  <c r="Q194" i="3"/>
  <c r="Q195" i="3"/>
  <c r="Q189" i="3"/>
  <c r="Q190" i="3"/>
  <c r="Q187" i="3"/>
  <c r="Q188" i="3"/>
  <c r="Q185" i="3"/>
  <c r="Q186" i="3"/>
  <c r="Q182" i="3"/>
  <c r="Q183" i="3"/>
  <c r="Q184" i="3"/>
  <c r="Q180" i="3"/>
  <c r="Q181" i="3"/>
  <c r="Q177" i="3"/>
  <c r="Q178" i="3"/>
  <c r="Q174" i="3"/>
  <c r="Q175" i="3"/>
  <c r="Q172" i="3"/>
  <c r="Q173" i="3"/>
  <c r="Q170" i="3"/>
  <c r="Q171" i="3"/>
  <c r="Q167" i="3"/>
  <c r="Q168" i="3"/>
  <c r="Q165" i="3"/>
  <c r="Q166" i="3"/>
  <c r="Q163" i="3"/>
  <c r="Q164" i="3"/>
  <c r="Q160" i="3"/>
  <c r="Q161" i="3"/>
  <c r="Q162" i="3"/>
  <c r="Q156" i="3"/>
  <c r="Q157" i="3"/>
  <c r="Q158" i="3"/>
  <c r="Q152" i="3"/>
  <c r="Q153" i="3"/>
  <c r="Q149" i="3"/>
  <c r="Q150" i="3"/>
  <c r="Q151" i="3"/>
  <c r="Q147" i="3"/>
  <c r="Q148" i="3"/>
  <c r="Q144" i="3"/>
  <c r="Q145" i="3"/>
  <c r="Q146" i="3"/>
  <c r="Q139" i="3"/>
  <c r="Q140" i="3"/>
  <c r="Q136" i="3"/>
  <c r="Q137" i="3"/>
  <c r="Q138" i="3"/>
  <c r="Q132" i="3"/>
  <c r="Q133" i="3"/>
  <c r="Q134" i="3"/>
  <c r="Q129" i="3"/>
  <c r="Q130" i="3"/>
  <c r="Q131" i="3"/>
  <c r="Q124" i="3"/>
  <c r="Q125" i="3"/>
  <c r="Q126" i="3"/>
  <c r="Q121" i="3"/>
  <c r="Q122" i="3"/>
  <c r="Q123" i="3"/>
  <c r="Q117" i="3"/>
  <c r="Q118" i="3"/>
  <c r="Q115" i="3"/>
  <c r="Q116" i="3"/>
  <c r="Q112" i="3"/>
  <c r="Q113" i="3"/>
  <c r="Q109" i="3"/>
  <c r="Q110" i="3"/>
  <c r="Q111" i="3"/>
  <c r="Q107" i="3"/>
  <c r="Q108" i="3"/>
  <c r="Q104" i="3"/>
  <c r="Q105" i="3"/>
  <c r="Q106" i="3"/>
  <c r="Q101" i="3"/>
  <c r="Q102" i="3"/>
  <c r="Q103" i="3"/>
  <c r="Q96" i="3"/>
  <c r="Q97" i="3"/>
  <c r="Q98" i="3"/>
  <c r="Q90" i="3"/>
  <c r="Q91" i="3"/>
  <c r="Q85" i="3"/>
  <c r="Q86" i="3"/>
  <c r="Q82" i="3"/>
  <c r="Q83" i="3"/>
  <c r="Q84" i="3"/>
  <c r="Q80" i="3"/>
  <c r="Q81" i="3"/>
  <c r="Q78" i="3"/>
  <c r="Q79" i="3"/>
  <c r="Q75" i="3"/>
  <c r="Q76" i="3"/>
  <c r="Q77" i="3"/>
  <c r="Q72" i="3"/>
  <c r="Q73" i="3"/>
  <c r="Q74" i="3"/>
  <c r="Q69" i="3"/>
  <c r="Q70" i="3"/>
  <c r="Q65" i="3"/>
  <c r="Q66" i="3"/>
  <c r="Q67" i="3"/>
  <c r="Q62" i="3"/>
  <c r="Q63" i="3"/>
  <c r="Q64" i="3"/>
  <c r="Q59" i="3"/>
  <c r="Q60" i="3"/>
  <c r="Q61" i="3"/>
  <c r="Q57" i="3"/>
  <c r="Q58" i="3"/>
  <c r="Q54" i="3"/>
  <c r="Q55" i="3"/>
  <c r="Q56" i="3"/>
  <c r="Q52" i="3"/>
  <c r="Q53" i="3"/>
  <c r="Q49" i="3"/>
  <c r="Q50" i="3"/>
  <c r="Q44" i="3"/>
  <c r="Q45" i="3"/>
  <c r="Q39" i="3"/>
  <c r="Q40" i="3"/>
  <c r="Q41" i="3"/>
  <c r="Q37" i="3"/>
  <c r="Q38" i="3"/>
  <c r="Q34" i="3"/>
  <c r="Q35" i="3"/>
  <c r="Q36" i="3"/>
  <c r="Q31" i="3"/>
  <c r="Q32" i="3"/>
  <c r="Q33" i="3"/>
  <c r="Q29" i="3"/>
  <c r="Q30" i="3"/>
  <c r="Q27" i="3"/>
  <c r="Q28" i="3"/>
  <c r="Q24" i="3"/>
  <c r="Q25" i="3"/>
  <c r="Q26" i="3"/>
  <c r="Q22" i="3"/>
  <c r="Q23" i="3"/>
  <c r="Q19" i="3"/>
  <c r="Q20" i="3"/>
  <c r="Q21" i="3"/>
  <c r="Q17" i="3"/>
  <c r="Q18" i="3"/>
  <c r="Q14" i="3"/>
  <c r="Q15" i="3"/>
  <c r="Q16" i="3"/>
  <c r="Q12" i="3"/>
  <c r="Q13" i="3"/>
  <c r="Q9" i="3"/>
  <c r="Q10" i="3"/>
  <c r="Q11" i="3"/>
  <c r="Q3" i="3"/>
  <c r="Q4" i="3"/>
  <c r="Q5" i="3"/>
  <c r="I2" i="7"/>
  <c r="Q2" i="3" s="1"/>
  <c r="K2" i="4"/>
  <c r="K5" i="11" s="1"/>
  <c r="D46" i="7"/>
  <c r="F46" i="7" s="1"/>
  <c r="H46" i="7" s="1"/>
  <c r="I46" i="7" s="1"/>
  <c r="I95" i="3"/>
  <c r="I94" i="3"/>
  <c r="L46" i="4"/>
  <c r="M46" i="4" s="1"/>
  <c r="C2" i="12"/>
  <c r="G2" i="1"/>
  <c r="P2" i="1"/>
  <c r="D2" i="11"/>
  <c r="Q94" i="3" l="1"/>
  <c r="Q95" i="3"/>
  <c r="D2" i="13"/>
  <c r="J94" i="3"/>
  <c r="J95" i="3"/>
  <c r="K2" i="11"/>
  <c r="B2" i="11"/>
  <c r="L2" i="1"/>
  <c r="A2" i="12"/>
  <c r="F2" i="11" l="1"/>
  <c r="E2" i="11"/>
  <c r="K3" i="11"/>
  <c r="K6" i="11" s="1"/>
  <c r="K8" i="11"/>
  <c r="K7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<sst xmlns="http://schemas.openxmlformats.org/spreadsheetml/2006/main" count="4889" uniqueCount="489">
  <si>
    <t>Revenue</t>
  </si>
  <si>
    <t>Orders</t>
  </si>
  <si>
    <t>Gross Margin %</t>
  </si>
  <si>
    <t>Inventory Value</t>
  </si>
  <si>
    <t>Inventory Turnover</t>
  </si>
  <si>
    <t>Freight %</t>
  </si>
  <si>
    <t>Fill Rate</t>
  </si>
  <si>
    <t>Stockout Risk SKUs</t>
  </si>
  <si>
    <t>slow_moving</t>
  </si>
  <si>
    <t>Slow Moving</t>
  </si>
  <si>
    <t>Inventory Reduction</t>
  </si>
  <si>
    <t>SKU</t>
  </si>
  <si>
    <t>Sum of inventory_value</t>
  </si>
  <si>
    <t>SKU-0026</t>
  </si>
  <si>
    <t>SKU-0069</t>
  </si>
  <si>
    <t>SKU-0041</t>
  </si>
  <si>
    <t>SKU-0011</t>
  </si>
  <si>
    <t>Grand Total</t>
  </si>
  <si>
    <t>supplier_name</t>
  </si>
  <si>
    <t>Total POs</t>
  </si>
  <si>
    <t>Avg Lead Time</t>
  </si>
  <si>
    <t>On-Time_count</t>
  </si>
  <si>
    <t>On-Time %</t>
  </si>
  <si>
    <t>Late Deliveries</t>
  </si>
  <si>
    <t>Total freight cost</t>
  </si>
  <si>
    <t>freight % revenue</t>
  </si>
  <si>
    <t>shipments</t>
  </si>
  <si>
    <t>cost per unit</t>
  </si>
  <si>
    <t>carrier</t>
  </si>
  <si>
    <t>Sum of freight_cost</t>
  </si>
  <si>
    <t>Count of shipment_id</t>
  </si>
  <si>
    <t>delay rate</t>
  </si>
  <si>
    <t>FEDEX</t>
  </si>
  <si>
    <t>DHL</t>
  </si>
  <si>
    <t>UPS</t>
  </si>
  <si>
    <t>XPO</t>
  </si>
  <si>
    <t>ONTRAC</t>
  </si>
  <si>
    <t>USPS</t>
  </si>
  <si>
    <t>shipment_status</t>
  </si>
  <si>
    <t>Late</t>
  </si>
  <si>
    <t>Count of shipment_status</t>
  </si>
  <si>
    <t>inventory value</t>
  </si>
  <si>
    <t>units_on_hand</t>
  </si>
  <si>
    <t>slow-moving skus</t>
  </si>
  <si>
    <t>stockout risk</t>
  </si>
  <si>
    <t>turnover</t>
  </si>
  <si>
    <t>Units_sold</t>
  </si>
  <si>
    <t>Margin%</t>
  </si>
  <si>
    <t>week</t>
  </si>
  <si>
    <t>Sum of revenue</t>
  </si>
  <si>
    <t>2026-w01</t>
  </si>
  <si>
    <t>2026-w02</t>
  </si>
  <si>
    <t>2026-w03</t>
  </si>
  <si>
    <t>2026-w04</t>
  </si>
  <si>
    <t>2026-w05</t>
  </si>
  <si>
    <t>2026-w06</t>
  </si>
  <si>
    <t>2026-w07</t>
  </si>
  <si>
    <t>2026-w08</t>
  </si>
  <si>
    <t>2026-w09</t>
  </si>
  <si>
    <t>2026-w10</t>
  </si>
  <si>
    <t>2026-w11</t>
  </si>
  <si>
    <t>2026-w12</t>
  </si>
  <si>
    <t>2026-w13</t>
  </si>
  <si>
    <t>2026-w14</t>
  </si>
  <si>
    <t>2026-w15</t>
  </si>
  <si>
    <t>2026-w16</t>
  </si>
  <si>
    <t>2026-w17</t>
  </si>
  <si>
    <t>2026-w18</t>
  </si>
  <si>
    <t>2026-w19</t>
  </si>
  <si>
    <t>2026-w20</t>
  </si>
  <si>
    <t>sales_channel</t>
  </si>
  <si>
    <t>sku</t>
  </si>
  <si>
    <t>Shopify</t>
  </si>
  <si>
    <t>SKU-0081</t>
  </si>
  <si>
    <t>Amazon</t>
  </si>
  <si>
    <t>SKU-0098</t>
  </si>
  <si>
    <t>Ebay</t>
  </si>
  <si>
    <t>SKU-0117</t>
  </si>
  <si>
    <t>Walmart</t>
  </si>
  <si>
    <t>SKU-0043</t>
  </si>
  <si>
    <t>SKU-0109</t>
  </si>
  <si>
    <t>SKU-0125</t>
  </si>
  <si>
    <t>SKU-0082</t>
  </si>
  <si>
    <t>SKU-0006</t>
  </si>
  <si>
    <t>SKU-0048</t>
  </si>
  <si>
    <t>SKU-0061</t>
  </si>
  <si>
    <t>SKU-0017</t>
  </si>
  <si>
    <t>SKU-0091</t>
  </si>
  <si>
    <t>SKU-0079</t>
  </si>
  <si>
    <t>SKU-0107</t>
  </si>
  <si>
    <t>SKU-0019</t>
  </si>
  <si>
    <t>SKU-0046</t>
  </si>
  <si>
    <t>SKU-0083</t>
  </si>
  <si>
    <t>SKU-0128</t>
  </si>
  <si>
    <t>SKU-0057</t>
  </si>
  <si>
    <t>SKU-0022</t>
  </si>
  <si>
    <t>category</t>
  </si>
  <si>
    <t>Sum of margin</t>
  </si>
  <si>
    <t>Home</t>
  </si>
  <si>
    <t>Beauty</t>
  </si>
  <si>
    <t>Pet</t>
  </si>
  <si>
    <t>Office</t>
  </si>
  <si>
    <t>Electronics</t>
  </si>
  <si>
    <t>Sports</t>
  </si>
  <si>
    <t>Toys</t>
  </si>
  <si>
    <t>Kitchen</t>
  </si>
  <si>
    <t>revenue</t>
  </si>
  <si>
    <t>Gross Margin</t>
  </si>
  <si>
    <t>Margin %</t>
  </si>
  <si>
    <t>KPI</t>
  </si>
  <si>
    <t>Value</t>
  </si>
  <si>
    <t>margin%</t>
  </si>
  <si>
    <t>Total revenue</t>
  </si>
  <si>
    <t>AOV</t>
  </si>
  <si>
    <t>avg_lead_time</t>
  </si>
  <si>
    <t>warehouse</t>
  </si>
  <si>
    <t>freight_cost</t>
  </si>
  <si>
    <t>South Jordan</t>
  </si>
  <si>
    <t>Draper</t>
  </si>
  <si>
    <t>Salt Lake City</t>
  </si>
  <si>
    <t>Lehi</t>
  </si>
  <si>
    <t>Unknown</t>
  </si>
  <si>
    <t>West Valley</t>
  </si>
  <si>
    <t>Sum of quantity_on_hand</t>
  </si>
  <si>
    <t>order_count</t>
  </si>
  <si>
    <t>product_id</t>
  </si>
  <si>
    <t>Quantity_on_hand</t>
  </si>
  <si>
    <t>order_date_count</t>
  </si>
  <si>
    <t>avg_daily_sales</t>
  </si>
  <si>
    <t>lead_time</t>
  </si>
  <si>
    <t>reorder_point</t>
  </si>
  <si>
    <t>reorder</t>
  </si>
  <si>
    <t>duplicate_sku</t>
  </si>
  <si>
    <t>order_id</t>
  </si>
  <si>
    <t>order_date</t>
  </si>
  <si>
    <t>customer_region</t>
  </si>
  <si>
    <t>order_status</t>
  </si>
  <si>
    <t>month</t>
  </si>
  <si>
    <t>East</t>
  </si>
  <si>
    <t>Shipped</t>
  </si>
  <si>
    <t>West</t>
  </si>
  <si>
    <t>Delivered</t>
  </si>
  <si>
    <t>South</t>
  </si>
  <si>
    <t>Backordered</t>
  </si>
  <si>
    <t>Cancelled</t>
  </si>
  <si>
    <t>NULL</t>
  </si>
  <si>
    <t>Midwest</t>
  </si>
  <si>
    <t>order_item_id</t>
  </si>
  <si>
    <t>quantity</t>
  </si>
  <si>
    <t>unit_price</t>
  </si>
  <si>
    <t>discount_amount</t>
  </si>
  <si>
    <t>freight_pct</t>
  </si>
  <si>
    <t>standard_cost</t>
  </si>
  <si>
    <t>margin</t>
  </si>
  <si>
    <t>product_name</t>
  </si>
  <si>
    <t>selling_price</t>
  </si>
  <si>
    <t>supplier_id</t>
  </si>
  <si>
    <t>active_flag</t>
  </si>
  <si>
    <t>quantity_on_hand</t>
  </si>
  <si>
    <t>total_cost</t>
  </si>
  <si>
    <t>units_sold</t>
  </si>
  <si>
    <t>Slow-moving</t>
  </si>
  <si>
    <t>SKU-0001</t>
  </si>
  <si>
    <t>Home Product 1</t>
  </si>
  <si>
    <t>N</t>
  </si>
  <si>
    <t>SKU-0002</t>
  </si>
  <si>
    <t>Home Product 2</t>
  </si>
  <si>
    <t>Y</t>
  </si>
  <si>
    <t>SKU-0003</t>
  </si>
  <si>
    <t>Beauty Product 3</t>
  </si>
  <si>
    <t>SKU-0004</t>
  </si>
  <si>
    <t>Office Product 4</t>
  </si>
  <si>
    <t>SKU-0005</t>
  </si>
  <si>
    <t>Toys Product 5</t>
  </si>
  <si>
    <t>Home Product 6</t>
  </si>
  <si>
    <t>SKU-0007</t>
  </si>
  <si>
    <t>Electronics Product 7</t>
  </si>
  <si>
    <t>SKU-0008</t>
  </si>
  <si>
    <t>Sports Product 8</t>
  </si>
  <si>
    <t>SKU-0009</t>
  </si>
  <si>
    <t>Home Product 9</t>
  </si>
  <si>
    <t>SKU-0010</t>
  </si>
  <si>
    <t>Beauty Product 10</t>
  </si>
  <si>
    <t>Kitchen Product 11</t>
  </si>
  <si>
    <t>SKU-0012</t>
  </si>
  <si>
    <t>Toys Product 12</t>
  </si>
  <si>
    <t>SKU-0013</t>
  </si>
  <si>
    <t>Beauty Product 13</t>
  </si>
  <si>
    <t>SKU-0014</t>
  </si>
  <si>
    <t>Electronics Product 14</t>
  </si>
  <si>
    <t>SKU-0015</t>
  </si>
  <si>
    <t>Pet Product 15</t>
  </si>
  <si>
    <t>SKU-0016</t>
  </si>
  <si>
    <t>Toys Product 16</t>
  </si>
  <si>
    <t>Office Product 17</t>
  </si>
  <si>
    <t>SKU-0018</t>
  </si>
  <si>
    <t>Electronics Product 18</t>
  </si>
  <si>
    <t>Home Product 19</t>
  </si>
  <si>
    <t>SKU-0020</t>
  </si>
  <si>
    <t>Electronics Product 20</t>
  </si>
  <si>
    <t>SKU-0021</t>
  </si>
  <si>
    <t>Kitchen Product 21</t>
  </si>
  <si>
    <t>Sports Product 22</t>
  </si>
  <si>
    <t>SKU-0023</t>
  </si>
  <si>
    <t>Sports Product 23</t>
  </si>
  <si>
    <t>SKU-0024</t>
  </si>
  <si>
    <t>Electronics Product 24</t>
  </si>
  <si>
    <t>SKU-0025</t>
  </si>
  <si>
    <t>Sports Product 25</t>
  </si>
  <si>
    <t>Pet Product 26</t>
  </si>
  <si>
    <t>SKU-0027</t>
  </si>
  <si>
    <t>Pet Product 27</t>
  </si>
  <si>
    <t>SKU-0028</t>
  </si>
  <si>
    <t>Beauty Product 28</t>
  </si>
  <si>
    <t>SKU-0029</t>
  </si>
  <si>
    <t>Pet Product 29</t>
  </si>
  <si>
    <t>SKU-0030</t>
  </si>
  <si>
    <t>Beauty Product 30</t>
  </si>
  <si>
    <t>SKU-0031</t>
  </si>
  <si>
    <t>Home Product 31</t>
  </si>
  <si>
    <t>SKU-0032</t>
  </si>
  <si>
    <t>Pet Product 32</t>
  </si>
  <si>
    <t>SKU-0033</t>
  </si>
  <si>
    <t>Pet Product 33</t>
  </si>
  <si>
    <t>SKU-0034</t>
  </si>
  <si>
    <t>Office Product 34</t>
  </si>
  <si>
    <t>SKU-0035</t>
  </si>
  <si>
    <t>Office Product 35</t>
  </si>
  <si>
    <t>SKU-0036</t>
  </si>
  <si>
    <t>Pet Product 36</t>
  </si>
  <si>
    <t>SKU0037</t>
  </si>
  <si>
    <t>Home Product 37</t>
  </si>
  <si>
    <t>SKU-0038</t>
  </si>
  <si>
    <t>Electronics Product 38</t>
  </si>
  <si>
    <t>SKU-0039</t>
  </si>
  <si>
    <t>Pet Product 39</t>
  </si>
  <si>
    <t>SKU-0040</t>
  </si>
  <si>
    <t>Office Product 40</t>
  </si>
  <si>
    <t>Office Product 41</t>
  </si>
  <si>
    <t>SKU-0042</t>
  </si>
  <si>
    <t>Beauty Product 42</t>
  </si>
  <si>
    <t>Electronics Product 43</t>
  </si>
  <si>
    <t>SKU-0044</t>
  </si>
  <si>
    <t>Home Product 44</t>
  </si>
  <si>
    <t>SKU-0045</t>
  </si>
  <si>
    <t>Home Product 45</t>
  </si>
  <si>
    <t>Kitchen Product 46</t>
  </si>
  <si>
    <t>SKU-0047</t>
  </si>
  <si>
    <t>Office Product 47</t>
  </si>
  <si>
    <t>Home Product 48</t>
  </si>
  <si>
    <t>SKU-0049</t>
  </si>
  <si>
    <t>Beauty Product 49</t>
  </si>
  <si>
    <t>SKU-0050</t>
  </si>
  <si>
    <t>Kitchen Product 50</t>
  </si>
  <si>
    <t>SKU-0051</t>
  </si>
  <si>
    <t>Electronics Product 51</t>
  </si>
  <si>
    <t>SKU-0052</t>
  </si>
  <si>
    <t>Home Product 52</t>
  </si>
  <si>
    <t>SKU-0053</t>
  </si>
  <si>
    <t>Beauty Product 53</t>
  </si>
  <si>
    <t>SKU-0054</t>
  </si>
  <si>
    <t>Pet Product 54</t>
  </si>
  <si>
    <t>SKU-0055</t>
  </si>
  <si>
    <t>Office Product 55</t>
  </si>
  <si>
    <t>SKU-0056</t>
  </si>
  <si>
    <t>Sports Product 56</t>
  </si>
  <si>
    <t>Electronics Product 57</t>
  </si>
  <si>
    <t>SKU-0058</t>
  </si>
  <si>
    <t>Electronics Product 58</t>
  </si>
  <si>
    <t>SKU-0059</t>
  </si>
  <si>
    <t>Sports Product 59</t>
  </si>
  <si>
    <t>SKU-0060</t>
  </si>
  <si>
    <t>Beauty Product 60</t>
  </si>
  <si>
    <t>Toys Product 61</t>
  </si>
  <si>
    <t>SKU-0062</t>
  </si>
  <si>
    <t>Electronics Product 62</t>
  </si>
  <si>
    <t>SKU-0063</t>
  </si>
  <si>
    <t>Beauty Product 63</t>
  </si>
  <si>
    <t>SKU-0064</t>
  </si>
  <si>
    <t>Electronics Product 64</t>
  </si>
  <si>
    <t>SKU-0065</t>
  </si>
  <si>
    <t>Sports Product 65</t>
  </si>
  <si>
    <t>SKU-0066</t>
  </si>
  <si>
    <t>Sports Product 66</t>
  </si>
  <si>
    <t>SKU-0067</t>
  </si>
  <si>
    <t>Kitchen Product 67</t>
  </si>
  <si>
    <t>SKU-0068</t>
  </si>
  <si>
    <t>Sports Product 68</t>
  </si>
  <si>
    <t>Home Product 69</t>
  </si>
  <si>
    <t>SKU-0070</t>
  </si>
  <si>
    <t>Office Product 70</t>
  </si>
  <si>
    <t>SKU-0071</t>
  </si>
  <si>
    <t>Office Product 71</t>
  </si>
  <si>
    <t>SKU-0072</t>
  </si>
  <si>
    <t>Home Product 72</t>
  </si>
  <si>
    <t>SKU-0073</t>
  </si>
  <si>
    <t>Sports Product 73</t>
  </si>
  <si>
    <t>SKU0074</t>
  </si>
  <si>
    <t>Toys Product 74</t>
  </si>
  <si>
    <t>SKU-0075</t>
  </si>
  <si>
    <t>Sports Product 75</t>
  </si>
  <si>
    <t>SKU-0076</t>
  </si>
  <si>
    <t>Pet Product 76</t>
  </si>
  <si>
    <t>SKU-0077</t>
  </si>
  <si>
    <t>Home Product 77</t>
  </si>
  <si>
    <t>SKU-0078</t>
  </si>
  <si>
    <t>Beauty Product 78</t>
  </si>
  <si>
    <t>Beauty Product 79</t>
  </si>
  <si>
    <t>SKU-0080</t>
  </si>
  <si>
    <t>Beauty Product 80</t>
  </si>
  <si>
    <t>Home Product 81</t>
  </si>
  <si>
    <t>Beauty Product 82</t>
  </si>
  <si>
    <t>Pet Product 83</t>
  </si>
  <si>
    <t>SKU-0084</t>
  </si>
  <si>
    <t>Pet Product 84</t>
  </si>
  <si>
    <t>SKU-0085</t>
  </si>
  <si>
    <t>Beauty Product 85</t>
  </si>
  <si>
    <t>SKU-0086</t>
  </si>
  <si>
    <t>Pet Product 86</t>
  </si>
  <si>
    <t>SKU-0087</t>
  </si>
  <si>
    <t>Home Product 87</t>
  </si>
  <si>
    <t>SKU-0088</t>
  </si>
  <si>
    <t>Beauty Product 88</t>
  </si>
  <si>
    <t>SKU-0089</t>
  </si>
  <si>
    <t>Electronics Product 89</t>
  </si>
  <si>
    <t>SKU-0090</t>
  </si>
  <si>
    <t>Office Product 90</t>
  </si>
  <si>
    <t>Office Product 91</t>
  </si>
  <si>
    <t>SKU-0092</t>
  </si>
  <si>
    <t>Beauty Product 92</t>
  </si>
  <si>
    <t>SKU-0093</t>
  </si>
  <si>
    <t>Office Product 93</t>
  </si>
  <si>
    <t>SKU-0094</t>
  </si>
  <si>
    <t>Electronics Product 94</t>
  </si>
  <si>
    <t>SKU-0095</t>
  </si>
  <si>
    <t>Electronics Product 95</t>
  </si>
  <si>
    <t>SKU-0096</t>
  </si>
  <si>
    <t>Office Product 96</t>
  </si>
  <si>
    <t>SKU-0097</t>
  </si>
  <si>
    <t>Home Product 97</t>
  </si>
  <si>
    <t>Home Product 98</t>
  </si>
  <si>
    <t>SKU-0099</t>
  </si>
  <si>
    <t>Electronics Product 99</t>
  </si>
  <si>
    <t>SKU-0100</t>
  </si>
  <si>
    <t>Beauty Product 100</t>
  </si>
  <si>
    <t>SKU-0101</t>
  </si>
  <si>
    <t>Home Product 101</t>
  </si>
  <si>
    <t>SKU-0102</t>
  </si>
  <si>
    <t>Office Product 102</t>
  </si>
  <si>
    <t>SKU-0103</t>
  </si>
  <si>
    <t>Sports Product 103</t>
  </si>
  <si>
    <t>SKU-0104</t>
  </si>
  <si>
    <t>Office Product 104</t>
  </si>
  <si>
    <t>SKU-0105</t>
  </si>
  <si>
    <t>Office Product 105</t>
  </si>
  <si>
    <t>SKU-0106</t>
  </si>
  <si>
    <t>Toys Product 106</t>
  </si>
  <si>
    <t>Pet Product 107</t>
  </si>
  <si>
    <t>SKU-0108</t>
  </si>
  <si>
    <t>Beauty Product 108</t>
  </si>
  <si>
    <t>Office Product 109</t>
  </si>
  <si>
    <t>SKU-0110</t>
  </si>
  <si>
    <t>Beauty Product 110</t>
  </si>
  <si>
    <t>SKU0111</t>
  </si>
  <si>
    <t>Electronics Product 111</t>
  </si>
  <si>
    <t>SKU-0112</t>
  </si>
  <si>
    <t>Beauty Product 112</t>
  </si>
  <si>
    <t>SKU-0113</t>
  </si>
  <si>
    <t>Sports Product 113</t>
  </si>
  <si>
    <t>SKU-0114</t>
  </si>
  <si>
    <t>Kitchen Product 114</t>
  </si>
  <si>
    <t>SKU-0115</t>
  </si>
  <si>
    <t>Pet Product 115</t>
  </si>
  <si>
    <t>SKU-0116</t>
  </si>
  <si>
    <t>Home Product 116</t>
  </si>
  <si>
    <t>Pet Product 117</t>
  </si>
  <si>
    <t>SKU-0118</t>
  </si>
  <si>
    <t>Beauty Product 118</t>
  </si>
  <si>
    <t>SKU-0119</t>
  </si>
  <si>
    <t>Electronics Product 119</t>
  </si>
  <si>
    <t>SKU-0120</t>
  </si>
  <si>
    <t>Sports Product 120</t>
  </si>
  <si>
    <t>SKU-0121</t>
  </si>
  <si>
    <t>Electronics Product 121</t>
  </si>
  <si>
    <t>SKU-0122</t>
  </si>
  <si>
    <t>Electronics Product 122</t>
  </si>
  <si>
    <t>SKU-0123</t>
  </si>
  <si>
    <t>Pet Product 123</t>
  </si>
  <si>
    <t>SKU-0124</t>
  </si>
  <si>
    <t>Sports Product 124</t>
  </si>
  <si>
    <t>Beauty Product 125</t>
  </si>
  <si>
    <t>SKU-0126</t>
  </si>
  <si>
    <t>Office Product 126</t>
  </si>
  <si>
    <t>SKU-0127</t>
  </si>
  <si>
    <t>Beauty Product 127</t>
  </si>
  <si>
    <t>Home Product 128</t>
  </si>
  <si>
    <t>SKU-0129</t>
  </si>
  <si>
    <t>Electronics Product 129</t>
  </si>
  <si>
    <t>SKU-0130</t>
  </si>
  <si>
    <t>Beauty Product 130</t>
  </si>
  <si>
    <t>SKU-0131</t>
  </si>
  <si>
    <t>Home Product 131</t>
  </si>
  <si>
    <t>SKU-0132</t>
  </si>
  <si>
    <t>Toys Product 132</t>
  </si>
  <si>
    <t>SKU-0133</t>
  </si>
  <si>
    <t>Home Product 133</t>
  </si>
  <si>
    <t>SKU-0134</t>
  </si>
  <si>
    <t>Pet Product 134</t>
  </si>
  <si>
    <t>SKU-0135</t>
  </si>
  <si>
    <t>Kitchen Product 135</t>
  </si>
  <si>
    <t>SKU-0136</t>
  </si>
  <si>
    <t>Sports Product 136</t>
  </si>
  <si>
    <t>SKU-0137</t>
  </si>
  <si>
    <t>Pet Product 137</t>
  </si>
  <si>
    <t>SKU-0138</t>
  </si>
  <si>
    <t>Pet Product 138</t>
  </si>
  <si>
    <t>SKU-0139</t>
  </si>
  <si>
    <t>Toys Product 139</t>
  </si>
  <si>
    <t>SKU-0140</t>
  </si>
  <si>
    <t>Electronics Product 140</t>
  </si>
  <si>
    <t>SKU-0141</t>
  </si>
  <si>
    <t>Office Product 141</t>
  </si>
  <si>
    <t>SKU-0142</t>
  </si>
  <si>
    <t>Electronics Product 142</t>
  </si>
  <si>
    <t>SKU-0143</t>
  </si>
  <si>
    <t>Pet Product 143</t>
  </si>
  <si>
    <t>SKU-0144</t>
  </si>
  <si>
    <t>Pet Product 144</t>
  </si>
  <si>
    <t>SKU-0145</t>
  </si>
  <si>
    <t>Toys Product 145</t>
  </si>
  <si>
    <t>SKU-0146</t>
  </si>
  <si>
    <t>Home Product 146</t>
  </si>
  <si>
    <t>SKU-0147</t>
  </si>
  <si>
    <t>Sports Product 147</t>
  </si>
  <si>
    <t>SKU0148</t>
  </si>
  <si>
    <t>Beauty Product 148</t>
  </si>
  <si>
    <t>SKU-0149</t>
  </si>
  <si>
    <t>Home Product 149</t>
  </si>
  <si>
    <t>SKU-0150</t>
  </si>
  <si>
    <t>Sports Product 150</t>
  </si>
  <si>
    <t>Beauty Product 10 Dup</t>
  </si>
  <si>
    <t>Electronics Product 20 Dup</t>
  </si>
  <si>
    <t>Beauty Product 30 Dup</t>
  </si>
  <si>
    <t>inventory_id</t>
  </si>
  <si>
    <t>last_updated</t>
  </si>
  <si>
    <t>received_date</t>
  </si>
  <si>
    <t>days_on_hand</t>
  </si>
  <si>
    <t>days_old</t>
  </si>
  <si>
    <t>overstock_status</t>
  </si>
  <si>
    <t>received_qty</t>
  </si>
  <si>
    <t>avg_inventory</t>
  </si>
  <si>
    <t>inventory_turnover</t>
  </si>
  <si>
    <t>inventory_value</t>
  </si>
  <si>
    <t>Stockout_risk</t>
  </si>
  <si>
    <t>po_id</t>
  </si>
  <si>
    <t>po_date</t>
  </si>
  <si>
    <t>expected_date</t>
  </si>
  <si>
    <t>ordered_qty</t>
  </si>
  <si>
    <t>unit_cost</t>
  </si>
  <si>
    <t>po_status</t>
  </si>
  <si>
    <t>on_time</t>
  </si>
  <si>
    <t>fill_rate</t>
  </si>
  <si>
    <t>Closed</t>
  </si>
  <si>
    <t>Partial</t>
  </si>
  <si>
    <t>Open</t>
  </si>
  <si>
    <t>supplier_country</t>
  </si>
  <si>
    <t>payment_terms</t>
  </si>
  <si>
    <t>Acme Supply</t>
  </si>
  <si>
    <t>China</t>
  </si>
  <si>
    <t xml:space="preserve"> net 60 </t>
  </si>
  <si>
    <t>Global Goods</t>
  </si>
  <si>
    <t>US</t>
  </si>
  <si>
    <t>PrimeSource</t>
  </si>
  <si>
    <t>Vietnam</t>
  </si>
  <si>
    <t>Net 45</t>
  </si>
  <si>
    <t>Blue Ridge</t>
  </si>
  <si>
    <t>Utah Wholesale</t>
  </si>
  <si>
    <t>Mexico</t>
  </si>
  <si>
    <t>Evergreen Imports</t>
  </si>
  <si>
    <t>NET30</t>
  </si>
  <si>
    <t>Summit Trading</t>
  </si>
  <si>
    <t xml:space="preserve"> CHINA </t>
  </si>
  <si>
    <t>Metro Logistics</t>
  </si>
  <si>
    <t>shipment_id</t>
  </si>
  <si>
    <t>ship_from_warehouse</t>
  </si>
  <si>
    <t>shipped_date</t>
  </si>
  <si>
    <t>promised_delivery_date</t>
  </si>
  <si>
    <t>delivered_date</t>
  </si>
  <si>
    <t>In 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</si>
</sst>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" formatCode="0"/>
    </dxf>
    <dxf>
      <numFmt numFmtId="19" formatCode="m/d/yyyy"/>
    </dxf>
    <dxf>
      <numFmt numFmtId="19" formatCode="m/d/yyyy"/>
    </dxf>
    <dxf>
      <numFmt numFmtId="19" formatCode="m/d/yyyy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microsoft.com/office/2007/relationships/slicerCache" Target="slicerCaches/slicerCache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1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Practice.xlsx]sales dashboard!PivotTable5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dashboard'!$B$5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dashboard'!$A$6:$A$26</c:f>
              <c:strCache>
                <c:ptCount val="20"/>
                <c:pt idx="0">
                  <c:v>2026-w01</c:v>
                </c:pt>
                <c:pt idx="1">
                  <c:v>2026-w02</c:v>
                </c:pt>
                <c:pt idx="2">
                  <c:v>2026-w03</c:v>
                </c:pt>
                <c:pt idx="3">
                  <c:v>2026-w04</c:v>
                </c:pt>
                <c:pt idx="4">
                  <c:v>2026-w05</c:v>
                </c:pt>
                <c:pt idx="5">
                  <c:v>2026-w06</c:v>
                </c:pt>
                <c:pt idx="6">
                  <c:v>2026-w07</c:v>
                </c:pt>
                <c:pt idx="7">
                  <c:v>2026-w08</c:v>
                </c:pt>
                <c:pt idx="8">
                  <c:v>2026-w09</c:v>
                </c:pt>
                <c:pt idx="9">
                  <c:v>2026-w10</c:v>
                </c:pt>
                <c:pt idx="10">
                  <c:v>2026-w11</c:v>
                </c:pt>
                <c:pt idx="11">
                  <c:v>2026-w12</c:v>
                </c:pt>
                <c:pt idx="12">
                  <c:v>2026-w13</c:v>
                </c:pt>
                <c:pt idx="13">
                  <c:v>2026-w14</c:v>
                </c:pt>
                <c:pt idx="14">
                  <c:v>2026-w15</c:v>
                </c:pt>
                <c:pt idx="15">
                  <c:v>2026-w16</c:v>
                </c:pt>
                <c:pt idx="16">
                  <c:v>2026-w17</c:v>
                </c:pt>
                <c:pt idx="17">
                  <c:v>2026-w18</c:v>
                </c:pt>
                <c:pt idx="18">
                  <c:v>2026-w19</c:v>
                </c:pt>
                <c:pt idx="19">
                  <c:v>2026-w20</c:v>
                </c:pt>
              </c:strCache>
            </c:strRef>
          </c:cat>
          <c:val>
            <c:numRef>
              <c:f>'sales dashboard'!$B$6:$B$26</c:f>
              <c:numCache>
                <c:formatCode>General</c:formatCode>
                <c:ptCount val="20"/>
                <c:pt idx="0">
                  <c:v>19301.68</c:v>
                </c:pt>
                <c:pt idx="1">
                  <c:v>38590.43</c:v>
                </c:pt>
                <c:pt idx="2">
                  <c:v>34268.249999999993</c:v>
                </c:pt>
                <c:pt idx="3">
                  <c:v>38340.210000000006</c:v>
                </c:pt>
                <c:pt idx="4">
                  <c:v>37993.339999999989</c:v>
                </c:pt>
                <c:pt idx="5">
                  <c:v>30131.87</c:v>
                </c:pt>
                <c:pt idx="6">
                  <c:v>28983.9</c:v>
                </c:pt>
                <c:pt idx="7">
                  <c:v>43753.740000000005</c:v>
                </c:pt>
                <c:pt idx="8">
                  <c:v>39693.390000000007</c:v>
                </c:pt>
                <c:pt idx="9">
                  <c:v>42958.419999999976</c:v>
                </c:pt>
                <c:pt idx="10">
                  <c:v>40347.799999999996</c:v>
                </c:pt>
                <c:pt idx="11">
                  <c:v>48234.270000000011</c:v>
                </c:pt>
                <c:pt idx="12">
                  <c:v>34618.249999999993</c:v>
                </c:pt>
                <c:pt idx="13">
                  <c:v>42877.430000000008</c:v>
                </c:pt>
                <c:pt idx="14">
                  <c:v>50429.930000000015</c:v>
                </c:pt>
                <c:pt idx="15">
                  <c:v>37011.270000000004</c:v>
                </c:pt>
                <c:pt idx="16">
                  <c:v>45256.959999999992</c:v>
                </c:pt>
                <c:pt idx="17">
                  <c:v>42631.62999999999</c:v>
                </c:pt>
                <c:pt idx="18">
                  <c:v>51661.61</c:v>
                </c:pt>
                <c:pt idx="19">
                  <c:v>14018.69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58-429F-984A-DAC54DD70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707656"/>
        <c:axId val="31715336"/>
      </c:lineChart>
      <c:catAx>
        <c:axId val="3170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15336"/>
        <c:crosses val="autoZero"/>
        <c:auto val="1"/>
        <c:lblAlgn val="ctr"/>
        <c:lblOffset val="100"/>
        <c:noMultiLvlLbl val="0"/>
      </c:catAx>
      <c:valAx>
        <c:axId val="3171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0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Practice.xlsx]weekly sales trend chart.!PivotTable1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'weekly sales trend chart.'!$B$1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'weekly sales trend chart.'!$A$2:$A$22</c:f>
              <c:strCache>
                <c:ptCount val="20"/>
                <c:pt idx="0">
                  <c:v>2026-w01</c:v>
                </c:pt>
                <c:pt idx="1">
                  <c:v>2026-w02</c:v>
                </c:pt>
                <c:pt idx="2">
                  <c:v>2026-w03</c:v>
                </c:pt>
                <c:pt idx="3">
                  <c:v>2026-w04</c:v>
                </c:pt>
                <c:pt idx="4">
                  <c:v>2026-w05</c:v>
                </c:pt>
                <c:pt idx="5">
                  <c:v>2026-w06</c:v>
                </c:pt>
                <c:pt idx="6">
                  <c:v>2026-w07</c:v>
                </c:pt>
                <c:pt idx="7">
                  <c:v>2026-w08</c:v>
                </c:pt>
                <c:pt idx="8">
                  <c:v>2026-w09</c:v>
                </c:pt>
                <c:pt idx="9">
                  <c:v>2026-w10</c:v>
                </c:pt>
                <c:pt idx="10">
                  <c:v>2026-w11</c:v>
                </c:pt>
                <c:pt idx="11">
                  <c:v>2026-w12</c:v>
                </c:pt>
                <c:pt idx="12">
                  <c:v>2026-w13</c:v>
                </c:pt>
                <c:pt idx="13">
                  <c:v>2026-w14</c:v>
                </c:pt>
                <c:pt idx="14">
                  <c:v>2026-w15</c:v>
                </c:pt>
                <c:pt idx="15">
                  <c:v>2026-w16</c:v>
                </c:pt>
                <c:pt idx="16">
                  <c:v>2026-w17</c:v>
                </c:pt>
                <c:pt idx="17">
                  <c:v>2026-w18</c:v>
                </c:pt>
                <c:pt idx="18">
                  <c:v>2026-w19</c:v>
                </c:pt>
                <c:pt idx="19">
                  <c:v>2026-w20</c:v>
                </c:pt>
              </c:strCache>
            </c:strRef>
          </c:cat>
          <c:val>
            <c:numRef>
              <c:f>'weekly sales trend chart.'!$B$2:$B$22</c:f>
              <c:numCache>
                <c:formatCode>General</c:formatCode>
                <c:ptCount val="20"/>
                <c:pt idx="0">
                  <c:v>19301.68</c:v>
                </c:pt>
                <c:pt idx="1">
                  <c:v>38590.43</c:v>
                </c:pt>
                <c:pt idx="2">
                  <c:v>34268.249999999993</c:v>
                </c:pt>
                <c:pt idx="3">
                  <c:v>38340.210000000006</c:v>
                </c:pt>
                <c:pt idx="4">
                  <c:v>37993.339999999989</c:v>
                </c:pt>
                <c:pt idx="5">
                  <c:v>30131.87</c:v>
                </c:pt>
                <c:pt idx="6">
                  <c:v>28983.9</c:v>
                </c:pt>
                <c:pt idx="7">
                  <c:v>43753.740000000005</c:v>
                </c:pt>
                <c:pt idx="8">
                  <c:v>39693.390000000007</c:v>
                </c:pt>
                <c:pt idx="9">
                  <c:v>42958.419999999976</c:v>
                </c:pt>
                <c:pt idx="10">
                  <c:v>40347.799999999996</c:v>
                </c:pt>
                <c:pt idx="11">
                  <c:v>48234.270000000011</c:v>
                </c:pt>
                <c:pt idx="12">
                  <c:v>34618.249999999993</c:v>
                </c:pt>
                <c:pt idx="13">
                  <c:v>42877.430000000008</c:v>
                </c:pt>
                <c:pt idx="14">
                  <c:v>50429.930000000015</c:v>
                </c:pt>
                <c:pt idx="15">
                  <c:v>37011.270000000004</c:v>
                </c:pt>
                <c:pt idx="16">
                  <c:v>45256.959999999992</c:v>
                </c:pt>
                <c:pt idx="17">
                  <c:v>42631.62999999999</c:v>
                </c:pt>
                <c:pt idx="18">
                  <c:v>51661.61</c:v>
                </c:pt>
                <c:pt idx="19">
                  <c:v>14018.69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2-47DC-8D5D-CE30CFA4C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3899783"/>
        <c:axId val="1578393095"/>
      </c:lineChart>
      <c:catAx>
        <c:axId val="1573899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393095"/>
        <c:crosses val="autoZero"/>
        <c:auto val="1"/>
        <c:lblAlgn val="ctr"/>
        <c:lblOffset val="100"/>
        <c:noMultiLvlLbl val="0"/>
      </c:catAx>
      <c:valAx>
        <c:axId val="1578393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899783"/>
        <c:crosses val="autoZero"/>
        <c:crossBetween val="between"/>
      </c:valAx>
      <c:dTable>
        <c:showHorzBorder val="0"/>
        <c:showVertBorder val="0"/>
        <c:showOutline val="0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Practice.xlsx]weekly sales trend chart.!PivotTable2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'weekly sales trend chart.'!$B$25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'weekly sales trend chart.'!$A$26:$A$30</c:f>
              <c:strCache>
                <c:ptCount val="4"/>
                <c:pt idx="0">
                  <c:v>Shopify</c:v>
                </c:pt>
                <c:pt idx="1">
                  <c:v>Amazon</c:v>
                </c:pt>
                <c:pt idx="2">
                  <c:v>Ebay</c:v>
                </c:pt>
                <c:pt idx="3">
                  <c:v>Walmart</c:v>
                </c:pt>
              </c:strCache>
            </c:strRef>
          </c:cat>
          <c:val>
            <c:numRef>
              <c:f>'weekly sales trend chart.'!$B$26:$B$30</c:f>
              <c:numCache>
                <c:formatCode>General</c:formatCode>
                <c:ptCount val="4"/>
                <c:pt idx="0">
                  <c:v>291056.77999999985</c:v>
                </c:pt>
                <c:pt idx="1">
                  <c:v>225306.34999999989</c:v>
                </c:pt>
                <c:pt idx="2">
                  <c:v>139848.49999999997</c:v>
                </c:pt>
                <c:pt idx="3">
                  <c:v>104891.43999999994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C6-491C-BE11-6904245EF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734728"/>
        <c:axId val="97207816"/>
      </c:barChart>
      <c:catAx>
        <c:axId val="96734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07816"/>
        <c:crosses val="autoZero"/>
        <c:auto val="1"/>
        <c:lblAlgn val="ctr"/>
        <c:lblOffset val="100"/>
        <c:noMultiLvlLbl val="0"/>
      </c:catAx>
      <c:valAx>
        <c:axId val="97207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34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Practice.xlsx]weekly sales trend chart.!PivotTable3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'weekly sales trend chart.'!$B$44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'weekly sales trend chart.'!$A$45:$A$65</c:f>
              <c:strCache>
                <c:ptCount val="20"/>
                <c:pt idx="0">
                  <c:v>SKU-0081</c:v>
                </c:pt>
                <c:pt idx="1">
                  <c:v>SKU-0098</c:v>
                </c:pt>
                <c:pt idx="2">
                  <c:v>SKU-0117</c:v>
                </c:pt>
                <c:pt idx="3">
                  <c:v>SKU-0043</c:v>
                </c:pt>
                <c:pt idx="4">
                  <c:v>SKU-0109</c:v>
                </c:pt>
                <c:pt idx="5">
                  <c:v>SKU-0125</c:v>
                </c:pt>
                <c:pt idx="6">
                  <c:v>SKU-0082</c:v>
                </c:pt>
                <c:pt idx="7">
                  <c:v>SKU-0006</c:v>
                </c:pt>
                <c:pt idx="8">
                  <c:v>SKU-0048</c:v>
                </c:pt>
                <c:pt idx="9">
                  <c:v>SKU-0061</c:v>
                </c:pt>
                <c:pt idx="10">
                  <c:v>SKU-0017</c:v>
                </c:pt>
                <c:pt idx="11">
                  <c:v>SKU-0091</c:v>
                </c:pt>
                <c:pt idx="12">
                  <c:v>SKU-0079</c:v>
                </c:pt>
                <c:pt idx="13">
                  <c:v>SKU-0107</c:v>
                </c:pt>
                <c:pt idx="14">
                  <c:v>SKU-0019</c:v>
                </c:pt>
                <c:pt idx="15">
                  <c:v>SKU-0046</c:v>
                </c:pt>
                <c:pt idx="16">
                  <c:v>SKU-0083</c:v>
                </c:pt>
                <c:pt idx="17">
                  <c:v>SKU-0128</c:v>
                </c:pt>
                <c:pt idx="18">
                  <c:v>SKU-0057</c:v>
                </c:pt>
                <c:pt idx="19">
                  <c:v>SKU-0022</c:v>
                </c:pt>
              </c:strCache>
            </c:strRef>
          </c:cat>
          <c:val>
            <c:numRef>
              <c:f>'weekly sales trend chart.'!$B$45:$B$65</c:f>
              <c:numCache>
                <c:formatCode>General</c:formatCode>
                <c:ptCount val="20"/>
                <c:pt idx="0">
                  <c:v>18496.349999999999</c:v>
                </c:pt>
                <c:pt idx="1">
                  <c:v>16567.12</c:v>
                </c:pt>
                <c:pt idx="2">
                  <c:v>16114.809999999998</c:v>
                </c:pt>
                <c:pt idx="3">
                  <c:v>14909.789999999997</c:v>
                </c:pt>
                <c:pt idx="4">
                  <c:v>14400.960000000001</c:v>
                </c:pt>
                <c:pt idx="5">
                  <c:v>13674.560000000001</c:v>
                </c:pt>
                <c:pt idx="6">
                  <c:v>13351.150000000001</c:v>
                </c:pt>
                <c:pt idx="7">
                  <c:v>13076.420000000002</c:v>
                </c:pt>
                <c:pt idx="8">
                  <c:v>12867.3</c:v>
                </c:pt>
                <c:pt idx="9">
                  <c:v>12583.640000000001</c:v>
                </c:pt>
                <c:pt idx="10">
                  <c:v>12566.680000000002</c:v>
                </c:pt>
                <c:pt idx="11">
                  <c:v>10534.22</c:v>
                </c:pt>
                <c:pt idx="12">
                  <c:v>10290.84</c:v>
                </c:pt>
                <c:pt idx="13">
                  <c:v>10254.51</c:v>
                </c:pt>
                <c:pt idx="14">
                  <c:v>10147.39</c:v>
                </c:pt>
                <c:pt idx="15">
                  <c:v>9634.61</c:v>
                </c:pt>
                <c:pt idx="16">
                  <c:v>9390.4500000000007</c:v>
                </c:pt>
                <c:pt idx="17">
                  <c:v>9301.8999999999978</c:v>
                </c:pt>
                <c:pt idx="18">
                  <c:v>9060.2199999999993</c:v>
                </c:pt>
                <c:pt idx="19">
                  <c:v>9051.2800000000007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7C-4721-ACB2-0A9D5C0D2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630792"/>
        <c:axId val="96655880"/>
      </c:barChart>
      <c:catAx>
        <c:axId val="96630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55880"/>
        <c:crosses val="autoZero"/>
        <c:auto val="1"/>
        <c:lblAlgn val="ctr"/>
        <c:lblOffset val="100"/>
        <c:noMultiLvlLbl val="0"/>
      </c:catAx>
      <c:valAx>
        <c:axId val="96655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30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180975</xdr:rowOff>
    </xdr:from>
    <xdr:to>
      <xdr:col>13</xdr:col>
      <xdr:colOff>400050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54D0B4-24E5-E351-AD6F-A94AE1D86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76200</xdr:colOff>
      <xdr:row>42</xdr:row>
      <xdr:rowOff>85725</xdr:rowOff>
    </xdr:from>
    <xdr:to>
      <xdr:col>9</xdr:col>
      <xdr:colOff>76200</xdr:colOff>
      <xdr:row>56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nth">
              <a:extLst>
                <a:ext uri="{FF2B5EF4-FFF2-40B4-BE49-F238E27FC236}">
                  <a16:creationId xmlns:a16="http://schemas.microsoft.com/office/drawing/2014/main" id="{685A7526-029C-B18B-089D-E130A7363559}"/>
                </a:ext>
                <a:ext uri="{147F2762-F138-4A5C-976F-8EAC2B608ADB}">
                  <a16:predDERef xmlns:a16="http://schemas.microsoft.com/office/drawing/2014/main" pred="{FE54D0B4-24E5-E351-AD6F-A94AE1D865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10125" y="8086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57150</xdr:colOff>
      <xdr:row>27</xdr:row>
      <xdr:rowOff>171450</xdr:rowOff>
    </xdr:from>
    <xdr:to>
      <xdr:col>9</xdr:col>
      <xdr:colOff>57150</xdr:colOff>
      <xdr:row>41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ales_channel">
              <a:extLst>
                <a:ext uri="{FF2B5EF4-FFF2-40B4-BE49-F238E27FC236}">
                  <a16:creationId xmlns:a16="http://schemas.microsoft.com/office/drawing/2014/main" id="{4EFCFBEA-340C-FBB6-ABE5-4CB118B58763}"/>
                </a:ext>
                <a:ext uri="{147F2762-F138-4A5C-976F-8EAC2B608ADB}">
                  <a16:predDERef xmlns:a16="http://schemas.microsoft.com/office/drawing/2014/main" pred="{685A7526-029C-B18B-089D-E130A73635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_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91075" y="53149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9</xdr:col>
      <xdr:colOff>200025</xdr:colOff>
      <xdr:row>27</xdr:row>
      <xdr:rowOff>161925</xdr:rowOff>
    </xdr:from>
    <xdr:to>
      <xdr:col>12</xdr:col>
      <xdr:colOff>200025</xdr:colOff>
      <xdr:row>41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warehouse">
              <a:extLst>
                <a:ext uri="{FF2B5EF4-FFF2-40B4-BE49-F238E27FC236}">
                  <a16:creationId xmlns:a16="http://schemas.microsoft.com/office/drawing/2014/main" id="{8B612847-62A7-9C15-823D-9CE1CAAC3B84}"/>
                </a:ext>
                <a:ext uri="{147F2762-F138-4A5C-976F-8EAC2B608ADB}">
                  <a16:predDERef xmlns:a16="http://schemas.microsoft.com/office/drawing/2014/main" pred="{4EFCFBEA-340C-FBB6-ABE5-4CB118B587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arehous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62750" y="53054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228600</xdr:colOff>
      <xdr:row>27</xdr:row>
      <xdr:rowOff>95250</xdr:rowOff>
    </xdr:from>
    <xdr:to>
      <xdr:col>16</xdr:col>
      <xdr:colOff>228600</xdr:colOff>
      <xdr:row>41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ategory">
              <a:extLst>
                <a:ext uri="{FF2B5EF4-FFF2-40B4-BE49-F238E27FC236}">
                  <a16:creationId xmlns:a16="http://schemas.microsoft.com/office/drawing/2014/main" id="{859CB422-EFA6-A86C-2E0A-7D9FCF6223E9}"/>
                </a:ext>
                <a:ext uri="{147F2762-F138-4A5C-976F-8EAC2B608ADB}">
                  <a16:predDERef xmlns:a16="http://schemas.microsoft.com/office/drawing/2014/main" pred="{8B612847-62A7-9C15-823D-9CE1CAAC3B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29725" y="52387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28575</xdr:rowOff>
    </xdr:from>
    <xdr:to>
      <xdr:col>12</xdr:col>
      <xdr:colOff>504825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7C7DA1-4ED7-FC50-E451-74F9F5429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76200</xdr:colOff>
      <xdr:row>23</xdr:row>
      <xdr:rowOff>180975</xdr:rowOff>
    </xdr:from>
    <xdr:to>
      <xdr:col>12</xdr:col>
      <xdr:colOff>485775</xdr:colOff>
      <xdr:row>40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B3F431-173C-4075-B2E3-8586171851D5}"/>
            </a:ext>
            <a:ext uri="{147F2762-F138-4A5C-976F-8EAC2B608ADB}">
              <a16:predDERef xmlns:a16="http://schemas.microsoft.com/office/drawing/2014/main" pred="{587C7DA1-4ED7-FC50-E451-74F9F5429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43</xdr:row>
      <xdr:rowOff>9525</xdr:rowOff>
    </xdr:from>
    <xdr:to>
      <xdr:col>12</xdr:col>
      <xdr:colOff>342900</xdr:colOff>
      <xdr:row>64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ADCC43-06F4-8181-2125-1CAA11F1FF84}"/>
            </a:ext>
            <a:ext uri="{147F2762-F138-4A5C-976F-8EAC2B608ADB}">
              <a16:predDERef xmlns:a16="http://schemas.microsoft.com/office/drawing/2014/main" pred="{9FB3F431-173C-4075-B2E3-858617185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3.538964236111" createdVersion="8" refreshedVersion="8" minRefreshableVersion="3" recordCount="1108" xr:uid="{F1FDFC76-C551-4067-A3A9-8BD5A1501AD9}">
  <cacheSource type="worksheet">
    <worksheetSource ref="A1:J1109" sheet="order_items"/>
  </cacheSource>
  <cacheFields count="10">
    <cacheField name="order_item_id" numFmtId="0">
      <sharedItems containsSemiMixedTypes="0" containsString="0" containsNumber="1" containsInteger="1" minValue="1" maxValue="1108"/>
    </cacheField>
    <cacheField name="order_id" numFmtId="0">
      <sharedItems containsSemiMixedTypes="0" containsString="0" containsNumber="1" containsInteger="1" minValue="1001" maxValue="1450"/>
    </cacheField>
    <cacheField name="product_id" numFmtId="0">
      <sharedItems containsSemiMixedTypes="0" containsString="0" containsNumber="1" containsInteger="1" minValue="1" maxValue="150"/>
    </cacheField>
    <cacheField name="quantity" numFmtId="0">
      <sharedItems containsSemiMixedTypes="0" containsString="0" containsNumber="1" containsInteger="1" minValue="1" maxValue="8"/>
    </cacheField>
    <cacheField name="unit_price" numFmtId="0">
      <sharedItems containsSemiMixedTypes="0" containsString="0" containsNumber="1" minValue="15.33" maxValue="299.56"/>
    </cacheField>
    <cacheField name="discount_amount" numFmtId="0">
      <sharedItems containsSemiMixedTypes="0" containsString="0" containsNumber="1" minValue="0" maxValue="14.87"/>
    </cacheField>
    <cacheField name="revenue" numFmtId="0">
      <sharedItems containsSemiMixedTypes="0" containsString="0" containsNumber="1" minValue="22.56" maxValue="2396.48"/>
    </cacheField>
    <cacheField name="month" numFmtId="0">
      <sharedItems/>
    </cacheField>
    <cacheField name="sku" numFmtId="0">
      <sharedItems/>
    </cacheField>
    <cacheField name="week" numFmtId="0">
      <sharedItems count="20">
        <s v="2026-w04"/>
        <s v="2026-w12"/>
        <s v="2026-w16"/>
        <s v="2026-w03"/>
        <s v="2026-w15"/>
        <s v="2026-w09"/>
        <s v="2026-w13"/>
        <s v="2026-w10"/>
        <s v="2026-w11"/>
        <s v="2026-w07"/>
        <s v="2026-w06"/>
        <s v="2026-w17"/>
        <s v="2026-w14"/>
        <s v="2026-w18"/>
        <s v="2026-w08"/>
        <s v="2026-w19"/>
        <s v="2026-w20"/>
        <s v="2026-w05"/>
        <s v="2026-w02"/>
        <s v="2026-w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3.549966203704" createdVersion="8" refreshedVersion="8" minRefreshableVersion="3" recordCount="312" xr:uid="{241124F3-57E5-4CD9-AD25-05E3A09805D3}">
  <cacheSource type="worksheet">
    <worksheetSource ref="A1:E313" sheet="inventory"/>
  </cacheSource>
  <cacheFields count="5">
    <cacheField name="inventory_id" numFmtId="0">
      <sharedItems containsSemiMixedTypes="0" containsString="0" containsNumber="1" containsInteger="1" minValue="1" maxValue="312"/>
    </cacheField>
    <cacheField name="product_id" numFmtId="0">
      <sharedItems containsSemiMixedTypes="0" containsString="0" containsNumber="1" containsInteger="1" minValue="1" maxValue="9999"/>
    </cacheField>
    <cacheField name="warehouse" numFmtId="0">
      <sharedItems count="6">
        <s v="South Jordan"/>
        <s v="Unknown"/>
        <s v="West Valley"/>
        <s v="Draper"/>
        <s v="Salt Lake City"/>
        <s v="Lehi"/>
      </sharedItems>
    </cacheField>
    <cacheField name="quantity_on_hand" numFmtId="0">
      <sharedItems containsSemiMixedTypes="0" containsString="0" containsNumber="1" containsInteger="1" minValue="0" maxValue="500"/>
    </cacheField>
    <cacheField name="last_updated" numFmtId="14">
      <sharedItems containsSemiMixedTypes="0" containsNonDate="0" containsDate="1" containsString="0" minDate="2026-03-02T00:00:00" maxDate="2026-05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3.852453125" createdVersion="8" refreshedVersion="8" minRefreshableVersion="3" recordCount="1108" xr:uid="{2905B39C-4077-44AC-97D1-5D73021BC24A}">
  <cacheSource type="worksheet">
    <worksheetSource name="Table5"/>
  </cacheSource>
  <cacheFields count="17">
    <cacheField name="order_item_id" numFmtId="0">
      <sharedItems containsSemiMixedTypes="0" containsString="0" containsNumber="1" containsInteger="1" minValue="1" maxValue="1108"/>
    </cacheField>
    <cacheField name="order_id" numFmtId="0">
      <sharedItems containsSemiMixedTypes="0" containsString="0" containsNumber="1" containsInteger="1" minValue="1001" maxValue="1450"/>
    </cacheField>
    <cacheField name="product_id" numFmtId="0">
      <sharedItems containsSemiMixedTypes="0" containsString="0" containsNumber="1" containsInteger="1" minValue="1" maxValue="150"/>
    </cacheField>
    <cacheField name="quantity" numFmtId="0">
      <sharedItems containsSemiMixedTypes="0" containsString="0" containsNumber="1" containsInteger="1" minValue="1" maxValue="8"/>
    </cacheField>
    <cacheField name="unit_price" numFmtId="0">
      <sharedItems containsSemiMixedTypes="0" containsString="0" containsNumber="1" minValue="15.33" maxValue="299.56"/>
    </cacheField>
    <cacheField name="discount_amount" numFmtId="0">
      <sharedItems containsSemiMixedTypes="0" containsString="0" containsNumber="1" minValue="0" maxValue="14.87"/>
    </cacheField>
    <cacheField name="revenue" numFmtId="0">
      <sharedItems containsSemiMixedTypes="0" containsString="0" containsNumber="1" minValue="22.56" maxValue="2396.48" count="875">
        <n v="1291.08"/>
        <n v="1063.7900000000002"/>
        <n v="369.12"/>
        <n v="490.71"/>
        <n v="483.84"/>
        <n v="1749.3600000000001"/>
        <n v="1786.72"/>
        <n v="336.08"/>
        <n v="396.93"/>
        <n v="129.88"/>
        <n v="1795.7800000000002"/>
        <n v="344.46"/>
        <n v="299.3"/>
        <n v="468.63"/>
        <n v="1272.74"/>
        <n v="334.08"/>
        <n v="1647.24"/>
        <n v="438.68"/>
        <n v="694.8"/>
        <n v="1466.1000000000001"/>
        <n v="326"/>
        <n v="1364.16"/>
        <n v="1270.1999999999998"/>
        <n v="550.5"/>
        <n v="859.44"/>
        <n v="1164.0600000000002"/>
        <n v="446.86"/>
        <n v="967.41"/>
        <n v="798.4"/>
        <n v="741.87"/>
        <n v="565.62"/>
        <n v="695.44"/>
        <n v="1371.62"/>
        <n v="438.22"/>
        <n v="853.25"/>
        <n v="1764.7"/>
        <n v="65.52"/>
        <n v="123.14"/>
        <n v="86.93"/>
        <n v="228.02"/>
        <n v="67.72"/>
        <n v="765.1"/>
        <n v="578.37999999999988"/>
        <n v="207.51"/>
        <n v="1200.71"/>
        <n v="341.3"/>
        <n v="45.879999999999995"/>
        <n v="638.76"/>
        <n v="97.52"/>
        <n v="152.56"/>
        <n v="71.75"/>
        <n v="732.51"/>
        <n v="1442.4"/>
        <n v="1047.04"/>
        <n v="107.34"/>
        <n v="430.16999999999996"/>
        <n v="598.32000000000005"/>
        <n v="2376.25"/>
        <n v="692.15"/>
        <n v="825.72"/>
        <n v="1059.52"/>
        <n v="83.91"/>
        <n v="486.8"/>
        <n v="1539.2400000000002"/>
        <n v="644.58000000000004"/>
        <n v="1361.92"/>
        <n v="541"/>
        <n v="248.64"/>
        <n v="322.02"/>
        <n v="1110.8"/>
        <n v="276.84000000000003"/>
        <n v="514.59"/>
        <n v="1797.3600000000001"/>
        <n v="554.05999999999995"/>
        <n v="180.3"/>
        <n v="266.03999999999996"/>
        <n v="30.66"/>
        <n v="195.39"/>
        <n v="468.48"/>
        <n v="909.09999999999991"/>
        <n v="1346.15"/>
        <n v="478.90000000000003"/>
        <n v="1563.38"/>
        <n v="997.75"/>
        <n v="2346.64"/>
        <n v="808.98"/>
        <n v="1379.12"/>
        <n v="113.37"/>
        <n v="406.22"/>
        <n v="237.01999999999998"/>
        <n v="224"/>
        <n v="22.56"/>
        <n v="772.56"/>
        <n v="101.94"/>
        <n v="992.33999999999992"/>
        <n v="895.47000000000014"/>
        <n v="1461.6999999999998"/>
        <n v="229.05"/>
        <n v="264.40000000000003"/>
        <n v="302.86"/>
        <n v="471.4"/>
        <n v="410.12"/>
        <n v="543.48"/>
        <n v="253.62"/>
        <n v="708.42"/>
        <n v="225.95999999999998"/>
        <n v="266.82"/>
        <n v="1217"/>
        <n v="35.19"/>
        <n v="505.03000000000003"/>
        <n v="129.30000000000001"/>
        <n v="184.51999999999998"/>
        <n v="888.59"/>
        <n v="901.68000000000006"/>
        <n v="639"/>
        <n v="1486.3799999999999"/>
        <n v="221.16"/>
        <n v="891.16"/>
        <n v="325.53999999999996"/>
        <n v="1387.1000000000001"/>
        <n v="931.22"/>
        <n v="177.54"/>
        <n v="756"/>
        <n v="1754.04"/>
        <n v="192.74"/>
        <n v="870.24"/>
        <n v="876.44"/>
        <n v="792.84"/>
        <n v="199.5"/>
        <n v="143.04"/>
        <n v="843.65"/>
        <n v="116.69000000000001"/>
        <n v="1759.3200000000002"/>
        <n v="407.76"/>
        <n v="464.64"/>
        <n v="292.12"/>
        <n v="1285.44"/>
        <n v="572.16"/>
        <n v="140.26"/>
        <n v="200.92"/>
        <n v="852"/>
        <n v="755.75"/>
        <n v="284.02999999999997"/>
        <n v="484.58"/>
        <n v="1141.7099999999998"/>
        <n v="659.96"/>
        <n v="961.78"/>
        <n v="432.65999999999997"/>
        <n v="241.92"/>
        <n v="293.22000000000003"/>
        <n v="64.34"/>
        <n v="216.06"/>
        <n v="41.03"/>
        <n v="1752.88"/>
        <n v="378"/>
        <n v="102.75"/>
        <n v="678.12"/>
        <n v="286.05"/>
        <n v="200.18"/>
        <n v="972.8"/>
        <n v="751.4"/>
        <n v="789.7"/>
        <n v="233.57"/>
        <n v="426.59"/>
        <n v="116.35"/>
        <n v="860.87999999999988"/>
        <n v="55.94"/>
        <n v="597.71"/>
        <n v="201"/>
        <n v="244.17"/>
        <n v="768.42"/>
        <n v="252.1"/>
        <n v="59.31"/>
        <n v="158.16"/>
        <n v="874.4"/>
        <n v="1939.2099999999998"/>
        <n v="465.49"/>
        <n v="660.73"/>
        <n v="114.92"/>
        <n v="573.55999999999995"/>
        <n v="104.43"/>
        <n v="184.44"/>
        <n v="61.57"/>
        <n v="1453.9499999999998"/>
        <n v="430.43999999999994"/>
        <n v="300.58"/>
        <n v="1593.26"/>
        <n v="1496.5"/>
        <n v="282.27"/>
        <n v="107.31"/>
        <n v="473.34"/>
        <n v="429.36"/>
        <n v="508.74"/>
        <n v="91.98"/>
        <n v="2213.27"/>
        <n v="111.33"/>
        <n v="725.06999999999994"/>
        <n v="1334.4099999999999"/>
        <n v="172.38"/>
        <n v="635.09999999999991"/>
        <n v="237.2"/>
        <n v="202.51"/>
        <n v="895.81999999999994"/>
        <n v="188.56"/>
        <n v="150.19"/>
        <n v="650.16999999999996"/>
        <n v="474.4"/>
        <n v="347.72"/>
        <n v="688.65000000000009"/>
        <n v="169.3"/>
        <n v="1793.34"/>
        <n v="1381.29"/>
        <n v="194.56"/>
        <n v="322.8"/>
        <n v="273.92"/>
        <n v="538.46"/>
        <n v="106.5"/>
        <n v="770.42000000000007"/>
        <n v="298.89"/>
        <n v="100.09"/>
        <n v="46.54"/>
        <n v="281.09000000000003"/>
        <n v="67.679999999999993"/>
        <n v="933.87"/>
        <n v="936.08"/>
        <n v="122.64"/>
        <n v="834.09999999999991"/>
        <n v="1947.2"/>
        <n v="1664.52"/>
        <n v="1685.12"/>
        <n v="547.84"/>
        <n v="615.18000000000006"/>
        <n v="375.69"/>
        <n v="290.99"/>
        <n v="231.6"/>
        <n v="131.80000000000001"/>
        <n v="1016.08"/>
        <n v="405.75"/>
        <n v="840.19999999999993"/>
        <n v="922.19999999999993"/>
        <n v="1026.1600000000001"/>
        <n v="46.14"/>
        <n v="594.63"/>
        <n v="1500.9399999999998"/>
        <n v="287.3"/>
        <n v="582.43999999999994"/>
        <n v="363.64"/>
        <n v="1612.8"/>
        <n v="789.07"/>
        <n v="378.2"/>
        <n v="1709.1899999999998"/>
        <n v="555.34"/>
        <n v="1006.46"/>
        <n v="177.31"/>
        <n v="335.06"/>
        <n v="124.17"/>
        <n v="1209.5999999999999"/>
        <n v="1475.52"/>
        <n v="1072.0999999999999"/>
        <n v="34.369999999999997"/>
        <n v="477.84999999999997"/>
        <n v="944.56"/>
        <n v="1142.56"/>
        <n v="550.38"/>
        <n v="555.4"/>
        <n v="1953.36"/>
        <n v="96.51"/>
        <n v="286.08"/>
        <n v="571.28"/>
        <n v="1493.48"/>
        <n v="652.2299999999999"/>
        <n v="970.67000000000007"/>
        <n v="409.15"/>
        <n v="126"/>
        <n v="612.21"/>
        <n v="1013.4800000000001"/>
        <n v="597.78"/>
        <n v="1465.02"/>
        <n v="357.59999999999997"/>
        <n v="210.88"/>
        <n v="149.78"/>
        <n v="127.89000000000001"/>
        <n v="118.07"/>
        <n v="1209.2"/>
        <n v="463.17"/>
        <n v="874.68000000000006"/>
        <n v="252.17000000000002"/>
        <n v="456.40000000000003"/>
        <n v="1634.99"/>
        <n v="228.16"/>
        <n v="1047.69"/>
        <n v="90.24"/>
        <n v="860.33999999999992"/>
        <n v="327.14"/>
        <n v="247.73"/>
        <n v="105.44"/>
        <n v="807.69"/>
        <n v="168.61"/>
        <n v="213"/>
        <n v="1448.1200000000001"/>
        <n v="598.79999999999995"/>
        <n v="1147.75"/>
        <n v="355.86"/>
        <n v="528.24"/>
        <n v="184.71"/>
        <n v="377.12"/>
        <n v="143.5"/>
        <n v="1228.1399999999999"/>
        <n v="484.08"/>
        <n v="1148.6299999999999"/>
        <n v="1023.9000000000001"/>
        <n v="84.79"/>
        <n v="643.26"/>
        <n v="676.25"/>
        <n v="265.23"/>
        <n v="471.95"/>
        <n v="184.16"/>
        <n v="234.02"/>
        <n v="137.43"/>
        <n v="151.15"/>
        <n v="1117.83"/>
        <n v="535.88"/>
        <n v="1545.12"/>
        <n v="912.28"/>
        <n v="565.68000000000006"/>
        <n v="1872.16"/>
        <n v="1024.56"/>
        <n v="296.5"/>
        <n v="424.13"/>
        <n v="201.34"/>
        <n v="544.23"/>
        <n v="654.64"/>
        <n v="165.84"/>
        <n v="188.78"/>
        <n v="884.34"/>
        <n v="118.19999999999999"/>
        <n v="517.20000000000005"/>
        <n v="463.2"/>
        <n v="1010.48"/>
        <n v="1714.02"/>
        <n v="1713.84"/>
        <n v="1045.8399999999999"/>
        <n v="320.67"/>
        <n v="1181.1099999999999"/>
        <n v="245.49"/>
        <n v="746.27"/>
        <n v="77.42"/>
        <n v="1163.6400000000001"/>
        <n v="115.25"/>
        <n v="1759.98"/>
        <n v="1166.1799999999998"/>
        <n v="396.42"/>
        <n v="243.79999999999998"/>
        <n v="721.2"/>
        <n v="459.1"/>
        <n v="1170.1000000000001"/>
        <n v="141.11000000000001"/>
        <n v="724.64"/>
        <n v="195.79"/>
        <n v="368.88"/>
        <n v="118.6"/>
        <n v="142.62"/>
        <n v="1263.0999999999999"/>
        <n v="168.68"/>
        <n v="539.32000000000005"/>
        <n v="993.36"/>
        <n v="393.51"/>
        <n v="596.5"/>
        <n v="2116.4900000000002"/>
        <n v="2345.2199999999998"/>
        <n v="629.95000000000005"/>
        <n v="1791.88"/>
        <n v="300.56"/>
        <n v="1638.14"/>
        <n v="82.2"/>
        <n v="929.28"/>
        <n v="402.22"/>
        <n v="1011.6600000000001"/>
        <n v="1999.48"/>
        <n v="1472.57"/>
        <n v="1939.49"/>
        <n v="765.19999999999993"/>
        <n v="1539.6"/>
        <n v="2087.46"/>
        <n v="1718.88"/>
        <n v="781.05000000000007"/>
        <n v="356.89"/>
        <n v="821.76"/>
        <n v="218.6"/>
        <n v="266.98"/>
        <n v="1612.61"/>
        <n v="111.88"/>
        <n v="252.62"/>
        <n v="70.38"/>
        <n v="1941.94"/>
        <n v="283.64999999999998"/>
        <n v="1180.27"/>
        <n v="1457.8"/>
        <n v="859.30000000000007"/>
        <n v="37.590000000000003"/>
        <n v="1474.48"/>
        <n v="623.79000000000008"/>
        <n v="219.11"/>
        <n v="1367.73"/>
        <n v="1147.1199999999999"/>
        <n v="865.31999999999994"/>
        <n v="395.14000000000004"/>
        <n v="409.37999999999994"/>
        <n v="1812.6499999999999"/>
        <n v="577.34999999999991"/>
        <n v="80.210000000000008"/>
        <n v="804"/>
        <n v="89.16"/>
        <n v="153.69999999999999"/>
        <n v="1195.56"/>
        <n v="573.91999999999996"/>
        <n v="233.98999999999998"/>
        <n v="1527.54"/>
        <n v="1515.72"/>
        <n v="495.07"/>
        <n v="1377.84"/>
        <n v="221.78"/>
        <n v="1155.28"/>
        <n v="2092.23"/>
        <n v="230.54"/>
        <n v="624.84"/>
        <n v="842.56"/>
        <n v="757.15000000000009"/>
        <n v="544.08000000000004"/>
        <n v="1282.7"/>
        <n v="1192.93"/>
        <n v="752.35"/>
        <n v="532.5"/>
        <n v="271.74"/>
        <n v="1584.64"/>
        <n v="210.64"/>
        <n v="123.30000000000001"/>
        <n v="400.36"/>
        <n v="201.9"/>
        <n v="1798.1599999999999"/>
        <n v="157.38"/>
        <n v="1781.68"/>
        <n v="946.75"/>
        <n v="350.83"/>
        <n v="1098.96"/>
        <n v="214.86"/>
        <n v="76.28"/>
        <n v="2068.08"/>
        <n v="1469.16"/>
        <n v="1180.8"/>
        <n v="1591.38"/>
        <n v="465.72999999999996"/>
        <n v="391.20000000000005"/>
        <n v="1263.8399999999999"/>
        <n v="244.14999999999998"/>
        <n v="512.94999999999993"/>
        <n v="45.12"/>
        <n v="177.89999999999998"/>
        <n v="61.650000000000006"/>
        <n v="386.28"/>
        <n v="922.16"/>
        <n v="1194.55"/>
        <n v="577.64"/>
        <n v="254.85"/>
        <n v="871.91"/>
        <n v="1013.7099999999999"/>
        <n v="175.82999999999998"/>
        <n v="1366.5400000000002"/>
        <n v="1533.77"/>
        <n v="965.69999999999993"/>
        <n v="402.36"/>
        <n v="1374.88"/>
        <n v="219.67999999999998"/>
        <n v="255.76"/>
        <n v="445.36000000000007"/>
        <n v="1101.53"/>
        <n v="372.51"/>
        <n v="438.18"/>
        <n v="1379.06"/>
        <n v="517.02"/>
        <n v="484.72"/>
        <n v="408.46999999999997"/>
        <n v="45.99"/>
        <n v="990.57999999999993"/>
        <n v="633.67999999999995"/>
        <n v="476.93"/>
        <n v="798.2"/>
        <n v="472.28"/>
        <n v="1207.7099999999998"/>
        <n v="286.77999999999997"/>
        <n v="1452.37"/>
        <n v="2052.54"/>
        <n v="604.6"/>
        <n v="2216.56"/>
        <n v="256.54000000000002"/>
        <n v="548.35"/>
        <n v="492.73"/>
        <n v="1163.4699999999998"/>
        <n v="101.58"/>
        <n v="593.53000000000009"/>
        <n v="488.34"/>
        <n v="703.5"/>
        <n v="1653.12"/>
        <n v="258.60000000000002"/>
        <n v="1039.49"/>
        <n v="1966.8600000000001"/>
        <n v="1873.9900000000002"/>
        <n v="1287.5999999999999"/>
        <n v="429.12"/>
        <n v="770.89"/>
        <n v="1286.52"/>
        <n v="1372.24"/>
        <n v="1556.48"/>
        <n v="513.76"/>
        <n v="404.49"/>
        <n v="163.57"/>
        <n v="1466.6499999999999"/>
        <n v="153.38"/>
        <n v="450.84000000000003"/>
        <n v="401.8"/>
        <n v="197"/>
        <n v="243.96"/>
        <n v="71.210000000000008"/>
        <n v="480.56"/>
        <n v="139.85"/>
        <n v="327.9"/>
        <n v="583.12"/>
        <n v="280.98"/>
        <n v="570.92999999999995"/>
        <n v="1124.76"/>
        <n v="1143.02"/>
        <n v="908.58"/>
        <n v="140.91999999999999"/>
        <n v="1369.6000000000001"/>
        <n v="307.85000000000002"/>
        <n v="1889.28"/>
        <n v="820.01"/>
        <n v="579.41999999999996"/>
        <n v="1340.04"/>
        <n v="905.10000000000014"/>
        <n v="958.14"/>
        <n v="1004.3599999999999"/>
        <n v="680.82"/>
        <n v="700.71"/>
        <n v="220.12"/>
        <n v="1158.8399999999999"/>
        <n v="403.5"/>
        <n v="2214.19"/>
        <n v="128.11000000000001"/>
        <n v="663.48"/>
        <n v="500.51000000000005"/>
        <n v="727.95"/>
        <n v="880.48"/>
        <n v="211.14"/>
        <n v="60.59"/>
        <n v="1365.52"/>
        <n v="2017.48"/>
        <n v="389.12"/>
        <n v="1532.1200000000003"/>
        <n v="70.459999999999994"/>
        <n v="776.84999999999991"/>
        <n v="337.46"/>
        <n v="2337.6400000000003"/>
        <n v="2394.4"/>
        <n v="296.55"/>
        <n v="737.93"/>
        <n v="161.4"/>
        <n v="275.19"/>
        <n v="1211.5500000000002"/>
        <n v="461"/>
        <n v="531.79"/>
        <n v="979.44"/>
        <n v="437.2"/>
        <n v="93"/>
        <n v="301.27999999999997"/>
        <n v="505.24"/>
        <n v="1066.76"/>
        <n v="137.47999999999999"/>
        <n v="897.90000000000009"/>
        <n v="1166.24"/>
        <n v="228.84"/>
        <n v="52.32"/>
        <n v="1449.1299999999999"/>
        <n v="598.6"/>
        <n v="1118.1400000000001"/>
        <n v="108.45"/>
        <n v="1186.81"/>
        <n v="1198.24"/>
        <n v="500.47"/>
        <n v="112.82"/>
        <n v="416.54999999999995"/>
        <n v="240.58999999999997"/>
        <n v="105.57"/>
        <n v="1123.92"/>
        <n v="602.2600000000001"/>
        <n v="317.22000000000003"/>
        <n v="277.7"/>
        <n v="321.36"/>
        <n v="842.94"/>
        <n v="112.8"/>
        <n v="1396.8500000000001"/>
        <n v="596.38"/>
        <n v="167.82"/>
        <n v="854.57999999999993"/>
        <n v="1144.99"/>
        <n v="91.62"/>
        <n v="32.17"/>
        <n v="1559.53"/>
        <n v="934.28"/>
        <n v="232.44"/>
        <n v="630"/>
        <n v="889.85"/>
        <n v="1606.43"/>
        <n v="45.81"/>
        <n v="144.22"/>
        <n v="1202.24"/>
        <n v="627.77"/>
        <n v="755.12"/>
        <n v="941.28"/>
        <n v="52.72"/>
        <n v="1197.2"/>
        <n v="831.08999999999992"/>
        <n v="237.72"/>
        <n v="533.38"/>
        <n v="75.319999999999993"/>
        <n v="314.25"/>
        <n v="396.82000000000005"/>
        <n v="115.8"/>
        <n v="68.7"/>
        <n v="1169.3599999999999"/>
        <n v="1866.83"/>
        <n v="169.96"/>
        <n v="379.30999999999995"/>
        <n v="2209.06"/>
        <n v="723.36"/>
        <n v="319.5"/>
        <n v="362.32"/>
        <n v="211.23"/>
        <n v="774.4"/>
        <n v="459.68"/>
        <n v="1284.4000000000001"/>
        <n v="240.28"/>
        <n v="549.30999999999995"/>
        <n v="1238.58"/>
        <n v="915.1099999999999"/>
        <n v="898.68000000000006"/>
        <n v="191.14"/>
        <n v="1795.8000000000002"/>
        <n v="745.02"/>
        <n v="962.51"/>
        <n v="168.73"/>
        <n v="159.41999999999999"/>
        <n v="1686.3"/>
        <n v="269.23"/>
        <n v="1197.97"/>
        <n v="477.96"/>
        <n v="570.65"/>
        <n v="291.98"/>
        <n v="360.6"/>
        <n v="170.52"/>
        <n v="256.88"/>
        <n v="1372.76"/>
        <n v="57.21"/>
        <n v="1917.44"/>
        <n v="806.75"/>
        <n v="528.5"/>
        <n v="795.69"/>
        <n v="574"/>
        <n v="204.07"/>
        <n v="1783.85"/>
        <n v="454.86"/>
        <n v="212.20000000000002"/>
        <n v="160.85000000000002"/>
        <n v="1769.28"/>
        <n v="2052.3200000000002"/>
        <n v="695.72"/>
        <n v="193.04000000000002"/>
        <n v="339.06"/>
        <n v="319.38"/>
        <n v="994.56"/>
        <n v="426"/>
        <n v="515.04"/>
        <n v="856.92"/>
        <n v="425.00999999999993"/>
        <n v="285.64"/>
        <n v="284.91000000000003"/>
        <n v="1700.27"/>
        <n v="631.91999999999996"/>
        <n v="1365.2"/>
        <n v="448"/>
        <n v="120.14"/>
        <n v="481.8"/>
        <n v="164.12"/>
        <n v="901.5"/>
        <n v="223.76"/>
        <n v="408.14"/>
        <n v="130.4"/>
        <n v="448.72999999999996"/>
        <n v="1260.5"/>
        <n v="322.98"/>
        <n v="695.63"/>
        <n v="445.58"/>
        <n v="112"/>
        <n v="286.70999999999998"/>
        <n v="100.5"/>
        <n v="550.29999999999995"/>
        <n v="66.5"/>
        <n v="981.42"/>
        <n v="1383.24"/>
        <n v="1003.02"/>
        <n v="309.76"/>
        <n v="2204.7299999999996"/>
        <n v="803.40000000000009"/>
        <n v="273.27"/>
        <n v="787.34"/>
        <n v="964.08"/>
        <n v="93.08"/>
        <n v="687.44"/>
        <n v="1809.57"/>
        <n v="134.83000000000001"/>
        <n v="183.24"/>
        <n v="94.28"/>
        <n v="847.65"/>
        <n v="173.86"/>
        <n v="824.50999999999988"/>
        <n v="784.37999999999988"/>
        <n v="697.56"/>
        <n v="2049.4499999999998"/>
        <n v="92.81"/>
        <n v="157.97999999999999"/>
        <n v="238.2"/>
        <n v="387.90000000000003"/>
        <n v="552.16999999999996"/>
        <n v="1831.02"/>
        <n v="84.54"/>
        <n v="285.38"/>
        <n v="1017.1800000000001"/>
        <n v="614.81000000000006"/>
        <n v="22.68"/>
        <n v="302.95000000000005"/>
        <n v="268.35000000000002"/>
        <n v="1836.4"/>
        <n v="1445.01"/>
        <n v="1451.52"/>
        <n v="1084.8500000000001"/>
        <n v="999.61000000000013"/>
        <n v="110.06"/>
        <n v="477.09999999999997"/>
        <n v="1102.2299999999998"/>
        <n v="390.08"/>
        <n v="915.5"/>
        <n v="857.74999999999989"/>
        <n v="138.85"/>
        <n v="451.91999999999996"/>
        <n v="180.35"/>
        <n v="568.74999999999989"/>
        <n v="943.81000000000006"/>
        <n v="1258.1300000000001"/>
        <n v="811.5"/>
        <n v="340.55"/>
        <n v="96.070000000000007"/>
        <n v="235.32"/>
        <n v="234.21999999999997"/>
        <n v="619.52"/>
        <n v="376.44"/>
        <n v="236.14"/>
        <n v="1782.32"/>
        <n v="543.9"/>
        <n v="884.64"/>
        <n v="737.76"/>
        <n v="1093.77"/>
        <n v="504.2"/>
        <n v="243.4"/>
        <n v="1165.73"/>
        <n v="1460.4"/>
        <n v="305.12"/>
        <n v="137.01999999999998"/>
        <n v="31.630000000000003"/>
        <n v="33.25"/>
        <n v="700.63"/>
        <n v="96.35"/>
        <n v="99.67"/>
        <n v="877.32999999999993"/>
        <n v="2055.04"/>
        <n v="154.48999999999998"/>
        <n v="344.76"/>
        <n v="148.94999999999999"/>
        <n v="133"/>
        <n v="621.59999999999991"/>
        <n v="165.99"/>
        <n v="672"/>
        <n v="504.12"/>
        <n v="1356.04"/>
        <n v="1981.84"/>
        <n v="193.02"/>
        <n v="842.31"/>
        <n v="166.25"/>
        <n v="1018.8700000000001"/>
        <n v="123.09"/>
        <n v="338.16"/>
        <n v="646.5"/>
        <n v="754.24"/>
        <n v="902.42000000000007"/>
        <n v="1802.6399999999999"/>
        <n v="789.5200000000001"/>
        <n v="254.53000000000003"/>
        <n v="210.22"/>
        <n v="138.49"/>
        <n v="218.49"/>
        <n v="582.94999999999993"/>
        <n v="111.32"/>
        <n v="287.21000000000004"/>
        <n v="775.80000000000007"/>
        <n v="252.06"/>
        <n v="1606.2"/>
        <n v="288.44"/>
        <n v="348.71"/>
        <n v="506.18999999999994"/>
        <n v="73.03"/>
        <n v="57.59"/>
        <n v="784"/>
        <n v="210.74"/>
        <n v="727.28"/>
        <n v="355.79999999999995"/>
        <n v="377.56"/>
        <n v="674.44"/>
        <n v="563.45999999999992"/>
        <n v="275.8"/>
        <n v="485.04"/>
        <n v="830.09"/>
        <n v="25.060000000000002"/>
        <n v="1084.1599999999999"/>
        <n v="84.34"/>
        <n v="2396.48"/>
        <n v="228.42"/>
        <n v="2016.8"/>
        <n v="354.21"/>
        <n v="1450.86"/>
        <n v="1211.44"/>
        <n v="1289.1600000000001"/>
        <n v="187.75"/>
        <n v="694.30000000000007"/>
        <n v="300.27"/>
        <n v="705.68"/>
        <n v="686.12"/>
        <n v="555.06999999999994"/>
        <n v="1060.92"/>
        <n v="1648.1299999999999"/>
        <n v="730.2"/>
        <n v="2191.36"/>
        <n v="653.65"/>
        <n v="579"/>
        <n v="1203.02"/>
        <n v="586.66"/>
        <n v="1009.54"/>
        <n v="857.68"/>
        <n v="128.68"/>
        <n v="717.4"/>
        <n v="159.38"/>
        <n v="601.12"/>
        <n v="590.34999999999991"/>
        <n v="288.82"/>
        <n v="118.85"/>
        <n v="800.06999999999994"/>
        <n v="1512.6"/>
        <n v="725.76"/>
        <n v="317.35000000000002"/>
        <n v="1856.6100000000001"/>
        <n v="2219.36"/>
        <n v="988.29"/>
        <n v="278.82"/>
        <n v="472.43"/>
        <n v="103.61"/>
        <n v="1751.8600000000001"/>
        <n v="1108.1199999999999"/>
      </sharedItems>
    </cacheField>
    <cacheField name="month" numFmtId="0">
      <sharedItems count="5">
        <s v="2026-01"/>
        <s v="2026-03"/>
        <s v="2026-04"/>
        <s v="2026-02"/>
        <s v="2026-05"/>
      </sharedItems>
    </cacheField>
    <cacheField name="sku" numFmtId="0">
      <sharedItems count="150">
        <s v="SKU-0045"/>
        <s v="SKU-0073"/>
        <s v="SKU-0035"/>
        <s v="SKU-0085"/>
        <s v="SKU-0103"/>
        <s v="SKU-0067"/>
        <s v="SKU-0107"/>
        <s v="SKU-0020"/>
        <s v="SKU-0147"/>
        <s v="SKU-0030"/>
        <s v="SKU-0006"/>
        <s v="SKU-0056"/>
        <s v="SKU-0017"/>
        <s v="SKU-0139"/>
        <s v="SKU-0137"/>
        <s v="SKU-0118"/>
        <s v="SKU-0009"/>
        <s v="SKU-0062"/>
        <s v="SKU-0060"/>
        <s v="SKU-0061"/>
        <s v="SKU-0106"/>
        <s v="SKU-0077"/>
        <s v="SKU-0116"/>
        <s v="SKU-0049"/>
        <s v="SKU-0063"/>
        <s v="SKU-0079"/>
        <s v="SKU-0120"/>
        <s v="SKU-0082"/>
        <s v="SKU-0146"/>
        <s v="SKU-0066"/>
        <s v="SKU-0140"/>
        <s v="SKU-0046"/>
        <s v="SKU-0091"/>
        <s v="SKU-0096"/>
        <s v="SKU-0003"/>
        <s v="SKU-0012"/>
        <s v="SKU-0005"/>
        <s v="SKU-0014"/>
        <s v="SKU-0088"/>
        <s v="SKU-0008"/>
        <s v="SKU-0069"/>
        <s v="SKU-0143"/>
        <s v="SKU-0099"/>
        <s v="SKU-0022"/>
        <s v="SKU-0124"/>
        <s v="SKU-0127"/>
        <s v="SKU-0078"/>
        <s v="SKU-0081"/>
        <s v="SKU-0075"/>
        <s v="SKU-0084"/>
        <s v="SKU-0094"/>
        <s v="SKU-0128"/>
        <s v="SKU-0065"/>
        <s v="SKU-0019"/>
        <s v="SKU-0150"/>
        <s v="SKU-0028"/>
        <s v="SKU-0057"/>
        <s v="SKU-0119"/>
        <s v="SKU-0144"/>
        <s v="SKU-0002"/>
        <s v="SKU0148"/>
        <s v="SKU-0068"/>
        <s v="SKU-0048"/>
        <s v="SKU-0043"/>
        <s v="SKU-0044"/>
        <s v="SKU-0141"/>
        <s v="SKU-0023"/>
        <s v="SKU-0083"/>
        <s v="SKU-0132"/>
        <s v="SKU-0104"/>
        <s v="SKU-0117"/>
        <s v="SKU-0145"/>
        <s v="SKU-0110"/>
        <s v="SKU-0109"/>
        <s v="SKU-0027"/>
        <s v="SKU-0039"/>
        <s v="SKU-0007"/>
        <s v="SKU-0101"/>
        <s v="SKU-0121"/>
        <s v="SKU-0004"/>
        <s v="SKU-0072"/>
        <s v="SKU-0040"/>
        <s v="SKU-0080"/>
        <s v="SKU-0095"/>
        <s v="SKU-0031"/>
        <s v="SKU-0134"/>
        <s v="SKU-0138"/>
        <s v="SKU-0064"/>
        <s v="SKU-0032"/>
        <s v="SKU-0034"/>
        <s v="SKU-0071"/>
        <s v="SKU-0092"/>
        <s v="SKU-0089"/>
        <s v="SKU-0015"/>
        <s v="SKU-0029"/>
        <s v="SKU-0102"/>
        <s v="SKU-0097"/>
        <s v="SKU-0033"/>
        <s v="SKU-0112"/>
        <s v="SKU-0053"/>
        <s v="SKU-0076"/>
        <s v="SKU-0024"/>
        <s v="SKU-0059"/>
        <s v="SKU-0122"/>
        <s v="SKU-0129"/>
        <s v="SKU-0142"/>
        <s v="SKU-0010"/>
        <s v="SKU-0126"/>
        <s v="SKU-0135"/>
        <s v="SKU-0042"/>
        <s v="SKU-0058"/>
        <s v="SKU-0100"/>
        <s v="SKU-0108"/>
        <s v="SKU-0047"/>
        <s v="SKU-0054"/>
        <s v="SKU-0013"/>
        <s v="SKU-0036"/>
        <s v="SKU-0131"/>
        <s v="SKU-0041"/>
        <s v="SKU-0021"/>
        <s v="SKU-0001"/>
        <s v="SKU-0052"/>
        <s v="SKU-0093"/>
        <s v="SKU-0115"/>
        <s v="SKU-0125"/>
        <s v="SKU-0055"/>
        <s v="SKU-0026"/>
        <s v="SKU-0123"/>
        <s v="SKU-0133"/>
        <s v="SKU-0087"/>
        <s v="SKU-0098"/>
        <s v="SKU-0070"/>
        <s v="SKU-0086"/>
        <s v="SKU-0051"/>
        <s v="SKU-0016"/>
        <s v="SKU-0130"/>
        <s v="SKU-0025"/>
        <s v="SKU-0090"/>
        <s v="SKU-0018"/>
        <s v="SKU0111"/>
        <s v="SKU-0050"/>
        <s v="SKU0074"/>
        <s v="SKU-0113"/>
        <s v="SKU-0136"/>
        <s v="SKU-0114"/>
        <s v="SKU0037"/>
        <s v="SKU-0105"/>
        <s v="SKU-0038"/>
        <s v="SKU-0149"/>
        <s v="SKU-0011"/>
      </sharedItems>
    </cacheField>
    <cacheField name="week" numFmtId="0">
      <sharedItems count="20">
        <s v="2026-w04"/>
        <s v="2026-w12"/>
        <s v="2026-w16"/>
        <s v="2026-w03"/>
        <s v="2026-w15"/>
        <s v="2026-w09"/>
        <s v="2026-w13"/>
        <s v="2026-w10"/>
        <s v="2026-w11"/>
        <s v="2026-w07"/>
        <s v="2026-w06"/>
        <s v="2026-w17"/>
        <s v="2026-w14"/>
        <s v="2026-w18"/>
        <s v="2026-w08"/>
        <s v="2026-w19"/>
        <s v="2026-w20"/>
        <s v="2026-w05"/>
        <s v="2026-w02"/>
        <s v="2026-w01"/>
      </sharedItems>
    </cacheField>
    <cacheField name="freight_cost" numFmtId="0">
      <sharedItems containsSemiMixedTypes="0" containsString="0" containsNumber="1" minValue="0" maxValue="826.92"/>
    </cacheField>
    <cacheField name="freight_pct" numFmtId="0">
      <sharedItems containsSemiMixedTypes="0" containsString="0" containsNumber="1" minValue="0" maxValue="7.29"/>
    </cacheField>
    <cacheField name="sales_channel" numFmtId="0">
      <sharedItems count="4">
        <s v="Amazon"/>
        <s v="Shopify"/>
        <s v="Walmart"/>
        <s v="Ebay"/>
      </sharedItems>
    </cacheField>
    <cacheField name="warehouse" numFmtId="0">
      <sharedItems count="6">
        <s v="Draper"/>
        <s v="Salt Lake City"/>
        <s v="West Valley"/>
        <s v="South Jordan"/>
        <s v="Lehi"/>
        <s v="Unknown"/>
      </sharedItems>
    </cacheField>
    <cacheField name="standard_cost" numFmtId="0">
      <sharedItems containsSemiMixedTypes="0" containsString="0" containsNumber="1" minValue="0" maxValue="179.41"/>
    </cacheField>
    <cacheField name="margin" numFmtId="0">
      <sharedItems containsSemiMixedTypes="0" containsString="0" containsNumber="1" minValue="-136.24" maxValue="2351.02"/>
    </cacheField>
    <cacheField name="category" numFmtId="0">
      <sharedItems count="8">
        <s v="Home"/>
        <s v="Sports"/>
        <s v="Office"/>
        <s v="Beauty"/>
        <s v="Kitchen"/>
        <s v="Pet"/>
        <s v="Electronics"/>
        <s v="Toys"/>
      </sharedItems>
    </cacheField>
  </cacheFields>
  <extLst>
    <ext xmlns:x14="http://schemas.microsoft.com/office/spreadsheetml/2009/9/main" uri="{725AE2AE-9491-48be-B2B4-4EB974FC3084}">
      <x14:pivotCacheDefinition pivotCacheId="903720807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3.868727777779" createdVersion="8" refreshedVersion="8" minRefreshableVersion="3" recordCount="403" xr:uid="{335DAC3D-E799-4372-8362-1FF346F03633}">
  <cacheSource type="worksheet">
    <worksheetSource name="Table3"/>
  </cacheSource>
  <cacheFields count="9">
    <cacheField name="shipment_id" numFmtId="0">
      <sharedItems containsSemiMixedTypes="0" containsString="0" containsNumber="1" containsInteger="1" minValue="1" maxValue="403" count="4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</sharedItems>
    </cacheField>
    <cacheField name="order_id" numFmtId="0">
      <sharedItems containsSemiMixedTypes="0" containsString="0" containsNumber="1" containsInteger="1" minValue="1001" maxValue="1450"/>
    </cacheField>
    <cacheField name="carrier" numFmtId="0">
      <sharedItems count="6">
        <s v="USPS"/>
        <s v="FEDEX"/>
        <s v="DHL"/>
        <s v="ONTRAC"/>
        <s v="XPO"/>
        <s v="UPS"/>
      </sharedItems>
    </cacheField>
    <cacheField name="ship_from_warehouse" numFmtId="0">
      <sharedItems/>
    </cacheField>
    <cacheField name="shipped_date" numFmtId="14">
      <sharedItems containsSemiMixedTypes="0" containsNonDate="0" containsDate="1" containsString="0" minDate="2026-01-01T00:00:00" maxDate="2026-05-17T00:00:00"/>
    </cacheField>
    <cacheField name="promised_delivery_date" numFmtId="14">
      <sharedItems containsSemiMixedTypes="0" containsNonDate="0" containsDate="1" containsString="0" minDate="2026-01-06T00:00:00" maxDate="2026-05-18T00:00:00"/>
    </cacheField>
    <cacheField name="delivered_date" numFmtId="14">
      <sharedItems containsSemiMixedTypes="0" containsNonDate="0" containsDate="1" containsString="0" minDate="2026-01-08T00:00:00" maxDate="2026-05-27T00:00:00"/>
    </cacheField>
    <cacheField name="freight_cost" numFmtId="0">
      <sharedItems containsSemiMixedTypes="0" containsString="0" containsNumber="1" minValue="4.2300000000000004" maxValue="826.92"/>
    </cacheField>
    <cacheField name="shipment_status" numFmtId="0">
      <sharedItems count="3">
        <s v="Delivered"/>
        <s v="Late"/>
        <s v="In Transi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4.04897314815" createdVersion="8" refreshedVersion="8" minRefreshableVersion="3" recordCount="312" xr:uid="{1999EFD2-51AC-445B-9BDD-F2F95EB4AD9E}">
  <cacheSource type="worksheet">
    <worksheetSource ref="A1:R313" sheet="inventory"/>
  </cacheSource>
  <cacheFields count="18">
    <cacheField name="inventory_id" numFmtId="0">
      <sharedItems containsSemiMixedTypes="0" containsString="0" containsNumber="1" containsInteger="1" minValue="1" maxValue="312"/>
    </cacheField>
    <cacheField name="product_id" numFmtId="0">
      <sharedItems containsSemiMixedTypes="0" containsString="0" containsNumber="1" containsInteger="1" minValue="1" maxValue="9999"/>
    </cacheField>
    <cacheField name="warehouse" numFmtId="0">
      <sharedItems/>
    </cacheField>
    <cacheField name="quantity_on_hand" numFmtId="0">
      <sharedItems containsSemiMixedTypes="0" containsString="0" containsNumber="1" containsInteger="1" minValue="0" maxValue="500"/>
    </cacheField>
    <cacheField name="last_updated" numFmtId="14">
      <sharedItems containsSemiMixedTypes="0" containsNonDate="0" containsDate="1" containsString="0" minDate="2026-03-02T00:00:00" maxDate="2026-05-02T00:00:00"/>
    </cacheField>
    <cacheField name="received_date" numFmtId="14">
      <sharedItems containsDate="1" containsMixedTypes="1" minDate="2025-12-19T00:00:00" maxDate="2026-06-15T00:00:00"/>
    </cacheField>
    <cacheField name="days_on_hand" numFmtId="1">
      <sharedItems containsMixedTypes="1" containsNumber="1" containsInteger="1" minValue="-23" maxValue="154"/>
    </cacheField>
    <cacheField name="days_old" numFmtId="0">
      <sharedItems/>
    </cacheField>
    <cacheField name="units_sold" numFmtId="0">
      <sharedItems containsSemiMixedTypes="0" containsString="0" containsNumber="1" containsInteger="1" minValue="0" maxValue="76"/>
    </cacheField>
    <cacheField name="overstock_status" numFmtId="0">
      <sharedItems/>
    </cacheField>
    <cacheField name="received_qty" numFmtId="0">
      <sharedItems containsSemiMixedTypes="0" containsString="0" containsNumber="1" containsInteger="1" minValue="-25" maxValue="987"/>
    </cacheField>
    <cacheField name="avg_inventory" numFmtId="0">
      <sharedItems containsSemiMixedTypes="0" containsString="0" containsNumber="1" minValue="0" maxValue="740.5"/>
    </cacheField>
    <cacheField name="inventory_turnover" numFmtId="0">
      <sharedItems containsSemiMixedTypes="0" containsString="0" containsNumber="1" minValue="0" maxValue="7.5"/>
    </cacheField>
    <cacheField name="standard_cost" numFmtId="0">
      <sharedItems containsMixedTypes="1" containsNumber="1" minValue="0" maxValue="179.41"/>
    </cacheField>
    <cacheField name="inventory_value" numFmtId="0">
      <sharedItems containsSemiMixedTypes="0" containsString="0" containsNumber="1" minValue="0" maxValue="86606.959999999992"/>
    </cacheField>
    <cacheField name="slow_moving" numFmtId="0">
      <sharedItems count="2">
        <s v="Normal"/>
        <s v="Slow Moving"/>
      </sharedItems>
    </cacheField>
    <cacheField name="Stockout_risk" numFmtId="0">
      <sharedItems/>
    </cacheField>
    <cacheField name="SKU" numFmtId="0">
      <sharedItems count="151">
        <s v="SKU-0001"/>
        <s v="SKU-0002"/>
        <s v="SKU-0003"/>
        <s v="SKU-0004"/>
        <s v="SKU-0005"/>
        <s v="SKU-0006"/>
        <s v="SKU-0007"/>
        <s v="SKU-0008"/>
        <s v="SKU-0009"/>
        <s v="SKU-0010"/>
        <s v="SKU-0011"/>
        <s v="SKU-0012"/>
        <s v="SKU-0013"/>
        <s v="SKU-0014"/>
        <s v="SKU-0015"/>
        <s v="SKU-0016"/>
        <s v="SKU-0017"/>
        <s v="SKU-0018"/>
        <s v="SKU-0019"/>
        <s v="SKU-0020"/>
        <s v="SKU-0021"/>
        <s v="SKU-0022"/>
        <s v="SKU-0023"/>
        <s v="SKU-0024"/>
        <s v="SKU-0025"/>
        <s v="SKU-0026"/>
        <s v="SKU-0027"/>
        <s v="SKU-0028"/>
        <s v="SKU-0029"/>
        <s v="SKU-0030"/>
        <s v="SKU-0031"/>
        <s v="SKU-0032"/>
        <s v="SKU-0033"/>
        <s v="SKU-0034"/>
        <s v="SKU-0035"/>
        <s v="SKU-0036"/>
        <s v="SKU0037"/>
        <s v="SKU-0038"/>
        <s v="SKU-0039"/>
        <s v="SKU-0040"/>
        <s v="SKU-0041"/>
        <s v="SKU-0042"/>
        <s v="SKU-0043"/>
        <s v="SKU-0044"/>
        <s v="SKU-0045"/>
        <s v="SKU-0046"/>
        <s v="SKU-0047"/>
        <s v="SKU-0048"/>
        <s v="SKU-0049"/>
        <s v="SKU-0050"/>
        <s v="SKU-0051"/>
        <s v="SKU-0052"/>
        <s v="SKU-0053"/>
        <s v="SKU-0054"/>
        <s v="SKU-0055"/>
        <s v="SKU-0056"/>
        <s v="SKU-0057"/>
        <s v="SKU-0058"/>
        <s v="SKU-0059"/>
        <s v="SKU-0060"/>
        <s v="SKU-0061"/>
        <s v="SKU-0062"/>
        <s v="SKU-0063"/>
        <s v="SKU-0064"/>
        <s v="SKU-0065"/>
        <s v="SKU-0066"/>
        <s v="SKU-0067"/>
        <s v="SKU-0068"/>
        <s v="SKU-0069"/>
        <s v="SKU-0070"/>
        <s v="SKU-0071"/>
        <s v="SKU-0072"/>
        <s v="SKU-0073"/>
        <s v="SKU0074"/>
        <s v="SKU-0075"/>
        <s v="SKU-0076"/>
        <s v="SKU-0077"/>
        <s v="SKU-0078"/>
        <s v="SKU-0079"/>
        <s v="SKU-0080"/>
        <s v="SKU-0081"/>
        <s v="SKU-0082"/>
        <s v="SKU-0083"/>
        <s v="SKU-0084"/>
        <s v="SKU-0085"/>
        <s v="SKU-0086"/>
        <s v="SKU-0087"/>
        <s v="SKU-0088"/>
        <s v="SKU-0089"/>
        <s v="SKU-0090"/>
        <s v="SKU-0091"/>
        <s v="SKU-0092"/>
        <s v="SKU-0093"/>
        <s v="SKU-0094"/>
        <s v="SKU-0095"/>
        <s v="SKU-0096"/>
        <s v="SKU-0097"/>
        <s v="SKU-0098"/>
        <s v="SKU-0099"/>
        <s v="SKU-0100"/>
        <s v="SKU-0101"/>
        <s v="SKU-0102"/>
        <s v="SKU-0103"/>
        <s v="SKU-0104"/>
        <s v="SKU-0105"/>
        <s v="SKU-0106"/>
        <s v="SKU-0107"/>
        <s v="SKU-0108"/>
        <s v="SKU-0109"/>
        <s v="SKU-0110"/>
        <s v="SKU0111"/>
        <s v="SKU-0112"/>
        <s v="SKU-0113"/>
        <s v="SKU-0114"/>
        <s v="SKU-0115"/>
        <s v="SKU-0116"/>
        <s v="SKU-0117"/>
        <s v="SKU-0118"/>
        <s v="SKU-0119"/>
        <s v="SKU-0120"/>
        <s v="SKU-0121"/>
        <s v="SKU-0122"/>
        <s v="SKU-0123"/>
        <s v="SKU-0124"/>
        <s v="SKU-0125"/>
        <s v="SKU-0126"/>
        <s v="SKU-0127"/>
        <s v="SKU-0128"/>
        <s v="SKU-0129"/>
        <s v="SKU-0130"/>
        <s v="SKU-0131"/>
        <s v="SKU-0132"/>
        <s v="SKU-0133"/>
        <s v="SKU-0134"/>
        <s v="SKU-0135"/>
        <s v="SKU-0136"/>
        <s v="SKU-0137"/>
        <s v="SKU-0138"/>
        <s v="SKU-0139"/>
        <s v="SKU-0140"/>
        <s v="SKU-0141"/>
        <s v="SKU-0142"/>
        <s v="SKU-0143"/>
        <s v="SKU-0144"/>
        <s v="SKU-0145"/>
        <s v="SKU-0146"/>
        <s v="SKU-0147"/>
        <s v="SKU0148"/>
        <s v="SKU-0149"/>
        <s v="SKU-0150"/>
        <e v="#N/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8">
  <r>
    <n v="1"/>
    <n v="1001"/>
    <n v="45"/>
    <n v="7"/>
    <n v="184.44"/>
    <n v="0"/>
    <n v="1291.08"/>
    <s v="2026-01"/>
    <s v="SKU-0045"/>
    <x v="0"/>
  </r>
  <r>
    <n v="2"/>
    <n v="1002"/>
    <n v="73"/>
    <n v="8"/>
    <n v="134.83000000000001"/>
    <n v="14.85"/>
    <n v="1063.7900000000002"/>
    <s v="2026-03"/>
    <s v="SKU-0073"/>
    <x v="1"/>
  </r>
  <r>
    <n v="3"/>
    <n v="1002"/>
    <n v="35"/>
    <n v="8"/>
    <n v="46.14"/>
    <n v="0"/>
    <n v="369.12"/>
    <s v="2026-03"/>
    <s v="SKU-0035"/>
    <x v="1"/>
  </r>
  <r>
    <n v="4"/>
    <n v="1002"/>
    <n v="85"/>
    <n v="3"/>
    <n v="163.57"/>
    <n v="0"/>
    <n v="490.71"/>
    <s v="2026-03"/>
    <s v="SKU-0085"/>
    <x v="1"/>
  </r>
  <r>
    <n v="5"/>
    <n v="1003"/>
    <n v="103"/>
    <n v="2"/>
    <n v="241.92"/>
    <n v="0"/>
    <n v="483.84"/>
    <s v="2026-04"/>
    <s v="SKU-0103"/>
    <x v="2"/>
  </r>
  <r>
    <n v="6"/>
    <n v="1004"/>
    <n v="67"/>
    <n v="6"/>
    <n v="291.56"/>
    <n v="0"/>
    <n v="1749.3600000000001"/>
    <s v="2026-03"/>
    <s v="SKU-0067"/>
    <x v="1"/>
  </r>
  <r>
    <n v="7"/>
    <n v="1005"/>
    <n v="35"/>
    <n v="8"/>
    <n v="46.14"/>
    <n v="0"/>
    <n v="369.12"/>
    <s v="2026-03"/>
    <s v="SKU-0035"/>
    <x v="1"/>
  </r>
  <r>
    <n v="8"/>
    <n v="1005"/>
    <n v="107"/>
    <n v="8"/>
    <n v="223.34"/>
    <n v="0"/>
    <n v="1786.72"/>
    <s v="2026-03"/>
    <s v="SKU-0107"/>
    <x v="1"/>
  </r>
  <r>
    <n v="9"/>
    <n v="1006"/>
    <n v="20"/>
    <n v="2"/>
    <n v="168.04"/>
    <n v="0"/>
    <n v="336.08"/>
    <s v="2026-01"/>
    <s v="SKU-0020"/>
    <x v="0"/>
  </r>
  <r>
    <n v="10"/>
    <n v="1006"/>
    <n v="147"/>
    <n v="3"/>
    <n v="133.41"/>
    <n v="3.3"/>
    <n v="396.93"/>
    <s v="2026-01"/>
    <s v="SKU-0147"/>
    <x v="0"/>
  </r>
  <r>
    <n v="11"/>
    <n v="1006"/>
    <n v="30"/>
    <n v="4"/>
    <n v="35.229999999999997"/>
    <n v="11.04"/>
    <n v="129.88"/>
    <s v="2026-01"/>
    <s v="SKU-0030"/>
    <x v="0"/>
  </r>
  <r>
    <n v="12"/>
    <n v="1007"/>
    <n v="6"/>
    <n v="7"/>
    <n v="256.54000000000002"/>
    <n v="0"/>
    <n v="1795.7800000000002"/>
    <s v="2026-01"/>
    <s v="SKU-0006"/>
    <x v="3"/>
  </r>
  <r>
    <n v="13"/>
    <n v="1007"/>
    <n v="56"/>
    <n v="2"/>
    <n v="172.23"/>
    <n v="0"/>
    <n v="344.46"/>
    <s v="2026-01"/>
    <s v="SKU-0056"/>
    <x v="3"/>
  </r>
  <r>
    <n v="14"/>
    <n v="1007"/>
    <n v="17"/>
    <n v="1"/>
    <n v="299.3"/>
    <n v="0"/>
    <n v="299.3"/>
    <s v="2026-01"/>
    <s v="SKU-0017"/>
    <x v="3"/>
  </r>
  <r>
    <n v="15"/>
    <n v="1008"/>
    <n v="139"/>
    <n v="3"/>
    <n v="156.21"/>
    <n v="0"/>
    <n v="468.63"/>
    <s v="2026-04"/>
    <s v="SKU-0139"/>
    <x v="4"/>
  </r>
  <r>
    <n v="16"/>
    <n v="1009"/>
    <n v="137"/>
    <n v="7"/>
    <n v="181.82"/>
    <n v="0"/>
    <n v="1272.74"/>
    <s v="2026-03"/>
    <s v="SKU-0137"/>
    <x v="1"/>
  </r>
  <r>
    <n v="17"/>
    <n v="1009"/>
    <n v="118"/>
    <n v="6"/>
    <n v="55.68"/>
    <n v="0"/>
    <n v="334.08"/>
    <s v="2026-03"/>
    <s v="SKU-0118"/>
    <x v="1"/>
  </r>
  <r>
    <n v="18"/>
    <n v="1009"/>
    <n v="9"/>
    <n v="7"/>
    <n v="235.32"/>
    <n v="0"/>
    <n v="1647.24"/>
    <s v="2026-03"/>
    <s v="SKU-0009"/>
    <x v="1"/>
  </r>
  <r>
    <n v="19"/>
    <n v="1009"/>
    <n v="62"/>
    <n v="4"/>
    <n v="109.67"/>
    <n v="0"/>
    <n v="438.68"/>
    <s v="2026-03"/>
    <s v="SKU-0062"/>
    <x v="1"/>
  </r>
  <r>
    <n v="20"/>
    <n v="1010"/>
    <n v="60"/>
    <n v="6"/>
    <n v="115.8"/>
    <n v="0"/>
    <n v="694.8"/>
    <s v="2026-02"/>
    <s v="SKU-0060"/>
    <x v="5"/>
  </r>
  <r>
    <n v="21"/>
    <n v="1010"/>
    <n v="61"/>
    <n v="5"/>
    <n v="293.22000000000003"/>
    <n v="0"/>
    <n v="1466.1000000000001"/>
    <s v="2026-02"/>
    <s v="SKU-0061"/>
    <x v="5"/>
  </r>
  <r>
    <n v="22"/>
    <n v="1010"/>
    <n v="106"/>
    <n v="5"/>
    <n v="65.2"/>
    <n v="0"/>
    <n v="326"/>
    <s v="2026-02"/>
    <s v="SKU-0106"/>
    <x v="5"/>
  </r>
  <r>
    <n v="23"/>
    <n v="1011"/>
    <n v="77"/>
    <n v="7"/>
    <n v="195.39"/>
    <n v="3.57"/>
    <n v="1364.16"/>
    <s v="2026-03"/>
    <s v="SKU-0077"/>
    <x v="6"/>
  </r>
  <r>
    <n v="24"/>
    <n v="1011"/>
    <n v="62"/>
    <n v="4"/>
    <n v="109.67"/>
    <n v="0"/>
    <n v="438.68"/>
    <s v="2026-03"/>
    <s v="SKU-0062"/>
    <x v="6"/>
  </r>
  <r>
    <n v="25"/>
    <n v="1012"/>
    <n v="116"/>
    <n v="6"/>
    <n v="211.7"/>
    <n v="0"/>
    <n v="1270.1999999999998"/>
    <s v="2026-03"/>
    <s v="SKU-0116"/>
    <x v="7"/>
  </r>
  <r>
    <n v="26"/>
    <n v="1013"/>
    <n v="49"/>
    <n v="2"/>
    <n v="280.98"/>
    <n v="11.46"/>
    <n v="550.5"/>
    <s v="2026-02"/>
    <s v="SKU-0049"/>
    <x v="5"/>
  </r>
  <r>
    <n v="27"/>
    <n v="1013"/>
    <n v="63"/>
    <n v="4"/>
    <n v="214.86"/>
    <n v="0"/>
    <n v="859.44"/>
    <s v="2026-02"/>
    <s v="SKU-0063"/>
    <x v="5"/>
  </r>
  <r>
    <n v="28"/>
    <n v="1014"/>
    <n v="79"/>
    <n v="5"/>
    <n v="234.02"/>
    <n v="6.04"/>
    <n v="1164.0600000000002"/>
    <s v="2026-03"/>
    <s v="SKU-0079"/>
    <x v="8"/>
  </r>
  <r>
    <n v="29"/>
    <n v="1014"/>
    <n v="120"/>
    <n v="2"/>
    <n v="229.55"/>
    <n v="12.24"/>
    <n v="446.86"/>
    <s v="2026-03"/>
    <s v="SKU-0120"/>
    <x v="8"/>
  </r>
  <r>
    <n v="30"/>
    <n v="1014"/>
    <n v="82"/>
    <n v="4"/>
    <n v="243.4"/>
    <n v="6.19"/>
    <n v="967.41"/>
    <s v="2026-03"/>
    <s v="SKU-0082"/>
    <x v="8"/>
  </r>
  <r>
    <n v="31"/>
    <n v="1015"/>
    <n v="146"/>
    <n v="4"/>
    <n v="199.6"/>
    <n v="0"/>
    <n v="798.4"/>
    <s v="2026-02"/>
    <s v="SKU-0146"/>
    <x v="9"/>
  </r>
  <r>
    <n v="32"/>
    <n v="1015"/>
    <n v="66"/>
    <n v="8"/>
    <n v="94.55"/>
    <n v="14.53"/>
    <n v="741.87"/>
    <s v="2026-02"/>
    <s v="SKU-0066"/>
    <x v="9"/>
  </r>
  <r>
    <n v="33"/>
    <n v="1015"/>
    <n v="118"/>
    <n v="3"/>
    <n v="188.54"/>
    <n v="0"/>
    <n v="565.62"/>
    <s v="2026-02"/>
    <s v="SKU-0118"/>
    <x v="9"/>
  </r>
  <r>
    <n v="34"/>
    <n v="1015"/>
    <n v="140"/>
    <n v="8"/>
    <n v="86.93"/>
    <n v="0"/>
    <n v="695.44"/>
    <s v="2026-02"/>
    <s v="SKU-0140"/>
    <x v="9"/>
  </r>
  <r>
    <n v="35"/>
    <n v="1016"/>
    <n v="56"/>
    <n v="8"/>
    <n v="172.23"/>
    <n v="6.22"/>
    <n v="1371.62"/>
    <s v="2026-03"/>
    <s v="SKU-0056"/>
    <x v="7"/>
  </r>
  <r>
    <n v="36"/>
    <n v="1017"/>
    <n v="46"/>
    <n v="2"/>
    <n v="219.11"/>
    <n v="0"/>
    <n v="438.22"/>
    <s v="2026-03"/>
    <s v="SKU-0046"/>
    <x v="8"/>
  </r>
  <r>
    <n v="37"/>
    <n v="1017"/>
    <n v="62"/>
    <n v="4"/>
    <n v="109.67"/>
    <n v="0"/>
    <n v="438.68"/>
    <s v="2026-03"/>
    <s v="SKU-0062"/>
    <x v="8"/>
  </r>
  <r>
    <n v="38"/>
    <n v="1017"/>
    <n v="91"/>
    <n v="5"/>
    <n v="170.65"/>
    <n v="0"/>
    <n v="853.25"/>
    <s v="2026-03"/>
    <s v="SKU-0091"/>
    <x v="8"/>
  </r>
  <r>
    <n v="39"/>
    <n v="1017"/>
    <n v="96"/>
    <n v="7"/>
    <n v="252.1"/>
    <n v="0"/>
    <n v="1764.7"/>
    <s v="2026-03"/>
    <s v="SKU-0096"/>
    <x v="8"/>
  </r>
  <r>
    <n v="40"/>
    <n v="1018"/>
    <n v="3"/>
    <n v="3"/>
    <n v="22.56"/>
    <n v="2.16"/>
    <n v="65.52"/>
    <s v="2026-04"/>
    <s v="SKU-0003"/>
    <x v="4"/>
  </r>
  <r>
    <n v="41"/>
    <n v="1019"/>
    <n v="12"/>
    <n v="2"/>
    <n v="61.57"/>
    <n v="0"/>
    <n v="123.14"/>
    <s v="2026-02"/>
    <s v="SKU-0012"/>
    <x v="5"/>
  </r>
  <r>
    <n v="42"/>
    <n v="1019"/>
    <n v="140"/>
    <n v="1"/>
    <n v="86.93"/>
    <n v="0"/>
    <n v="86.93"/>
    <s v="2026-02"/>
    <s v="SKU-0140"/>
    <x v="5"/>
  </r>
  <r>
    <n v="43"/>
    <n v="1019"/>
    <n v="5"/>
    <n v="4"/>
    <n v="59.31"/>
    <n v="9.2200000000000006"/>
    <n v="228.02"/>
    <s v="2026-02"/>
    <s v="SKU-0005"/>
    <x v="5"/>
  </r>
  <r>
    <n v="44"/>
    <n v="1020"/>
    <n v="14"/>
    <n v="2"/>
    <n v="33.86"/>
    <n v="0"/>
    <n v="67.72"/>
    <s v="2026-02"/>
    <s v="SKU-0014"/>
    <x v="10"/>
  </r>
  <r>
    <n v="45"/>
    <n v="1020"/>
    <n v="88"/>
    <n v="7"/>
    <n v="109.3"/>
    <n v="0"/>
    <n v="765.1"/>
    <s v="2026-02"/>
    <s v="SKU-0088"/>
    <x v="10"/>
  </r>
  <r>
    <n v="46"/>
    <n v="1020"/>
    <n v="8"/>
    <n v="5"/>
    <n v="118.07"/>
    <n v="11.97"/>
    <n v="578.37999999999988"/>
    <s v="2026-02"/>
    <s v="SKU-0008"/>
    <x v="10"/>
  </r>
  <r>
    <n v="47"/>
    <n v="1021"/>
    <n v="69"/>
    <n v="3"/>
    <n v="69.17"/>
    <n v="0"/>
    <n v="207.51"/>
    <s v="2026-03"/>
    <s v="SKU-0069"/>
    <x v="1"/>
  </r>
  <r>
    <n v="48"/>
    <n v="1022"/>
    <n v="143"/>
    <n v="7"/>
    <n v="171.53"/>
    <n v="0"/>
    <n v="1200.71"/>
    <s v="2026-02"/>
    <s v="SKU-0143"/>
    <x v="10"/>
  </r>
  <r>
    <n v="49"/>
    <n v="1022"/>
    <n v="91"/>
    <n v="2"/>
    <n v="170.65"/>
    <n v="0"/>
    <n v="341.3"/>
    <s v="2026-02"/>
    <s v="SKU-0091"/>
    <x v="10"/>
  </r>
  <r>
    <n v="50"/>
    <n v="1022"/>
    <n v="99"/>
    <n v="1"/>
    <n v="50.97"/>
    <n v="5.09"/>
    <n v="45.879999999999995"/>
    <s v="2026-02"/>
    <s v="SKU-0099"/>
    <x v="10"/>
  </r>
  <r>
    <n v="51"/>
    <n v="1022"/>
    <n v="22"/>
    <n v="4"/>
    <n v="159.69"/>
    <n v="0"/>
    <n v="638.76"/>
    <s v="2026-02"/>
    <s v="SKU-0022"/>
    <x v="10"/>
  </r>
  <r>
    <n v="52"/>
    <n v="1023"/>
    <n v="124"/>
    <n v="2"/>
    <n v="48.76"/>
    <n v="0"/>
    <n v="97.52"/>
    <s v="2026-02"/>
    <s v="SKU-0124"/>
    <x v="9"/>
  </r>
  <r>
    <n v="53"/>
    <n v="1023"/>
    <n v="127"/>
    <n v="4"/>
    <n v="38.14"/>
    <n v="0"/>
    <n v="152.56"/>
    <s v="2026-02"/>
    <s v="SKU-0127"/>
    <x v="9"/>
  </r>
  <r>
    <n v="54"/>
    <n v="1023"/>
    <n v="78"/>
    <n v="1"/>
    <n v="71.75"/>
    <n v="0"/>
    <n v="71.75"/>
    <s v="2026-02"/>
    <s v="SKU-0078"/>
    <x v="9"/>
  </r>
  <r>
    <n v="55"/>
    <n v="1024"/>
    <n v="81"/>
    <n v="3"/>
    <n v="244.17"/>
    <n v="0"/>
    <n v="732.51"/>
    <s v="2026-03"/>
    <s v="SKU-0081"/>
    <x v="6"/>
  </r>
  <r>
    <n v="56"/>
    <n v="1024"/>
    <n v="75"/>
    <n v="8"/>
    <n v="180.3"/>
    <n v="0"/>
    <n v="1442.4"/>
    <s v="2026-03"/>
    <s v="SKU-0075"/>
    <x v="6"/>
  </r>
  <r>
    <n v="57"/>
    <n v="1024"/>
    <n v="84"/>
    <n v="7"/>
    <n v="150.28"/>
    <n v="4.92"/>
    <n v="1047.04"/>
    <s v="2026-03"/>
    <s v="SKU-0084"/>
    <x v="6"/>
  </r>
  <r>
    <n v="58"/>
    <n v="1024"/>
    <n v="94"/>
    <n v="2"/>
    <n v="53.67"/>
    <n v="0"/>
    <n v="107.34"/>
    <s v="2026-03"/>
    <s v="SKU-0094"/>
    <x v="6"/>
  </r>
  <r>
    <n v="59"/>
    <n v="1025"/>
    <n v="128"/>
    <n v="3"/>
    <n v="143.38999999999999"/>
    <n v="0"/>
    <n v="430.16999999999996"/>
    <s v="2026-04"/>
    <s v="SKU-0128"/>
    <x v="11"/>
  </r>
  <r>
    <n v="60"/>
    <n v="1025"/>
    <n v="65"/>
    <n v="3"/>
    <n v="203.11"/>
    <n v="11.01"/>
    <n v="598.32000000000005"/>
    <s v="2026-04"/>
    <s v="SKU-0065"/>
    <x v="11"/>
  </r>
  <r>
    <n v="61"/>
    <n v="1025"/>
    <n v="19"/>
    <n v="8"/>
    <n v="298.89"/>
    <n v="14.87"/>
    <n v="2376.25"/>
    <s v="2026-04"/>
    <s v="SKU-0019"/>
    <x v="11"/>
  </r>
  <r>
    <n v="62"/>
    <n v="1025"/>
    <n v="150"/>
    <n v="7"/>
    <n v="100.09"/>
    <n v="8.48"/>
    <n v="692.15"/>
    <s v="2026-04"/>
    <s v="SKU-0150"/>
    <x v="11"/>
  </r>
  <r>
    <n v="63"/>
    <n v="1026"/>
    <n v="28"/>
    <n v="4"/>
    <n v="206.43"/>
    <n v="0"/>
    <n v="825.72"/>
    <s v="2026-04"/>
    <s v="SKU-0028"/>
    <x v="12"/>
  </r>
  <r>
    <n v="64"/>
    <n v="1027"/>
    <n v="57"/>
    <n v="4"/>
    <n v="266.69"/>
    <n v="7.24"/>
    <n v="1059.52"/>
    <s v="2026-04"/>
    <s v="SKU-0057"/>
    <x v="11"/>
  </r>
  <r>
    <n v="65"/>
    <n v="1027"/>
    <n v="119"/>
    <n v="3"/>
    <n v="27.97"/>
    <n v="0"/>
    <n v="83.91"/>
    <s v="2026-04"/>
    <s v="SKU-0119"/>
    <x v="11"/>
  </r>
  <r>
    <n v="66"/>
    <n v="1027"/>
    <n v="124"/>
    <n v="2"/>
    <n v="48.76"/>
    <n v="0"/>
    <n v="97.52"/>
    <s v="2026-04"/>
    <s v="SKU-0124"/>
    <x v="11"/>
  </r>
  <r>
    <n v="67"/>
    <n v="1028"/>
    <n v="82"/>
    <n v="2"/>
    <n v="243.4"/>
    <n v="0"/>
    <n v="486.8"/>
    <s v="2026-05"/>
    <s v="SKU-0082"/>
    <x v="13"/>
  </r>
  <r>
    <n v="68"/>
    <n v="1028"/>
    <n v="6"/>
    <n v="6"/>
    <n v="256.54000000000002"/>
    <n v="0"/>
    <n v="1539.2400000000002"/>
    <s v="2026-05"/>
    <s v="SKU-0006"/>
    <x v="13"/>
  </r>
  <r>
    <n v="69"/>
    <n v="1028"/>
    <n v="63"/>
    <n v="3"/>
    <n v="214.86"/>
    <n v="0"/>
    <n v="644.58000000000004"/>
    <s v="2026-05"/>
    <s v="SKU-0063"/>
    <x v="13"/>
  </r>
  <r>
    <n v="70"/>
    <n v="1028"/>
    <n v="144"/>
    <n v="7"/>
    <n v="194.56"/>
    <n v="0"/>
    <n v="1361.92"/>
    <s v="2026-05"/>
    <s v="SKU-0144"/>
    <x v="13"/>
  </r>
  <r>
    <n v="71"/>
    <n v="1029"/>
    <n v="2"/>
    <n v="4"/>
    <n v="135.25"/>
    <n v="0"/>
    <n v="541"/>
    <s v="2026-02"/>
    <s v="SKU-0002"/>
    <x v="14"/>
  </r>
  <r>
    <n v="72"/>
    <n v="1029"/>
    <n v="148"/>
    <n v="2"/>
    <n v="124.32"/>
    <n v="0"/>
    <n v="248.64"/>
    <s v="2026-02"/>
    <s v="SKU0148"/>
    <x v="14"/>
  </r>
  <r>
    <n v="73"/>
    <n v="1029"/>
    <n v="94"/>
    <n v="6"/>
    <n v="53.67"/>
    <n v="0"/>
    <n v="322.02"/>
    <s v="2026-02"/>
    <s v="SKU-0094"/>
    <x v="14"/>
  </r>
  <r>
    <n v="74"/>
    <n v="1029"/>
    <n v="68"/>
    <n v="8"/>
    <n v="138.85"/>
    <n v="0"/>
    <n v="1110.8"/>
    <s v="2026-02"/>
    <s v="SKU-0068"/>
    <x v="14"/>
  </r>
  <r>
    <n v="75"/>
    <n v="1030"/>
    <n v="35"/>
    <n v="6"/>
    <n v="46.14"/>
    <n v="0"/>
    <n v="276.84000000000003"/>
    <s v="2026-02"/>
    <s v="SKU-0035"/>
    <x v="9"/>
  </r>
  <r>
    <n v="76"/>
    <n v="1031"/>
    <n v="143"/>
    <n v="3"/>
    <n v="171.53"/>
    <n v="0"/>
    <n v="514.59"/>
    <s v="2026-04"/>
    <s v="SKU-0143"/>
    <x v="4"/>
  </r>
  <r>
    <n v="77"/>
    <n v="1031"/>
    <n v="48"/>
    <n v="6"/>
    <n v="299.56"/>
    <n v="0"/>
    <n v="1797.3600000000001"/>
    <s v="2026-04"/>
    <s v="SKU-0048"/>
    <x v="4"/>
  </r>
  <r>
    <n v="78"/>
    <n v="1032"/>
    <n v="43"/>
    <n v="2"/>
    <n v="277.02999999999997"/>
    <n v="0"/>
    <n v="554.05999999999995"/>
    <s v="2026-05"/>
    <s v="SKU-0043"/>
    <x v="15"/>
  </r>
  <r>
    <n v="79"/>
    <n v="1032"/>
    <n v="75"/>
    <n v="1"/>
    <n v="180.3"/>
    <n v="0"/>
    <n v="180.3"/>
    <s v="2026-05"/>
    <s v="SKU-0075"/>
    <x v="15"/>
  </r>
  <r>
    <n v="80"/>
    <n v="1032"/>
    <n v="44"/>
    <n v="8"/>
    <n v="34.369999999999997"/>
    <n v="8.92"/>
    <n v="266.03999999999996"/>
    <s v="2026-05"/>
    <s v="SKU-0044"/>
    <x v="15"/>
  </r>
  <r>
    <n v="81"/>
    <n v="1032"/>
    <n v="141"/>
    <n v="2"/>
    <n v="15.33"/>
    <n v="0"/>
    <n v="30.66"/>
    <s v="2026-05"/>
    <s v="SKU-0141"/>
    <x v="15"/>
  </r>
  <r>
    <n v="82"/>
    <n v="1033"/>
    <n v="77"/>
    <n v="1"/>
    <n v="195.39"/>
    <n v="0"/>
    <n v="195.39"/>
    <s v="2026-02"/>
    <s v="SKU-0077"/>
    <x v="5"/>
  </r>
  <r>
    <n v="83"/>
    <n v="1033"/>
    <n v="23"/>
    <n v="8"/>
    <n v="58.56"/>
    <n v="0"/>
    <n v="468.48"/>
    <s v="2026-02"/>
    <s v="SKU-0023"/>
    <x v="5"/>
  </r>
  <r>
    <n v="84"/>
    <n v="1034"/>
    <n v="137"/>
    <n v="5"/>
    <n v="181.82"/>
    <n v="0"/>
    <n v="909.09999999999991"/>
    <s v="2026-02"/>
    <s v="SKU-0137"/>
    <x v="10"/>
  </r>
  <r>
    <n v="85"/>
    <n v="1034"/>
    <n v="83"/>
    <n v="5"/>
    <n v="269.23"/>
    <n v="0"/>
    <n v="1346.15"/>
    <s v="2026-02"/>
    <s v="SKU-0083"/>
    <x v="10"/>
  </r>
  <r>
    <n v="86"/>
    <n v="1034"/>
    <n v="132"/>
    <n v="2"/>
    <n v="240.9"/>
    <n v="2.9"/>
    <n v="478.90000000000003"/>
    <s v="2026-02"/>
    <s v="SKU-0132"/>
    <x v="10"/>
  </r>
  <r>
    <n v="87"/>
    <n v="1035"/>
    <n v="107"/>
    <n v="7"/>
    <n v="223.34"/>
    <n v="0"/>
    <n v="1563.38"/>
    <s v="2026-04"/>
    <s v="SKU-0107"/>
    <x v="4"/>
  </r>
  <r>
    <n v="88"/>
    <n v="1035"/>
    <n v="104"/>
    <n v="5"/>
    <n v="199.55"/>
    <n v="0"/>
    <n v="997.75"/>
    <s v="2026-04"/>
    <s v="SKU-0104"/>
    <x v="4"/>
  </r>
  <r>
    <n v="89"/>
    <n v="1035"/>
    <n v="117"/>
    <n v="8"/>
    <n v="293.33"/>
    <n v="0"/>
    <n v="2346.64"/>
    <s v="2026-04"/>
    <s v="SKU-0117"/>
    <x v="4"/>
  </r>
  <r>
    <n v="90"/>
    <n v="1036"/>
    <n v="73"/>
    <n v="6"/>
    <n v="134.83000000000001"/>
    <n v="0"/>
    <n v="808.98"/>
    <s v="2026-04"/>
    <s v="SKU-0073"/>
    <x v="11"/>
  </r>
  <r>
    <n v="91"/>
    <n v="1036"/>
    <n v="145"/>
    <n v="8"/>
    <n v="172.39"/>
    <n v="0"/>
    <n v="1379.12"/>
    <s v="2026-04"/>
    <s v="SKU-0145"/>
    <x v="11"/>
  </r>
  <r>
    <n v="92"/>
    <n v="1036"/>
    <n v="12"/>
    <n v="2"/>
    <n v="61.57"/>
    <n v="9.77"/>
    <n v="113.37"/>
    <s v="2026-04"/>
    <s v="SKU-0012"/>
    <x v="11"/>
  </r>
  <r>
    <n v="93"/>
    <n v="1037"/>
    <n v="65"/>
    <n v="2"/>
    <n v="203.11"/>
    <n v="0"/>
    <n v="406.22"/>
    <s v="2026-02"/>
    <s v="SKU-0065"/>
    <x v="9"/>
  </r>
  <r>
    <n v="94"/>
    <n v="1037"/>
    <n v="14"/>
    <n v="7"/>
    <n v="33.86"/>
    <n v="0"/>
    <n v="237.01999999999998"/>
    <s v="2026-02"/>
    <s v="SKU-0014"/>
    <x v="9"/>
  </r>
  <r>
    <n v="95"/>
    <n v="1037"/>
    <n v="110"/>
    <n v="2"/>
    <n v="112"/>
    <n v="0"/>
    <n v="224"/>
    <s v="2026-02"/>
    <s v="SKU-0110"/>
    <x v="9"/>
  </r>
  <r>
    <n v="96"/>
    <n v="1038"/>
    <n v="3"/>
    <n v="1"/>
    <n v="22.56"/>
    <n v="0"/>
    <n v="22.56"/>
    <s v="2026-01"/>
    <s v="SKU-0003"/>
    <x v="0"/>
  </r>
  <r>
    <n v="97"/>
    <n v="1038"/>
    <n v="109"/>
    <n v="3"/>
    <n v="257.52"/>
    <n v="0"/>
    <n v="772.56"/>
    <s v="2026-01"/>
    <s v="SKU-0109"/>
    <x v="0"/>
  </r>
  <r>
    <n v="98"/>
    <n v="1038"/>
    <n v="99"/>
    <n v="2"/>
    <n v="50.97"/>
    <n v="0"/>
    <n v="101.94"/>
    <s v="2026-01"/>
    <s v="SKU-0099"/>
    <x v="0"/>
  </r>
  <r>
    <n v="99"/>
    <n v="1038"/>
    <n v="27"/>
    <n v="6"/>
    <n v="165.39"/>
    <n v="0"/>
    <n v="992.33999999999992"/>
    <s v="2026-01"/>
    <s v="SKU-0027"/>
    <x v="0"/>
  </r>
  <r>
    <n v="100"/>
    <n v="1039"/>
    <n v="39"/>
    <n v="7"/>
    <n v="129.30000000000001"/>
    <n v="9.6300000000000008"/>
    <n v="895.47000000000014"/>
    <s v="2026-02"/>
    <s v="SKU-0039"/>
    <x v="9"/>
  </r>
  <r>
    <n v="101"/>
    <n v="1039"/>
    <n v="56"/>
    <n v="2"/>
    <n v="172.23"/>
    <n v="0"/>
    <n v="344.46"/>
    <s v="2026-02"/>
    <s v="SKU-0056"/>
    <x v="9"/>
  </r>
  <r>
    <n v="102"/>
    <n v="1040"/>
    <n v="7"/>
    <n v="5"/>
    <n v="292.33999999999997"/>
    <n v="0"/>
    <n v="1461.6999999999998"/>
    <s v="2026-01"/>
    <s v="SKU-0007"/>
    <x v="0"/>
  </r>
  <r>
    <n v="103"/>
    <n v="1040"/>
    <n v="101"/>
    <n v="5"/>
    <n v="45.81"/>
    <n v="0"/>
    <n v="229.05"/>
    <s v="2026-01"/>
    <s v="SKU-0101"/>
    <x v="0"/>
  </r>
  <r>
    <n v="104"/>
    <n v="1040"/>
    <n v="127"/>
    <n v="7"/>
    <n v="38.14"/>
    <n v="2.58"/>
    <n v="264.40000000000003"/>
    <s v="2026-01"/>
    <s v="SKU-0127"/>
    <x v="0"/>
  </r>
  <r>
    <n v="105"/>
    <n v="1041"/>
    <n v="121"/>
    <n v="2"/>
    <n v="151.43"/>
    <n v="0"/>
    <n v="302.86"/>
    <s v="2026-04"/>
    <s v="SKU-0121"/>
    <x v="4"/>
  </r>
  <r>
    <n v="106"/>
    <n v="1041"/>
    <n v="4"/>
    <n v="5"/>
    <n v="94.28"/>
    <n v="0"/>
    <n v="471.4"/>
    <s v="2026-04"/>
    <s v="SKU-0004"/>
    <x v="4"/>
  </r>
  <r>
    <n v="107"/>
    <n v="1042"/>
    <n v="72"/>
    <n v="2"/>
    <n v="205.06"/>
    <n v="0"/>
    <n v="410.12"/>
    <s v="2026-01"/>
    <s v="SKU-0072"/>
    <x v="0"/>
  </r>
  <r>
    <n v="108"/>
    <n v="1042"/>
    <n v="40"/>
    <n v="6"/>
    <n v="90.58"/>
    <n v="0"/>
    <n v="543.48"/>
    <s v="2026-01"/>
    <s v="SKU-0040"/>
    <x v="0"/>
  </r>
  <r>
    <n v="109"/>
    <n v="1043"/>
    <n v="80"/>
    <n v="3"/>
    <n v="84.54"/>
    <n v="0"/>
    <n v="253.62"/>
    <s v="2026-04"/>
    <s v="SKU-0080"/>
    <x v="11"/>
  </r>
  <r>
    <n v="110"/>
    <n v="1044"/>
    <n v="8"/>
    <n v="6"/>
    <n v="118.07"/>
    <n v="0"/>
    <n v="708.42"/>
    <s v="2026-04"/>
    <s v="SKU-0008"/>
    <x v="4"/>
  </r>
  <r>
    <n v="111"/>
    <n v="1045"/>
    <n v="95"/>
    <n v="3"/>
    <n v="75.319999999999993"/>
    <n v="0"/>
    <n v="225.95999999999998"/>
    <s v="2026-05"/>
    <s v="SKU-0095"/>
    <x v="16"/>
  </r>
  <r>
    <n v="112"/>
    <n v="1045"/>
    <n v="147"/>
    <n v="2"/>
    <n v="133.41"/>
    <n v="0"/>
    <n v="266.82"/>
    <s v="2026-05"/>
    <s v="SKU-0147"/>
    <x v="16"/>
  </r>
  <r>
    <n v="113"/>
    <n v="1046"/>
    <n v="82"/>
    <n v="5"/>
    <n v="243.4"/>
    <n v="0"/>
    <n v="1217"/>
    <s v="2026-04"/>
    <s v="SKU-0082"/>
    <x v="2"/>
  </r>
  <r>
    <n v="114"/>
    <n v="1046"/>
    <n v="31"/>
    <n v="1"/>
    <n v="35.19"/>
    <n v="0"/>
    <n v="35.19"/>
    <s v="2026-04"/>
    <s v="SKU-0031"/>
    <x v="2"/>
  </r>
  <r>
    <n v="115"/>
    <n v="1046"/>
    <n v="103"/>
    <n v="2"/>
    <n v="241.92"/>
    <n v="0"/>
    <n v="483.84"/>
    <s v="2026-04"/>
    <s v="SKU-0103"/>
    <x v="2"/>
  </r>
  <r>
    <n v="116"/>
    <n v="1046"/>
    <n v="80"/>
    <n v="6"/>
    <n v="84.54"/>
    <n v="2.21"/>
    <n v="505.03000000000003"/>
    <s v="2026-04"/>
    <s v="SKU-0080"/>
    <x v="2"/>
  </r>
  <r>
    <n v="117"/>
    <n v="1047"/>
    <n v="39"/>
    <n v="1"/>
    <n v="129.30000000000001"/>
    <n v="0"/>
    <n v="129.30000000000001"/>
    <s v="2026-04"/>
    <s v="SKU-0039"/>
    <x v="4"/>
  </r>
  <r>
    <n v="118"/>
    <n v="1047"/>
    <n v="60"/>
    <n v="6"/>
    <n v="115.8"/>
    <n v="0"/>
    <n v="694.8"/>
    <s v="2026-04"/>
    <s v="SKU-0060"/>
    <x v="4"/>
  </r>
  <r>
    <n v="119"/>
    <n v="1048"/>
    <n v="72"/>
    <n v="2"/>
    <n v="205.06"/>
    <n v="0"/>
    <n v="410.12"/>
    <s v="2026-03"/>
    <s v="SKU-0072"/>
    <x v="7"/>
  </r>
  <r>
    <n v="120"/>
    <n v="1048"/>
    <n v="134"/>
    <n v="7"/>
    <n v="26.36"/>
    <n v="0"/>
    <n v="184.51999999999998"/>
    <s v="2026-03"/>
    <s v="SKU-0134"/>
    <x v="7"/>
  </r>
  <r>
    <n v="121"/>
    <n v="1049"/>
    <n v="75"/>
    <n v="5"/>
    <n v="180.3"/>
    <n v="12.91"/>
    <n v="888.59"/>
    <s v="2026-01"/>
    <s v="SKU-0075"/>
    <x v="3"/>
  </r>
  <r>
    <n v="122"/>
    <n v="1049"/>
    <n v="84"/>
    <n v="6"/>
    <n v="150.28"/>
    <n v="0"/>
    <n v="901.68000000000006"/>
    <s v="2026-01"/>
    <s v="SKU-0084"/>
    <x v="3"/>
  </r>
  <r>
    <n v="123"/>
    <n v="1050"/>
    <n v="138"/>
    <n v="6"/>
    <n v="106.5"/>
    <n v="0"/>
    <n v="639"/>
    <s v="2026-04"/>
    <s v="SKU-0138"/>
    <x v="13"/>
  </r>
  <r>
    <n v="124"/>
    <n v="1051"/>
    <n v="64"/>
    <n v="6"/>
    <n v="247.73"/>
    <n v="0"/>
    <n v="1486.3799999999999"/>
    <s v="2026-01"/>
    <s v="SKU-0064"/>
    <x v="3"/>
  </r>
  <r>
    <n v="125"/>
    <n v="1052"/>
    <n v="32"/>
    <n v="1"/>
    <n v="221.16"/>
    <n v="0"/>
    <n v="221.16"/>
    <s v="2026-03"/>
    <s v="SKU-0032"/>
    <x v="7"/>
  </r>
  <r>
    <n v="126"/>
    <n v="1052"/>
    <n v="34"/>
    <n v="4"/>
    <n v="222.79"/>
    <n v="0"/>
    <n v="891.16"/>
    <s v="2026-03"/>
    <s v="SKU-0034"/>
    <x v="7"/>
  </r>
  <r>
    <n v="127"/>
    <n v="1053"/>
    <n v="85"/>
    <n v="2"/>
    <n v="163.57"/>
    <n v="1.6"/>
    <n v="325.53999999999996"/>
    <s v="2026-02"/>
    <s v="SKU-0085"/>
    <x v="14"/>
  </r>
  <r>
    <n v="128"/>
    <n v="1054"/>
    <n v="71"/>
    <n v="5"/>
    <n v="277.42"/>
    <n v="0"/>
    <n v="1387.1000000000001"/>
    <s v="2026-04"/>
    <s v="SKU-0071"/>
    <x v="11"/>
  </r>
  <r>
    <n v="129"/>
    <n v="1054"/>
    <n v="9"/>
    <n v="4"/>
    <n v="235.32"/>
    <n v="10.06"/>
    <n v="931.22"/>
    <s v="2026-04"/>
    <s v="SKU-0009"/>
    <x v="11"/>
  </r>
  <r>
    <n v="130"/>
    <n v="1055"/>
    <n v="92"/>
    <n v="8"/>
    <n v="23.27"/>
    <n v="8.6199999999999992"/>
    <n v="177.54"/>
    <s v="2026-03"/>
    <s v="SKU-0092"/>
    <x v="7"/>
  </r>
  <r>
    <n v="131"/>
    <n v="1055"/>
    <n v="89"/>
    <n v="6"/>
    <n v="126"/>
    <n v="0"/>
    <n v="756"/>
    <s v="2026-03"/>
    <s v="SKU-0089"/>
    <x v="7"/>
  </r>
  <r>
    <n v="132"/>
    <n v="1055"/>
    <n v="7"/>
    <n v="6"/>
    <n v="292.33999999999997"/>
    <n v="0"/>
    <n v="1754.04"/>
    <s v="2026-03"/>
    <s v="SKU-0007"/>
    <x v="7"/>
  </r>
  <r>
    <n v="133"/>
    <n v="1055"/>
    <n v="72"/>
    <n v="1"/>
    <n v="205.06"/>
    <n v="12.32"/>
    <n v="192.74"/>
    <s v="2026-03"/>
    <s v="SKU-0072"/>
    <x v="7"/>
  </r>
  <r>
    <n v="134"/>
    <n v="1056"/>
    <n v="148"/>
    <n v="7"/>
    <n v="124.32"/>
    <n v="0"/>
    <n v="870.24"/>
    <s v="2026-03"/>
    <s v="SKU0148"/>
    <x v="8"/>
  </r>
  <r>
    <n v="135"/>
    <n v="1056"/>
    <n v="46"/>
    <n v="4"/>
    <n v="219.11"/>
    <n v="0"/>
    <n v="876.44"/>
    <s v="2026-03"/>
    <s v="SKU-0046"/>
    <x v="8"/>
  </r>
  <r>
    <n v="136"/>
    <n v="1057"/>
    <n v="15"/>
    <n v="4"/>
    <n v="198.21"/>
    <n v="0"/>
    <n v="792.84"/>
    <s v="2026-03"/>
    <s v="SKU-0015"/>
    <x v="1"/>
  </r>
  <r>
    <n v="137"/>
    <n v="1058"/>
    <n v="29"/>
    <n v="6"/>
    <n v="33.25"/>
    <n v="0"/>
    <n v="199.5"/>
    <s v="2026-03"/>
    <s v="SKU-0029"/>
    <x v="6"/>
  </r>
  <r>
    <n v="138"/>
    <n v="1058"/>
    <n v="102"/>
    <n v="2"/>
    <n v="71.52"/>
    <n v="0"/>
    <n v="143.04"/>
    <s v="2026-03"/>
    <s v="SKU-0102"/>
    <x v="6"/>
  </r>
  <r>
    <n v="139"/>
    <n v="1059"/>
    <n v="97"/>
    <n v="5"/>
    <n v="168.73"/>
    <n v="0"/>
    <n v="843.65"/>
    <s v="2026-04"/>
    <s v="SKU-0097"/>
    <x v="12"/>
  </r>
  <r>
    <n v="140"/>
    <n v="1059"/>
    <n v="33"/>
    <n v="3"/>
    <n v="42.63"/>
    <n v="11.2"/>
    <n v="116.69000000000001"/>
    <s v="2026-04"/>
    <s v="SKU-0033"/>
    <x v="12"/>
  </r>
  <r>
    <n v="141"/>
    <n v="1060"/>
    <n v="61"/>
    <n v="6"/>
    <n v="293.22000000000003"/>
    <n v="0"/>
    <n v="1759.3200000000002"/>
    <s v="2026-01"/>
    <s v="SKU-0061"/>
    <x v="17"/>
  </r>
  <r>
    <n v="142"/>
    <n v="1061"/>
    <n v="99"/>
    <n v="8"/>
    <n v="50.97"/>
    <n v="0"/>
    <n v="407.76"/>
    <s v="2026-03"/>
    <s v="SKU-0099"/>
    <x v="7"/>
  </r>
  <r>
    <n v="143"/>
    <n v="1062"/>
    <n v="82"/>
    <n v="5"/>
    <n v="243.4"/>
    <n v="0"/>
    <n v="1217"/>
    <s v="2026-04"/>
    <s v="SKU-0082"/>
    <x v="13"/>
  </r>
  <r>
    <n v="144"/>
    <n v="1063"/>
    <n v="112"/>
    <n v="3"/>
    <n v="154.88"/>
    <n v="0"/>
    <n v="464.64"/>
    <s v="2026-05"/>
    <s v="SKU-0112"/>
    <x v="15"/>
  </r>
  <r>
    <n v="145"/>
    <n v="1063"/>
    <n v="53"/>
    <n v="4"/>
    <n v="73.03"/>
    <n v="0"/>
    <n v="292.12"/>
    <s v="2026-05"/>
    <s v="SKU-0053"/>
    <x v="15"/>
  </r>
  <r>
    <n v="146"/>
    <n v="1064"/>
    <n v="76"/>
    <n v="8"/>
    <n v="160.68"/>
    <n v="0"/>
    <n v="1285.44"/>
    <s v="2026-01"/>
    <s v="SKU-0076"/>
    <x v="3"/>
  </r>
  <r>
    <n v="147"/>
    <n v="1065"/>
    <n v="102"/>
    <n v="8"/>
    <n v="71.52"/>
    <n v="0"/>
    <n v="572.16"/>
    <s v="2026-03"/>
    <s v="SKU-0102"/>
    <x v="1"/>
  </r>
  <r>
    <n v="148"/>
    <n v="1065"/>
    <n v="24"/>
    <n v="7"/>
    <n v="20.55"/>
    <n v="3.59"/>
    <n v="140.26"/>
    <s v="2026-03"/>
    <s v="SKU-0024"/>
    <x v="1"/>
  </r>
  <r>
    <n v="149"/>
    <n v="1065"/>
    <n v="95"/>
    <n v="3"/>
    <n v="75.319999999999993"/>
    <n v="0"/>
    <n v="225.95999999999998"/>
    <s v="2026-03"/>
    <s v="SKU-0095"/>
    <x v="1"/>
  </r>
  <r>
    <n v="150"/>
    <n v="1066"/>
    <n v="59"/>
    <n v="1"/>
    <n v="213.38"/>
    <n v="12.46"/>
    <n v="200.92"/>
    <s v="2026-01"/>
    <s v="SKU-0059"/>
    <x v="0"/>
  </r>
  <r>
    <n v="151"/>
    <n v="1066"/>
    <n v="138"/>
    <n v="8"/>
    <n v="106.5"/>
    <n v="0"/>
    <n v="852"/>
    <s v="2026-01"/>
    <s v="SKU-0138"/>
    <x v="0"/>
  </r>
  <r>
    <n v="152"/>
    <n v="1066"/>
    <n v="122"/>
    <n v="5"/>
    <n v="151.15"/>
    <n v="0"/>
    <n v="755.75"/>
    <s v="2026-01"/>
    <s v="SKU-0122"/>
    <x v="0"/>
  </r>
  <r>
    <n v="153"/>
    <n v="1066"/>
    <n v="129"/>
    <n v="3"/>
    <n v="95.57"/>
    <n v="2.68"/>
    <n v="284.02999999999997"/>
    <s v="2026-01"/>
    <s v="SKU-0129"/>
    <x v="0"/>
  </r>
  <r>
    <n v="154"/>
    <n v="1067"/>
    <n v="82"/>
    <n v="2"/>
    <n v="243.4"/>
    <n v="2.2200000000000002"/>
    <n v="484.58"/>
    <s v="2026-02"/>
    <s v="SKU-0082"/>
    <x v="14"/>
  </r>
  <r>
    <n v="155"/>
    <n v="1067"/>
    <n v="142"/>
    <n v="6"/>
    <n v="192.45"/>
    <n v="12.99"/>
    <n v="1141.7099999999998"/>
    <s v="2026-02"/>
    <s v="SKU-0142"/>
    <x v="14"/>
  </r>
  <r>
    <n v="156"/>
    <n v="1067"/>
    <n v="4"/>
    <n v="7"/>
    <n v="94.28"/>
    <n v="0"/>
    <n v="659.96"/>
    <s v="2026-02"/>
    <s v="SKU-0004"/>
    <x v="14"/>
  </r>
  <r>
    <n v="157"/>
    <n v="1068"/>
    <n v="68"/>
    <n v="7"/>
    <n v="138.85"/>
    <n v="10.17"/>
    <n v="961.78"/>
    <s v="2026-01"/>
    <s v="SKU-0068"/>
    <x v="17"/>
  </r>
  <r>
    <n v="158"/>
    <n v="1068"/>
    <n v="10"/>
    <n v="3"/>
    <n v="144.22"/>
    <n v="0"/>
    <n v="432.65999999999997"/>
    <s v="2026-01"/>
    <s v="SKU-0010"/>
    <x v="17"/>
  </r>
  <r>
    <n v="159"/>
    <n v="1068"/>
    <n v="103"/>
    <n v="1"/>
    <n v="241.92"/>
    <n v="0"/>
    <n v="241.92"/>
    <s v="2026-01"/>
    <s v="SKU-0103"/>
    <x v="17"/>
  </r>
  <r>
    <n v="160"/>
    <n v="1068"/>
    <n v="61"/>
    <n v="1"/>
    <n v="293.22000000000003"/>
    <n v="0"/>
    <n v="293.22000000000003"/>
    <s v="2026-01"/>
    <s v="SKU-0061"/>
    <x v="17"/>
  </r>
  <r>
    <n v="161"/>
    <n v="1069"/>
    <n v="126"/>
    <n v="2"/>
    <n v="32.17"/>
    <n v="0"/>
    <n v="64.34"/>
    <s v="2026-01"/>
    <s v="SKU-0126"/>
    <x v="18"/>
  </r>
  <r>
    <n v="162"/>
    <n v="1069"/>
    <n v="35"/>
    <n v="5"/>
    <n v="46.14"/>
    <n v="14.64"/>
    <n v="216.06"/>
    <s v="2026-01"/>
    <s v="SKU-0035"/>
    <x v="18"/>
  </r>
  <r>
    <n v="163"/>
    <n v="1069"/>
    <n v="83"/>
    <n v="5"/>
    <n v="269.23"/>
    <n v="0"/>
    <n v="1346.15"/>
    <s v="2026-01"/>
    <s v="SKU-0083"/>
    <x v="18"/>
  </r>
  <r>
    <n v="164"/>
    <n v="1070"/>
    <n v="135"/>
    <n v="1"/>
    <n v="41.03"/>
    <n v="0"/>
    <n v="41.03"/>
    <s v="2026-03"/>
    <s v="SKU-0135"/>
    <x v="1"/>
  </r>
  <r>
    <n v="165"/>
    <n v="1070"/>
    <n v="15"/>
    <n v="4"/>
    <n v="198.21"/>
    <n v="0"/>
    <n v="792.84"/>
    <s v="2026-03"/>
    <s v="SKU-0015"/>
    <x v="1"/>
  </r>
  <r>
    <n v="166"/>
    <n v="1071"/>
    <n v="46"/>
    <n v="8"/>
    <n v="219.11"/>
    <n v="0"/>
    <n v="1752.88"/>
    <s v="2026-01"/>
    <s v="SKU-0046"/>
    <x v="18"/>
  </r>
  <r>
    <n v="167"/>
    <n v="1071"/>
    <n v="89"/>
    <n v="3"/>
    <n v="126"/>
    <n v="0"/>
    <n v="378"/>
    <s v="2026-01"/>
    <s v="SKU-0089"/>
    <x v="18"/>
  </r>
  <r>
    <n v="168"/>
    <n v="1071"/>
    <n v="24"/>
    <n v="5"/>
    <n v="20.55"/>
    <n v="0"/>
    <n v="102.75"/>
    <s v="2026-01"/>
    <s v="SKU-0024"/>
    <x v="18"/>
  </r>
  <r>
    <n v="169"/>
    <n v="1071"/>
    <n v="42"/>
    <n v="4"/>
    <n v="169.53"/>
    <n v="0"/>
    <n v="678.12"/>
    <s v="2026-01"/>
    <s v="SKU-0042"/>
    <x v="18"/>
  </r>
  <r>
    <n v="170"/>
    <n v="1072"/>
    <n v="58"/>
    <n v="5"/>
    <n v="57.21"/>
    <n v="0"/>
    <n v="286.05"/>
    <s v="2026-02"/>
    <s v="SKU-0058"/>
    <x v="10"/>
  </r>
  <r>
    <n v="171"/>
    <n v="1073"/>
    <n v="150"/>
    <n v="2"/>
    <n v="100.09"/>
    <n v="0"/>
    <n v="200.18"/>
    <s v="2026-04"/>
    <s v="SKU-0150"/>
    <x v="13"/>
  </r>
  <r>
    <n v="172"/>
    <n v="1073"/>
    <n v="144"/>
    <n v="5"/>
    <n v="194.56"/>
    <n v="0"/>
    <n v="972.8"/>
    <s v="2026-04"/>
    <s v="SKU-0144"/>
    <x v="13"/>
  </r>
  <r>
    <n v="173"/>
    <n v="1073"/>
    <n v="124"/>
    <n v="2"/>
    <n v="48.76"/>
    <n v="0"/>
    <n v="97.52"/>
    <s v="2026-04"/>
    <s v="SKU-0124"/>
    <x v="13"/>
  </r>
  <r>
    <n v="174"/>
    <n v="1073"/>
    <n v="84"/>
    <n v="5"/>
    <n v="150.28"/>
    <n v="0"/>
    <n v="751.4"/>
    <s v="2026-04"/>
    <s v="SKU-0084"/>
    <x v="13"/>
  </r>
  <r>
    <n v="175"/>
    <n v="1074"/>
    <n v="76"/>
    <n v="5"/>
    <n v="160.68"/>
    <n v="13.7"/>
    <n v="789.7"/>
    <s v="2026-02"/>
    <s v="SKU-0076"/>
    <x v="10"/>
  </r>
  <r>
    <n v="176"/>
    <n v="1074"/>
    <n v="100"/>
    <n v="1"/>
    <n v="233.57"/>
    <n v="0"/>
    <n v="233.57"/>
    <s v="2026-02"/>
    <s v="SKU-0100"/>
    <x v="10"/>
  </r>
  <r>
    <n v="177"/>
    <n v="1074"/>
    <n v="88"/>
    <n v="4"/>
    <n v="109.3"/>
    <n v="10.61"/>
    <n v="426.59"/>
    <s v="2026-02"/>
    <s v="SKU-0088"/>
    <x v="10"/>
  </r>
  <r>
    <n v="178"/>
    <n v="1074"/>
    <n v="92"/>
    <n v="5"/>
    <n v="23.27"/>
    <n v="0"/>
    <n v="116.35"/>
    <s v="2026-02"/>
    <s v="SKU-0092"/>
    <x v="10"/>
  </r>
  <r>
    <n v="179"/>
    <n v="1075"/>
    <n v="108"/>
    <n v="6"/>
    <n v="143.47999999999999"/>
    <n v="0"/>
    <n v="860.87999999999988"/>
    <s v="2026-01"/>
    <s v="SKU-0108"/>
    <x v="0"/>
  </r>
  <r>
    <n v="180"/>
    <n v="1075"/>
    <n v="119"/>
    <n v="2"/>
    <n v="27.97"/>
    <n v="0"/>
    <n v="55.94"/>
    <s v="2026-01"/>
    <s v="SKU-0119"/>
    <x v="0"/>
  </r>
  <r>
    <n v="181"/>
    <n v="1075"/>
    <n v="121"/>
    <n v="4"/>
    <n v="151.43"/>
    <n v="8.01"/>
    <n v="597.71"/>
    <s v="2026-01"/>
    <s v="SKU-0121"/>
    <x v="0"/>
  </r>
  <r>
    <n v="182"/>
    <n v="1076"/>
    <n v="47"/>
    <n v="2"/>
    <n v="100.5"/>
    <n v="0"/>
    <n v="201"/>
    <s v="2026-04"/>
    <s v="SKU-0047"/>
    <x v="2"/>
  </r>
  <r>
    <n v="183"/>
    <n v="1076"/>
    <n v="81"/>
    <n v="1"/>
    <n v="244.17"/>
    <n v="0"/>
    <n v="244.17"/>
    <s v="2026-04"/>
    <s v="SKU-0081"/>
    <x v="2"/>
  </r>
  <r>
    <n v="184"/>
    <n v="1076"/>
    <n v="54"/>
    <n v="3"/>
    <n v="256.14"/>
    <n v="0"/>
    <n v="768.42"/>
    <s v="2026-04"/>
    <s v="SKU-0054"/>
    <x v="2"/>
  </r>
  <r>
    <n v="185"/>
    <n v="1077"/>
    <n v="96"/>
    <n v="1"/>
    <n v="252.1"/>
    <n v="0"/>
    <n v="252.1"/>
    <s v="2026-04"/>
    <s v="SKU-0096"/>
    <x v="4"/>
  </r>
  <r>
    <n v="186"/>
    <n v="1077"/>
    <n v="5"/>
    <n v="1"/>
    <n v="59.31"/>
    <n v="0"/>
    <n v="59.31"/>
    <s v="2026-04"/>
    <s v="SKU-0005"/>
    <x v="4"/>
  </r>
  <r>
    <n v="187"/>
    <n v="1078"/>
    <n v="134"/>
    <n v="6"/>
    <n v="26.36"/>
    <n v="0"/>
    <n v="158.16"/>
    <s v="2026-01"/>
    <s v="SKU-0134"/>
    <x v="3"/>
  </r>
  <r>
    <n v="188"/>
    <n v="1078"/>
    <n v="88"/>
    <n v="8"/>
    <n v="109.3"/>
    <n v="0"/>
    <n v="874.4"/>
    <s v="2026-01"/>
    <s v="SKU-0088"/>
    <x v="3"/>
  </r>
  <r>
    <n v="189"/>
    <n v="1078"/>
    <n v="43"/>
    <n v="7"/>
    <n v="277.02999999999997"/>
    <n v="0"/>
    <n v="1939.2099999999998"/>
    <s v="2026-01"/>
    <s v="SKU-0043"/>
    <x v="3"/>
  </r>
  <r>
    <n v="190"/>
    <n v="1078"/>
    <n v="34"/>
    <n v="4"/>
    <n v="222.79"/>
    <n v="0"/>
    <n v="891.16"/>
    <s v="2026-01"/>
    <s v="SKU-0034"/>
    <x v="3"/>
  </r>
  <r>
    <n v="191"/>
    <n v="1079"/>
    <n v="13"/>
    <n v="2"/>
    <n v="236.16"/>
    <n v="6.83"/>
    <n v="465.49"/>
    <s v="2026-01"/>
    <s v="SKU-0013"/>
    <x v="3"/>
  </r>
  <r>
    <n v="192"/>
    <n v="1080"/>
    <n v="36"/>
    <n v="7"/>
    <n v="94.39"/>
    <n v="0"/>
    <n v="660.73"/>
    <s v="2026-04"/>
    <s v="SKU-0036"/>
    <x v="2"/>
  </r>
  <r>
    <n v="193"/>
    <n v="1080"/>
    <n v="131"/>
    <n v="2"/>
    <n v="57.46"/>
    <n v="0"/>
    <n v="114.92"/>
    <s v="2026-04"/>
    <s v="SKU-0131"/>
    <x v="2"/>
  </r>
  <r>
    <n v="194"/>
    <n v="1080"/>
    <n v="128"/>
    <n v="4"/>
    <n v="143.38999999999999"/>
    <n v="0"/>
    <n v="573.55999999999995"/>
    <s v="2026-04"/>
    <s v="SKU-0128"/>
    <x v="2"/>
  </r>
  <r>
    <n v="195"/>
    <n v="1081"/>
    <n v="23"/>
    <n v="2"/>
    <n v="58.56"/>
    <n v="12.69"/>
    <n v="104.43"/>
    <s v="2026-05"/>
    <s v="SKU-0023"/>
    <x v="15"/>
  </r>
  <r>
    <n v="196"/>
    <n v="1082"/>
    <n v="45"/>
    <n v="1"/>
    <n v="184.44"/>
    <n v="0"/>
    <n v="184.44"/>
    <s v="2026-03"/>
    <s v="SKU-0045"/>
    <x v="1"/>
  </r>
  <r>
    <n v="197"/>
    <n v="1083"/>
    <n v="12"/>
    <n v="1"/>
    <n v="61.57"/>
    <n v="0"/>
    <n v="61.57"/>
    <s v="2026-03"/>
    <s v="SKU-0012"/>
    <x v="6"/>
  </r>
  <r>
    <n v="198"/>
    <n v="1084"/>
    <n v="117"/>
    <n v="5"/>
    <n v="293.33"/>
    <n v="12.7"/>
    <n v="1453.9499999999998"/>
    <s v="2026-03"/>
    <s v="SKU-0117"/>
    <x v="12"/>
  </r>
  <r>
    <n v="199"/>
    <n v="1084"/>
    <n v="108"/>
    <n v="3"/>
    <n v="143.47999999999999"/>
    <n v="0"/>
    <n v="430.43999999999994"/>
    <s v="2026-03"/>
    <s v="SKU-0108"/>
    <x v="12"/>
  </r>
  <r>
    <n v="200"/>
    <n v="1084"/>
    <n v="41"/>
    <n v="2"/>
    <n v="153.69999999999999"/>
    <n v="6.82"/>
    <n v="300.58"/>
    <s v="2026-03"/>
    <s v="SKU-0041"/>
    <x v="12"/>
  </r>
  <r>
    <n v="201"/>
    <n v="1084"/>
    <n v="146"/>
    <n v="8"/>
    <n v="199.6"/>
    <n v="3.54"/>
    <n v="1593.26"/>
    <s v="2026-03"/>
    <s v="SKU-0146"/>
    <x v="12"/>
  </r>
  <r>
    <n v="202"/>
    <n v="1085"/>
    <n v="17"/>
    <n v="5"/>
    <n v="299.3"/>
    <n v="0"/>
    <n v="1496.5"/>
    <s v="2026-05"/>
    <s v="SKU-0017"/>
    <x v="15"/>
  </r>
  <r>
    <n v="203"/>
    <n v="1086"/>
    <n v="124"/>
    <n v="6"/>
    <n v="48.76"/>
    <n v="10.29"/>
    <n v="282.27"/>
    <s v="2026-01"/>
    <s v="SKU-0124"/>
    <x v="17"/>
  </r>
  <r>
    <n v="204"/>
    <n v="1086"/>
    <n v="39"/>
    <n v="1"/>
    <n v="129.30000000000001"/>
    <n v="0"/>
    <n v="129.30000000000001"/>
    <s v="2026-01"/>
    <s v="SKU-0039"/>
    <x v="17"/>
  </r>
  <r>
    <n v="205"/>
    <n v="1087"/>
    <n v="141"/>
    <n v="7"/>
    <n v="15.33"/>
    <n v="0"/>
    <n v="107.31"/>
    <s v="2026-03"/>
    <s v="SKU-0141"/>
    <x v="6"/>
  </r>
  <r>
    <n v="206"/>
    <n v="1087"/>
    <n v="21"/>
    <n v="8"/>
    <n v="60.07"/>
    <n v="7.22"/>
    <n v="473.34"/>
    <s v="2026-03"/>
    <s v="SKU-0021"/>
    <x v="6"/>
  </r>
  <r>
    <n v="207"/>
    <n v="1088"/>
    <n v="24"/>
    <n v="5"/>
    <n v="20.55"/>
    <n v="0"/>
    <n v="102.75"/>
    <s v="2026-04"/>
    <s v="SKU-0024"/>
    <x v="2"/>
  </r>
  <r>
    <n v="208"/>
    <n v="1089"/>
    <n v="94"/>
    <n v="8"/>
    <n v="53.67"/>
    <n v="0"/>
    <n v="429.36"/>
    <s v="2026-03"/>
    <s v="SKU-0094"/>
    <x v="6"/>
  </r>
  <r>
    <n v="209"/>
    <n v="1089"/>
    <n v="1"/>
    <n v="6"/>
    <n v="84.79"/>
    <n v="0"/>
    <n v="508.74"/>
    <s v="2026-03"/>
    <s v="SKU-0001"/>
    <x v="6"/>
  </r>
  <r>
    <n v="210"/>
    <n v="1089"/>
    <n v="141"/>
    <n v="6"/>
    <n v="15.33"/>
    <n v="0"/>
    <n v="91.98"/>
    <s v="2026-03"/>
    <s v="SKU-0141"/>
    <x v="6"/>
  </r>
  <r>
    <n v="211"/>
    <n v="1089"/>
    <n v="43"/>
    <n v="8"/>
    <n v="277.02999999999997"/>
    <n v="2.97"/>
    <n v="2213.27"/>
    <s v="2026-03"/>
    <s v="SKU-0043"/>
    <x v="6"/>
  </r>
  <r>
    <n v="212"/>
    <n v="1090"/>
    <n v="12"/>
    <n v="2"/>
    <n v="61.57"/>
    <n v="11.81"/>
    <n v="111.33"/>
    <s v="2026-02"/>
    <s v="SKU-0012"/>
    <x v="14"/>
  </r>
  <r>
    <n v="213"/>
    <n v="1090"/>
    <n v="118"/>
    <n v="3"/>
    <n v="241.69"/>
    <n v="0"/>
    <n v="725.06999999999994"/>
    <s v="2026-02"/>
    <s v="SKU-0118"/>
    <x v="14"/>
  </r>
  <r>
    <n v="214"/>
    <n v="1090"/>
    <n v="142"/>
    <n v="7"/>
    <n v="192.45"/>
    <n v="12.74"/>
    <n v="1334.4099999999999"/>
    <s v="2026-02"/>
    <s v="SKU-0142"/>
    <x v="14"/>
  </r>
  <r>
    <n v="215"/>
    <n v="1090"/>
    <n v="131"/>
    <n v="3"/>
    <n v="57.46"/>
    <n v="0"/>
    <n v="172.38"/>
    <s v="2026-02"/>
    <s v="SKU-0131"/>
    <x v="14"/>
  </r>
  <r>
    <n v="216"/>
    <n v="1091"/>
    <n v="116"/>
    <n v="3"/>
    <n v="211.7"/>
    <n v="0"/>
    <n v="635.09999999999991"/>
    <s v="2026-03"/>
    <s v="SKU-0116"/>
    <x v="7"/>
  </r>
  <r>
    <n v="217"/>
    <n v="1091"/>
    <n v="141"/>
    <n v="6"/>
    <n v="15.33"/>
    <n v="0"/>
    <n v="91.98"/>
    <s v="2026-03"/>
    <s v="SKU-0141"/>
    <x v="7"/>
  </r>
  <r>
    <n v="218"/>
    <n v="1091"/>
    <n v="52"/>
    <n v="4"/>
    <n v="59.3"/>
    <n v="0"/>
    <n v="237.2"/>
    <s v="2026-03"/>
    <s v="SKU-0052"/>
    <x v="7"/>
  </r>
  <r>
    <n v="219"/>
    <n v="1092"/>
    <n v="30"/>
    <n v="6"/>
    <n v="35.229999999999997"/>
    <n v="8.8699999999999992"/>
    <n v="202.51"/>
    <s v="2026-02"/>
    <s v="SKU-0030"/>
    <x v="10"/>
  </r>
  <r>
    <n v="220"/>
    <n v="1092"/>
    <n v="137"/>
    <n v="5"/>
    <n v="181.82"/>
    <n v="13.28"/>
    <n v="895.81999999999994"/>
    <s v="2026-02"/>
    <s v="SKU-0137"/>
    <x v="10"/>
  </r>
  <r>
    <n v="221"/>
    <n v="1092"/>
    <n v="4"/>
    <n v="2"/>
    <n v="94.28"/>
    <n v="0"/>
    <n v="188.56"/>
    <s v="2026-02"/>
    <s v="SKU-0004"/>
    <x v="10"/>
  </r>
  <r>
    <n v="222"/>
    <n v="1093"/>
    <n v="139"/>
    <n v="1"/>
    <n v="156.21"/>
    <n v="6.02"/>
    <n v="150.19"/>
    <s v="2026-02"/>
    <s v="SKU-0139"/>
    <x v="10"/>
  </r>
  <r>
    <n v="223"/>
    <n v="1093"/>
    <n v="27"/>
    <n v="4"/>
    <n v="165.39"/>
    <n v="11.39"/>
    <n v="650.16999999999996"/>
    <s v="2026-02"/>
    <s v="SKU-0027"/>
    <x v="10"/>
  </r>
  <r>
    <n v="224"/>
    <n v="1094"/>
    <n v="52"/>
    <n v="8"/>
    <n v="59.3"/>
    <n v="0"/>
    <n v="474.4"/>
    <s v="2026-03"/>
    <s v="SKU-0052"/>
    <x v="6"/>
  </r>
  <r>
    <n v="225"/>
    <n v="1094"/>
    <n v="140"/>
    <n v="4"/>
    <n v="86.93"/>
    <n v="0"/>
    <n v="347.72"/>
    <s v="2026-03"/>
    <s v="SKU-0140"/>
    <x v="6"/>
  </r>
  <r>
    <n v="226"/>
    <n v="1094"/>
    <n v="76"/>
    <n v="8"/>
    <n v="160.68"/>
    <n v="0"/>
    <n v="1285.44"/>
    <s v="2026-03"/>
    <s v="SKU-0076"/>
    <x v="6"/>
  </r>
  <r>
    <n v="227"/>
    <n v="1095"/>
    <n v="120"/>
    <n v="3"/>
    <n v="229.55"/>
    <n v="0"/>
    <n v="688.65000000000009"/>
    <s v="2026-02"/>
    <s v="SKU-0120"/>
    <x v="9"/>
  </r>
  <r>
    <n v="228"/>
    <n v="1095"/>
    <n v="14"/>
    <n v="5"/>
    <n v="33.86"/>
    <n v="0"/>
    <n v="169.3"/>
    <s v="2026-02"/>
    <s v="SKU-0014"/>
    <x v="9"/>
  </r>
  <r>
    <n v="229"/>
    <n v="1095"/>
    <n v="19"/>
    <n v="6"/>
    <n v="298.89"/>
    <n v="0"/>
    <n v="1793.34"/>
    <s v="2026-02"/>
    <s v="SKU-0019"/>
    <x v="9"/>
  </r>
  <r>
    <n v="230"/>
    <n v="1096"/>
    <n v="93"/>
    <n v="5"/>
    <n v="277.07"/>
    <n v="4.0599999999999996"/>
    <n v="1381.29"/>
    <s v="2026-02"/>
    <s v="SKU-0093"/>
    <x v="5"/>
  </r>
  <r>
    <n v="231"/>
    <n v="1096"/>
    <n v="144"/>
    <n v="1"/>
    <n v="194.56"/>
    <n v="0"/>
    <n v="194.56"/>
    <s v="2026-02"/>
    <s v="SKU-0144"/>
    <x v="5"/>
  </r>
  <r>
    <n v="232"/>
    <n v="1096"/>
    <n v="115"/>
    <n v="4"/>
    <n v="80.7"/>
    <n v="0"/>
    <n v="322.8"/>
    <s v="2026-02"/>
    <s v="SKU-0115"/>
    <x v="5"/>
  </r>
  <r>
    <n v="233"/>
    <n v="1097"/>
    <n v="125"/>
    <n v="1"/>
    <n v="273.92"/>
    <n v="0"/>
    <n v="273.92"/>
    <s v="2026-03"/>
    <s v="SKU-0125"/>
    <x v="8"/>
  </r>
  <r>
    <n v="234"/>
    <n v="1097"/>
    <n v="83"/>
    <n v="2"/>
    <n v="269.23"/>
    <n v="0"/>
    <n v="538.46"/>
    <s v="2026-03"/>
    <s v="SKU-0083"/>
    <x v="8"/>
  </r>
  <r>
    <n v="235"/>
    <n v="1097"/>
    <n v="138"/>
    <n v="1"/>
    <n v="106.5"/>
    <n v="0"/>
    <n v="106.5"/>
    <s v="2026-03"/>
    <s v="SKU-0138"/>
    <x v="8"/>
  </r>
  <r>
    <n v="236"/>
    <n v="1097"/>
    <n v="55"/>
    <n v="7"/>
    <n v="110.06"/>
    <n v="0"/>
    <n v="770.42000000000007"/>
    <s v="2026-03"/>
    <s v="SKU-0055"/>
    <x v="8"/>
  </r>
  <r>
    <n v="237"/>
    <n v="1098"/>
    <n v="19"/>
    <n v="1"/>
    <n v="298.89"/>
    <n v="0"/>
    <n v="298.89"/>
    <s v="2026-04"/>
    <s v="SKU-0019"/>
    <x v="13"/>
  </r>
  <r>
    <n v="238"/>
    <n v="1099"/>
    <n v="31"/>
    <n v="1"/>
    <n v="35.19"/>
    <n v="0"/>
    <n v="35.19"/>
    <s v="2026-04"/>
    <s v="SKU-0031"/>
    <x v="2"/>
  </r>
  <r>
    <n v="239"/>
    <n v="1099"/>
    <n v="150"/>
    <n v="1"/>
    <n v="100.09"/>
    <n v="0"/>
    <n v="100.09"/>
    <s v="2026-04"/>
    <s v="SKU-0150"/>
    <x v="2"/>
  </r>
  <r>
    <n v="240"/>
    <n v="1099"/>
    <n v="92"/>
    <n v="2"/>
    <n v="23.27"/>
    <n v="0"/>
    <n v="46.54"/>
    <s v="2026-04"/>
    <s v="SKU-0092"/>
    <x v="2"/>
  </r>
  <r>
    <n v="241"/>
    <n v="1099"/>
    <n v="23"/>
    <n v="5"/>
    <n v="58.56"/>
    <n v="11.71"/>
    <n v="281.09000000000003"/>
    <s v="2026-04"/>
    <s v="SKU-0023"/>
    <x v="2"/>
  </r>
  <r>
    <n v="242"/>
    <n v="1100"/>
    <n v="3"/>
    <n v="3"/>
    <n v="22.56"/>
    <n v="0"/>
    <n v="67.679999999999993"/>
    <s v="2026-03"/>
    <s v="SKU-0003"/>
    <x v="1"/>
  </r>
  <r>
    <n v="243"/>
    <n v="1100"/>
    <n v="147"/>
    <n v="7"/>
    <n v="133.41"/>
    <n v="0"/>
    <n v="933.87"/>
    <s v="2026-03"/>
    <s v="SKU-0147"/>
    <x v="1"/>
  </r>
  <r>
    <n v="244"/>
    <n v="1100"/>
    <n v="79"/>
    <n v="4"/>
    <n v="234.02"/>
    <n v="0"/>
    <n v="936.08"/>
    <s v="2026-03"/>
    <s v="SKU-0079"/>
    <x v="1"/>
  </r>
  <r>
    <n v="245"/>
    <n v="1101"/>
    <n v="141"/>
    <n v="8"/>
    <n v="15.33"/>
    <n v="0"/>
    <n v="122.64"/>
    <s v="2026-01"/>
    <s v="SKU-0141"/>
    <x v="17"/>
  </r>
  <r>
    <n v="246"/>
    <n v="1102"/>
    <n v="26"/>
    <n v="5"/>
    <n v="166.82"/>
    <n v="0"/>
    <n v="834.09999999999991"/>
    <s v="2026-04"/>
    <s v="SKU-0026"/>
    <x v="12"/>
  </r>
  <r>
    <n v="247"/>
    <n v="1102"/>
    <n v="82"/>
    <n v="8"/>
    <n v="243.4"/>
    <n v="0"/>
    <n v="1947.2"/>
    <s v="2026-04"/>
    <s v="SKU-0082"/>
    <x v="12"/>
  </r>
  <r>
    <n v="248"/>
    <n v="1103"/>
    <n v="71"/>
    <n v="6"/>
    <n v="277.42"/>
    <n v="0"/>
    <n v="1664.52"/>
    <s v="2026-03"/>
    <s v="SKU-0071"/>
    <x v="6"/>
  </r>
  <r>
    <n v="249"/>
    <n v="1103"/>
    <n v="123"/>
    <n v="8"/>
    <n v="210.64"/>
    <n v="0"/>
    <n v="1685.12"/>
    <s v="2026-03"/>
    <s v="SKU-0123"/>
    <x v="6"/>
  </r>
  <r>
    <n v="250"/>
    <n v="1103"/>
    <n v="125"/>
    <n v="2"/>
    <n v="273.92"/>
    <n v="0"/>
    <n v="547.84"/>
    <s v="2026-03"/>
    <s v="SKU-0125"/>
    <x v="6"/>
  </r>
  <r>
    <n v="251"/>
    <n v="1103"/>
    <n v="72"/>
    <n v="3"/>
    <n v="205.06"/>
    <n v="0"/>
    <n v="615.18000000000006"/>
    <s v="2026-03"/>
    <s v="SKU-0072"/>
    <x v="6"/>
  </r>
  <r>
    <n v="252"/>
    <n v="1104"/>
    <n v="140"/>
    <n v="8"/>
    <n v="86.93"/>
    <n v="0"/>
    <n v="695.44"/>
    <s v="2026-04"/>
    <s v="SKU-0140"/>
    <x v="2"/>
  </r>
  <r>
    <n v="253"/>
    <n v="1104"/>
    <n v="94"/>
    <n v="7"/>
    <n v="53.67"/>
    <n v="0"/>
    <n v="375.69"/>
    <s v="2026-04"/>
    <s v="SKU-0094"/>
    <x v="2"/>
  </r>
  <r>
    <n v="254"/>
    <n v="1104"/>
    <n v="35"/>
    <n v="8"/>
    <n v="46.14"/>
    <n v="0"/>
    <n v="369.12"/>
    <s v="2026-04"/>
    <s v="SKU-0035"/>
    <x v="2"/>
  </r>
  <r>
    <n v="255"/>
    <n v="1105"/>
    <n v="124"/>
    <n v="6"/>
    <n v="48.76"/>
    <n v="1.57"/>
    <n v="290.99"/>
    <s v="2026-02"/>
    <s v="SKU-0124"/>
    <x v="10"/>
  </r>
  <r>
    <n v="256"/>
    <n v="1105"/>
    <n v="60"/>
    <n v="2"/>
    <n v="115.8"/>
    <n v="0"/>
    <n v="231.6"/>
    <s v="2026-02"/>
    <s v="SKU-0060"/>
    <x v="10"/>
  </r>
  <r>
    <n v="257"/>
    <n v="1106"/>
    <n v="134"/>
    <n v="5"/>
    <n v="26.36"/>
    <n v="0"/>
    <n v="131.80000000000001"/>
    <s v="2026-01"/>
    <s v="SKU-0134"/>
    <x v="3"/>
  </r>
  <r>
    <n v="258"/>
    <n v="1107"/>
    <n v="91"/>
    <n v="6"/>
    <n v="170.65"/>
    <n v="7.82"/>
    <n v="1016.08"/>
    <s v="2026-03"/>
    <s v="SKU-0091"/>
    <x v="7"/>
  </r>
  <r>
    <n v="259"/>
    <n v="1107"/>
    <n v="2"/>
    <n v="3"/>
    <n v="135.25"/>
    <n v="0"/>
    <n v="405.75"/>
    <s v="2026-03"/>
    <s v="SKU-0002"/>
    <x v="7"/>
  </r>
  <r>
    <n v="260"/>
    <n v="1107"/>
    <n v="20"/>
    <n v="5"/>
    <n v="168.04"/>
    <n v="0"/>
    <n v="840.19999999999993"/>
    <s v="2026-03"/>
    <s v="SKU-0020"/>
    <x v="7"/>
  </r>
  <r>
    <n v="261"/>
    <n v="1107"/>
    <n v="41"/>
    <n v="6"/>
    <n v="153.69999999999999"/>
    <n v="0"/>
    <n v="922.19999999999993"/>
    <s v="2026-03"/>
    <s v="SKU-0041"/>
    <x v="7"/>
  </r>
  <r>
    <n v="262"/>
    <n v="1108"/>
    <n v="6"/>
    <n v="4"/>
    <n v="256.54000000000002"/>
    <n v="0"/>
    <n v="1026.1600000000001"/>
    <s v="2026-02"/>
    <s v="SKU-0006"/>
    <x v="5"/>
  </r>
  <r>
    <n v="263"/>
    <n v="1108"/>
    <n v="35"/>
    <n v="1"/>
    <n v="46.14"/>
    <n v="0"/>
    <n v="46.14"/>
    <s v="2026-02"/>
    <s v="SKU-0035"/>
    <x v="5"/>
  </r>
  <r>
    <n v="264"/>
    <n v="1108"/>
    <n v="15"/>
    <n v="3"/>
    <n v="198.21"/>
    <n v="0"/>
    <n v="594.63"/>
    <s v="2026-02"/>
    <s v="SKU-0015"/>
    <x v="5"/>
  </r>
  <r>
    <n v="265"/>
    <n v="1108"/>
    <n v="133"/>
    <n v="7"/>
    <n v="214.42"/>
    <n v="0"/>
    <n v="1500.9399999999998"/>
    <s v="2026-02"/>
    <s v="SKU-0133"/>
    <x v="5"/>
  </r>
  <r>
    <n v="266"/>
    <n v="1109"/>
    <n v="131"/>
    <n v="5"/>
    <n v="57.46"/>
    <n v="0"/>
    <n v="287.3"/>
    <s v="2026-02"/>
    <s v="SKU-0131"/>
    <x v="5"/>
  </r>
  <r>
    <n v="267"/>
    <n v="1109"/>
    <n v="117"/>
    <n v="2"/>
    <n v="293.33"/>
    <n v="4.22"/>
    <n v="582.43999999999994"/>
    <s v="2026-02"/>
    <s v="SKU-0117"/>
    <x v="5"/>
  </r>
  <r>
    <n v="268"/>
    <n v="1110"/>
    <n v="137"/>
    <n v="2"/>
    <n v="181.82"/>
    <n v="0"/>
    <n v="363.64"/>
    <s v="2026-01"/>
    <s v="SKU-0137"/>
    <x v="17"/>
  </r>
  <r>
    <n v="269"/>
    <n v="1111"/>
    <n v="59"/>
    <n v="8"/>
    <n v="201.6"/>
    <n v="0"/>
    <n v="1612.8"/>
    <s v="2026-04"/>
    <s v="SKU-0059"/>
    <x v="2"/>
  </r>
  <r>
    <n v="270"/>
    <n v="1111"/>
    <n v="109"/>
    <n v="3"/>
    <n v="257.52"/>
    <n v="0"/>
    <n v="772.56"/>
    <s v="2026-04"/>
    <s v="SKU-0109"/>
    <x v="2"/>
  </r>
  <r>
    <n v="271"/>
    <n v="1111"/>
    <n v="22"/>
    <n v="5"/>
    <n v="159.69"/>
    <n v="9.3800000000000008"/>
    <n v="789.07"/>
    <s v="2026-04"/>
    <s v="SKU-0022"/>
    <x v="2"/>
  </r>
  <r>
    <n v="272"/>
    <n v="1111"/>
    <n v="66"/>
    <n v="4"/>
    <n v="94.55"/>
    <n v="0"/>
    <n v="378.2"/>
    <s v="2026-04"/>
    <s v="SKU-0066"/>
    <x v="2"/>
  </r>
  <r>
    <n v="273"/>
    <n v="1112"/>
    <n v="81"/>
    <n v="7"/>
    <n v="244.17"/>
    <n v="0"/>
    <n v="1709.1899999999998"/>
    <s v="2026-01"/>
    <s v="SKU-0081"/>
    <x v="17"/>
  </r>
  <r>
    <n v="274"/>
    <n v="1112"/>
    <n v="110"/>
    <n v="5"/>
    <n v="112"/>
    <n v="4.66"/>
    <n v="555.34"/>
    <s v="2026-01"/>
    <s v="SKU-0110"/>
    <x v="17"/>
  </r>
  <r>
    <n v="275"/>
    <n v="1113"/>
    <n v="65"/>
    <n v="5"/>
    <n v="203.11"/>
    <n v="9.09"/>
    <n v="1006.46"/>
    <s v="2026-05"/>
    <s v="SKU-0065"/>
    <x v="15"/>
  </r>
  <r>
    <n v="276"/>
    <n v="1113"/>
    <n v="36"/>
    <n v="2"/>
    <n v="94.39"/>
    <n v="11.47"/>
    <n v="177.31"/>
    <s v="2026-05"/>
    <s v="SKU-0036"/>
    <x v="15"/>
  </r>
  <r>
    <n v="277"/>
    <n v="1113"/>
    <n v="42"/>
    <n v="2"/>
    <n v="169.53"/>
    <n v="4"/>
    <n v="335.06"/>
    <s v="2026-05"/>
    <s v="SKU-0042"/>
    <x v="15"/>
  </r>
  <r>
    <n v="278"/>
    <n v="1113"/>
    <n v="87"/>
    <n v="1"/>
    <n v="124.17"/>
    <n v="0"/>
    <n v="124.17"/>
    <s v="2026-05"/>
    <s v="SKU-0087"/>
    <x v="15"/>
  </r>
  <r>
    <n v="279"/>
    <n v="1114"/>
    <n v="103"/>
    <n v="5"/>
    <n v="241.92"/>
    <n v="0"/>
    <n v="1209.5999999999999"/>
    <s v="2026-04"/>
    <s v="SKU-0103"/>
    <x v="4"/>
  </r>
  <r>
    <n v="280"/>
    <n v="1114"/>
    <n v="45"/>
    <n v="8"/>
    <n v="184.44"/>
    <n v="0"/>
    <n v="1475.52"/>
    <s v="2026-04"/>
    <s v="SKU-0045"/>
    <x v="4"/>
  </r>
  <r>
    <n v="281"/>
    <n v="1114"/>
    <n v="133"/>
    <n v="5"/>
    <n v="214.42"/>
    <n v="0"/>
    <n v="1072.0999999999999"/>
    <s v="2026-04"/>
    <s v="SKU-0133"/>
    <x v="4"/>
  </r>
  <r>
    <n v="282"/>
    <n v="1114"/>
    <n v="44"/>
    <n v="1"/>
    <n v="34.369999999999997"/>
    <n v="0"/>
    <n v="34.369999999999997"/>
    <s v="2026-04"/>
    <s v="SKU-0044"/>
    <x v="4"/>
  </r>
  <r>
    <n v="283"/>
    <n v="1115"/>
    <n v="24"/>
    <n v="5"/>
    <n v="20.55"/>
    <n v="0"/>
    <n v="102.75"/>
    <s v="2026-02"/>
    <s v="SKU-0024"/>
    <x v="14"/>
  </r>
  <r>
    <n v="284"/>
    <n v="1116"/>
    <n v="129"/>
    <n v="5"/>
    <n v="95.57"/>
    <n v="0"/>
    <n v="477.84999999999997"/>
    <s v="2026-02"/>
    <s v="SKU-0129"/>
    <x v="9"/>
  </r>
  <r>
    <n v="285"/>
    <n v="1117"/>
    <n v="8"/>
    <n v="8"/>
    <n v="118.07"/>
    <n v="0"/>
    <n v="944.56"/>
    <s v="2026-05"/>
    <s v="SKU-0008"/>
    <x v="15"/>
  </r>
  <r>
    <n v="286"/>
    <n v="1117"/>
    <n v="98"/>
    <n v="4"/>
    <n v="285.64"/>
    <n v="0"/>
    <n v="1142.56"/>
    <s v="2026-05"/>
    <s v="SKU-0098"/>
    <x v="15"/>
  </r>
  <r>
    <n v="287"/>
    <n v="1117"/>
    <n v="81"/>
    <n v="7"/>
    <n v="244.17"/>
    <n v="0"/>
    <n v="1709.1899999999998"/>
    <s v="2026-05"/>
    <s v="SKU-0081"/>
    <x v="15"/>
  </r>
  <r>
    <n v="288"/>
    <n v="1117"/>
    <n v="68"/>
    <n v="4"/>
    <n v="138.85"/>
    <n v="5.0199999999999996"/>
    <n v="550.38"/>
    <s v="2026-05"/>
    <s v="SKU-0068"/>
    <x v="15"/>
  </r>
  <r>
    <n v="289"/>
    <n v="1118"/>
    <n v="128"/>
    <n v="4"/>
    <n v="143.38999999999999"/>
    <n v="0"/>
    <n v="573.55999999999995"/>
    <s v="2026-02"/>
    <s v="SKU-0128"/>
    <x v="5"/>
  </r>
  <r>
    <n v="290"/>
    <n v="1118"/>
    <n v="68"/>
    <n v="4"/>
    <n v="138.85"/>
    <n v="0"/>
    <n v="555.4"/>
    <s v="2026-02"/>
    <s v="SKU-0068"/>
    <x v="5"/>
  </r>
  <r>
    <n v="291"/>
    <n v="1119"/>
    <n v="81"/>
    <n v="8"/>
    <n v="244.17"/>
    <n v="0"/>
    <n v="1953.36"/>
    <s v="2026-01"/>
    <s v="SKU-0081"/>
    <x v="19"/>
  </r>
  <r>
    <n v="292"/>
    <n v="1119"/>
    <n v="126"/>
    <n v="3"/>
    <n v="32.17"/>
    <n v="0"/>
    <n v="96.51"/>
    <s v="2026-01"/>
    <s v="SKU-0126"/>
    <x v="19"/>
  </r>
  <r>
    <n v="293"/>
    <n v="1119"/>
    <n v="102"/>
    <n v="4"/>
    <n v="71.52"/>
    <n v="0"/>
    <n v="286.08"/>
    <s v="2026-01"/>
    <s v="SKU-0102"/>
    <x v="19"/>
  </r>
  <r>
    <n v="294"/>
    <n v="1120"/>
    <n v="81"/>
    <n v="1"/>
    <n v="244.17"/>
    <n v="0"/>
    <n v="244.17"/>
    <s v="2026-02"/>
    <s v="SKU-0081"/>
    <x v="9"/>
  </r>
  <r>
    <n v="295"/>
    <n v="1120"/>
    <n v="98"/>
    <n v="2"/>
    <n v="285.64"/>
    <n v="0"/>
    <n v="571.28"/>
    <s v="2026-02"/>
    <s v="SKU-0098"/>
    <x v="9"/>
  </r>
  <r>
    <n v="296"/>
    <n v="1120"/>
    <n v="48"/>
    <n v="5"/>
    <n v="299.56"/>
    <n v="4.32"/>
    <n v="1493.48"/>
    <s v="2026-02"/>
    <s v="SKU-0048"/>
    <x v="9"/>
  </r>
  <r>
    <n v="297"/>
    <n v="1120"/>
    <n v="88"/>
    <n v="6"/>
    <n v="109.3"/>
    <n v="3.57"/>
    <n v="652.2299999999999"/>
    <s v="2026-02"/>
    <s v="SKU-0088"/>
    <x v="9"/>
  </r>
  <r>
    <n v="298"/>
    <n v="1121"/>
    <n v="70"/>
    <n v="4"/>
    <n v="244.86"/>
    <n v="8.77"/>
    <n v="970.67000000000007"/>
    <s v="2026-02"/>
    <s v="SKU-0070"/>
    <x v="10"/>
  </r>
  <r>
    <n v="299"/>
    <n v="1122"/>
    <n v="102"/>
    <n v="2"/>
    <n v="71.52"/>
    <n v="0"/>
    <n v="143.04"/>
    <s v="2026-03"/>
    <s v="SKU-0102"/>
    <x v="1"/>
  </r>
  <r>
    <n v="300"/>
    <n v="1123"/>
    <n v="86"/>
    <n v="5"/>
    <n v="81.83"/>
    <n v="0"/>
    <n v="409.15"/>
    <s v="2026-03"/>
    <s v="SKU-0086"/>
    <x v="7"/>
  </r>
  <r>
    <n v="301"/>
    <n v="1123"/>
    <n v="89"/>
    <n v="1"/>
    <n v="126"/>
    <n v="0"/>
    <n v="126"/>
    <s v="2026-03"/>
    <s v="SKU-0089"/>
    <x v="7"/>
  </r>
  <r>
    <n v="302"/>
    <n v="1123"/>
    <n v="51"/>
    <n v="3"/>
    <n v="204.07"/>
    <n v="0"/>
    <n v="612.21"/>
    <s v="2026-03"/>
    <s v="SKU-0051"/>
    <x v="7"/>
  </r>
  <r>
    <n v="303"/>
    <n v="1123"/>
    <n v="91"/>
    <n v="6"/>
    <n v="170.65"/>
    <n v="10.42"/>
    <n v="1013.4800000000001"/>
    <s v="2026-03"/>
    <s v="SKU-0091"/>
    <x v="7"/>
  </r>
  <r>
    <n v="304"/>
    <n v="1124"/>
    <n v="19"/>
    <n v="2"/>
    <n v="298.89"/>
    <n v="0"/>
    <n v="597.78"/>
    <s v="2026-04"/>
    <s v="SKU-0019"/>
    <x v="2"/>
  </r>
  <r>
    <n v="305"/>
    <n v="1124"/>
    <n v="81"/>
    <n v="6"/>
    <n v="244.17"/>
    <n v="0"/>
    <n v="1465.02"/>
    <s v="2026-04"/>
    <s v="SKU-0081"/>
    <x v="2"/>
  </r>
  <r>
    <n v="306"/>
    <n v="1124"/>
    <n v="102"/>
    <n v="5"/>
    <n v="71.52"/>
    <n v="0"/>
    <n v="357.59999999999997"/>
    <s v="2026-04"/>
    <s v="SKU-0102"/>
    <x v="2"/>
  </r>
  <r>
    <n v="307"/>
    <n v="1124"/>
    <n v="134"/>
    <n v="8"/>
    <n v="26.36"/>
    <n v="0"/>
    <n v="210.88"/>
    <s v="2026-04"/>
    <s v="SKU-0134"/>
    <x v="2"/>
  </r>
  <r>
    <n v="308"/>
    <n v="1125"/>
    <n v="122"/>
    <n v="1"/>
    <n v="151.15"/>
    <n v="1.37"/>
    <n v="149.78"/>
    <s v="2026-02"/>
    <s v="SKU-0122"/>
    <x v="9"/>
  </r>
  <r>
    <n v="309"/>
    <n v="1126"/>
    <n v="33"/>
    <n v="3"/>
    <n v="42.63"/>
    <n v="0"/>
    <n v="127.89000000000001"/>
    <s v="2026-02"/>
    <s v="SKU-0033"/>
    <x v="5"/>
  </r>
  <r>
    <n v="310"/>
    <n v="1126"/>
    <n v="8"/>
    <n v="1"/>
    <n v="118.07"/>
    <n v="0"/>
    <n v="118.07"/>
    <s v="2026-02"/>
    <s v="SKU-0008"/>
    <x v="5"/>
  </r>
  <r>
    <n v="311"/>
    <n v="1126"/>
    <n v="122"/>
    <n v="8"/>
    <n v="151.15"/>
    <n v="0"/>
    <n v="1209.2"/>
    <s v="2026-02"/>
    <s v="SKU-0122"/>
    <x v="5"/>
  </r>
  <r>
    <n v="312"/>
    <n v="1126"/>
    <n v="141"/>
    <n v="8"/>
    <n v="15.33"/>
    <n v="0"/>
    <n v="122.64"/>
    <s v="2026-02"/>
    <s v="SKU-0141"/>
    <x v="5"/>
  </r>
  <r>
    <n v="313"/>
    <n v="1127"/>
    <n v="23"/>
    <n v="8"/>
    <n v="58.56"/>
    <n v="5.31"/>
    <n v="463.17"/>
    <s v="2026-03"/>
    <s v="SKU-0023"/>
    <x v="1"/>
  </r>
  <r>
    <n v="314"/>
    <n v="1127"/>
    <n v="67"/>
    <n v="3"/>
    <n v="291.56"/>
    <n v="0"/>
    <n v="874.68000000000006"/>
    <s v="2026-03"/>
    <s v="SKU-0067"/>
    <x v="1"/>
  </r>
  <r>
    <n v="315"/>
    <n v="1128"/>
    <n v="126"/>
    <n v="8"/>
    <n v="32.17"/>
    <n v="5.19"/>
    <n v="252.17000000000002"/>
    <s v="2026-02"/>
    <s v="SKU-0126"/>
    <x v="10"/>
  </r>
  <r>
    <n v="316"/>
    <n v="1129"/>
    <n v="106"/>
    <n v="7"/>
    <n v="65.2"/>
    <n v="0"/>
    <n v="456.40000000000003"/>
    <s v="2026-03"/>
    <s v="SKU-0106"/>
    <x v="7"/>
  </r>
  <r>
    <n v="317"/>
    <n v="1129"/>
    <n v="100"/>
    <n v="7"/>
    <n v="233.57"/>
    <n v="0"/>
    <n v="1634.99"/>
    <s v="2026-03"/>
    <s v="SKU-0100"/>
    <x v="7"/>
  </r>
  <r>
    <n v="318"/>
    <n v="1130"/>
    <n v="35"/>
    <n v="5"/>
    <n v="46.14"/>
    <n v="2.54"/>
    <n v="228.16"/>
    <s v="2026-03"/>
    <s v="SKU-0035"/>
    <x v="8"/>
  </r>
  <r>
    <n v="319"/>
    <n v="1130"/>
    <n v="116"/>
    <n v="5"/>
    <n v="211.7"/>
    <n v="10.81"/>
    <n v="1047.69"/>
    <s v="2026-03"/>
    <s v="SKU-0116"/>
    <x v="8"/>
  </r>
  <r>
    <n v="320"/>
    <n v="1131"/>
    <n v="3"/>
    <n v="4"/>
    <n v="22.56"/>
    <n v="0"/>
    <n v="90.24"/>
    <s v="2026-03"/>
    <s v="SKU-0003"/>
    <x v="8"/>
  </r>
  <r>
    <n v="321"/>
    <n v="1131"/>
    <n v="127"/>
    <n v="4"/>
    <n v="38.14"/>
    <n v="0"/>
    <n v="152.56"/>
    <s v="2026-03"/>
    <s v="SKU-0127"/>
    <x v="8"/>
  </r>
  <r>
    <n v="322"/>
    <n v="1131"/>
    <n v="128"/>
    <n v="6"/>
    <n v="143.38999999999999"/>
    <n v="0"/>
    <n v="860.33999999999992"/>
    <s v="2026-03"/>
    <s v="SKU-0128"/>
    <x v="8"/>
  </r>
  <r>
    <n v="323"/>
    <n v="1131"/>
    <n v="85"/>
    <n v="2"/>
    <n v="163.57"/>
    <n v="0"/>
    <n v="327.14"/>
    <s v="2026-03"/>
    <s v="SKU-0085"/>
    <x v="8"/>
  </r>
  <r>
    <n v="324"/>
    <n v="1132"/>
    <n v="64"/>
    <n v="1"/>
    <n v="247.73"/>
    <n v="0"/>
    <n v="247.73"/>
    <s v="2026-02"/>
    <s v="SKU-0064"/>
    <x v="10"/>
  </r>
  <r>
    <n v="325"/>
    <n v="1132"/>
    <n v="134"/>
    <n v="4"/>
    <n v="26.36"/>
    <n v="0"/>
    <n v="105.44"/>
    <s v="2026-02"/>
    <s v="SKU-0134"/>
    <x v="10"/>
  </r>
  <r>
    <n v="326"/>
    <n v="1132"/>
    <n v="83"/>
    <n v="3"/>
    <n v="269.23"/>
    <n v="0"/>
    <n v="807.69"/>
    <s v="2026-02"/>
    <s v="SKU-0083"/>
    <x v="10"/>
  </r>
  <r>
    <n v="327"/>
    <n v="1132"/>
    <n v="141"/>
    <n v="2"/>
    <n v="15.33"/>
    <n v="0"/>
    <n v="30.66"/>
    <s v="2026-02"/>
    <s v="SKU-0141"/>
    <x v="10"/>
  </r>
  <r>
    <n v="328"/>
    <n v="1133"/>
    <n v="102"/>
    <n v="4"/>
    <n v="71.52"/>
    <n v="0"/>
    <n v="286.08"/>
    <s v="2026-03"/>
    <s v="SKU-0102"/>
    <x v="6"/>
  </r>
  <r>
    <n v="329"/>
    <n v="1134"/>
    <n v="16"/>
    <n v="1"/>
    <n v="168.61"/>
    <n v="0"/>
    <n v="168.61"/>
    <s v="2026-05"/>
    <s v="SKU-0016"/>
    <x v="15"/>
  </r>
  <r>
    <n v="330"/>
    <n v="1134"/>
    <n v="138"/>
    <n v="2"/>
    <n v="106.5"/>
    <n v="0"/>
    <n v="213"/>
    <s v="2026-05"/>
    <s v="SKU-0138"/>
    <x v="15"/>
  </r>
  <r>
    <n v="331"/>
    <n v="1134"/>
    <n v="82"/>
    <n v="6"/>
    <n v="243.4"/>
    <n v="12.28"/>
    <n v="1448.1200000000001"/>
    <s v="2026-05"/>
    <s v="SKU-0082"/>
    <x v="15"/>
  </r>
  <r>
    <n v="332"/>
    <n v="1135"/>
    <n v="146"/>
    <n v="3"/>
    <n v="199.6"/>
    <n v="0"/>
    <n v="598.79999999999995"/>
    <s v="2026-03"/>
    <s v="SKU-0146"/>
    <x v="1"/>
  </r>
  <r>
    <n v="333"/>
    <n v="1135"/>
    <n v="120"/>
    <n v="5"/>
    <n v="229.55"/>
    <n v="0"/>
    <n v="1147.75"/>
    <s v="2026-03"/>
    <s v="SKU-0120"/>
    <x v="1"/>
  </r>
  <r>
    <n v="334"/>
    <n v="1136"/>
    <n v="5"/>
    <n v="6"/>
    <n v="59.31"/>
    <n v="0"/>
    <n v="355.86"/>
    <s v="2026-01"/>
    <s v="SKU-0005"/>
    <x v="19"/>
  </r>
  <r>
    <n v="335"/>
    <n v="1136"/>
    <n v="83"/>
    <n v="2"/>
    <n v="269.23"/>
    <n v="10.220000000000001"/>
    <n v="528.24"/>
    <s v="2026-01"/>
    <s v="SKU-0083"/>
    <x v="19"/>
  </r>
  <r>
    <n v="336"/>
    <n v="1137"/>
    <n v="12"/>
    <n v="3"/>
    <n v="61.57"/>
    <n v="0"/>
    <n v="184.71"/>
    <s v="2026-03"/>
    <s v="SKU-0012"/>
    <x v="6"/>
  </r>
  <r>
    <n v="337"/>
    <n v="1138"/>
    <n v="4"/>
    <n v="4"/>
    <n v="94.28"/>
    <n v="0"/>
    <n v="377.12"/>
    <s v="2026-03"/>
    <s v="SKU-0004"/>
    <x v="7"/>
  </r>
  <r>
    <n v="338"/>
    <n v="1139"/>
    <n v="78"/>
    <n v="2"/>
    <n v="71.75"/>
    <n v="0"/>
    <n v="143.5"/>
    <s v="2026-03"/>
    <s v="SKU-0078"/>
    <x v="8"/>
  </r>
  <r>
    <n v="339"/>
    <n v="1140"/>
    <n v="28"/>
    <n v="6"/>
    <n v="206.43"/>
    <n v="10.44"/>
    <n v="1228.1399999999999"/>
    <s v="2026-02"/>
    <s v="SKU-0028"/>
    <x v="14"/>
  </r>
  <r>
    <n v="340"/>
    <n v="1140"/>
    <n v="27"/>
    <n v="3"/>
    <n v="165.39"/>
    <n v="12.09"/>
    <n v="484.08"/>
    <s v="2026-02"/>
    <s v="SKU-0027"/>
    <x v="14"/>
  </r>
  <r>
    <n v="341"/>
    <n v="1140"/>
    <n v="130"/>
    <n v="6"/>
    <n v="193.14"/>
    <n v="10.210000000000001"/>
    <n v="1148.6299999999999"/>
    <s v="2026-02"/>
    <s v="SKU-0130"/>
    <x v="14"/>
  </r>
  <r>
    <n v="342"/>
    <n v="1140"/>
    <n v="91"/>
    <n v="6"/>
    <n v="170.65"/>
    <n v="0"/>
    <n v="1023.9000000000001"/>
    <s v="2026-02"/>
    <s v="SKU-0091"/>
    <x v="14"/>
  </r>
  <r>
    <n v="343"/>
    <n v="1141"/>
    <n v="1"/>
    <n v="1"/>
    <n v="84.79"/>
    <n v="0"/>
    <n v="84.79"/>
    <s v="2026-03"/>
    <s v="SKU-0001"/>
    <x v="7"/>
  </r>
  <r>
    <n v="344"/>
    <n v="1141"/>
    <n v="133"/>
    <n v="3"/>
    <n v="214.42"/>
    <n v="0"/>
    <n v="643.26"/>
    <s v="2026-03"/>
    <s v="SKU-0133"/>
    <x v="7"/>
  </r>
  <r>
    <n v="345"/>
    <n v="1141"/>
    <n v="2"/>
    <n v="5"/>
    <n v="135.25"/>
    <n v="0"/>
    <n v="676.25"/>
    <s v="2026-03"/>
    <s v="SKU-0002"/>
    <x v="7"/>
  </r>
  <r>
    <n v="346"/>
    <n v="1141"/>
    <n v="81"/>
    <n v="1"/>
    <n v="244.17"/>
    <n v="0"/>
    <n v="244.17"/>
    <s v="2026-03"/>
    <s v="SKU-0081"/>
    <x v="7"/>
  </r>
  <r>
    <n v="347"/>
    <n v="1142"/>
    <n v="25"/>
    <n v="1"/>
    <n v="265.23"/>
    <n v="0"/>
    <n v="265.23"/>
    <s v="2026-05"/>
    <s v="SKU-0025"/>
    <x v="16"/>
  </r>
  <r>
    <n v="348"/>
    <n v="1142"/>
    <n v="36"/>
    <n v="5"/>
    <n v="94.39"/>
    <n v="0"/>
    <n v="471.95"/>
    <s v="2026-05"/>
    <s v="SKU-0036"/>
    <x v="16"/>
  </r>
  <r>
    <n v="349"/>
    <n v="1143"/>
    <n v="77"/>
    <n v="1"/>
    <n v="195.39"/>
    <n v="11.23"/>
    <n v="184.16"/>
    <s v="2026-05"/>
    <s v="SKU-0077"/>
    <x v="15"/>
  </r>
  <r>
    <n v="350"/>
    <n v="1144"/>
    <n v="79"/>
    <n v="1"/>
    <n v="234.02"/>
    <n v="0"/>
    <n v="234.02"/>
    <s v="2026-01"/>
    <s v="SKU-0079"/>
    <x v="19"/>
  </r>
  <r>
    <n v="351"/>
    <n v="1145"/>
    <n v="101"/>
    <n v="3"/>
    <n v="45.81"/>
    <n v="0"/>
    <n v="137.43"/>
    <s v="2026-05"/>
    <s v="SKU-0101"/>
    <x v="16"/>
  </r>
  <r>
    <n v="352"/>
    <n v="1145"/>
    <n v="122"/>
    <n v="1"/>
    <n v="151.15"/>
    <n v="0"/>
    <n v="151.15"/>
    <s v="2026-05"/>
    <s v="SKU-0122"/>
    <x v="16"/>
  </r>
  <r>
    <n v="353"/>
    <n v="1145"/>
    <n v="22"/>
    <n v="7"/>
    <n v="159.69"/>
    <n v="0"/>
    <n v="1117.83"/>
    <s v="2026-05"/>
    <s v="SKU-0022"/>
    <x v="16"/>
  </r>
  <r>
    <n v="354"/>
    <n v="1146"/>
    <n v="83"/>
    <n v="2"/>
    <n v="269.23"/>
    <n v="2.58"/>
    <n v="535.88"/>
    <s v="2026-03"/>
    <s v="SKU-0083"/>
    <x v="7"/>
  </r>
  <r>
    <n v="355"/>
    <n v="1146"/>
    <n v="109"/>
    <n v="6"/>
    <n v="257.52"/>
    <n v="0"/>
    <n v="1545.12"/>
    <s v="2026-03"/>
    <s v="SKU-0109"/>
    <x v="7"/>
  </r>
  <r>
    <n v="356"/>
    <n v="1146"/>
    <n v="89"/>
    <n v="1"/>
    <n v="126"/>
    <n v="0"/>
    <n v="126"/>
    <s v="2026-03"/>
    <s v="SKU-0089"/>
    <x v="7"/>
  </r>
  <r>
    <n v="357"/>
    <n v="1146"/>
    <n v="90"/>
    <n v="8"/>
    <n v="115.25"/>
    <n v="9.7200000000000006"/>
    <n v="912.28"/>
    <s v="2026-03"/>
    <s v="SKU-0090"/>
    <x v="7"/>
  </r>
  <r>
    <n v="358"/>
    <n v="1147"/>
    <n v="4"/>
    <n v="6"/>
    <n v="94.28"/>
    <n v="0"/>
    <n v="565.68000000000006"/>
    <s v="2026-01"/>
    <s v="SKU-0004"/>
    <x v="3"/>
  </r>
  <r>
    <n v="359"/>
    <n v="1147"/>
    <n v="79"/>
    <n v="8"/>
    <n v="234.02"/>
    <n v="0"/>
    <n v="1872.16"/>
    <s v="2026-01"/>
    <s v="SKU-0079"/>
    <x v="3"/>
  </r>
  <r>
    <n v="360"/>
    <n v="1147"/>
    <n v="54"/>
    <n v="4"/>
    <n v="256.14"/>
    <n v="0"/>
    <n v="1024.56"/>
    <s v="2026-01"/>
    <s v="SKU-0054"/>
    <x v="3"/>
  </r>
  <r>
    <n v="361"/>
    <n v="1148"/>
    <n v="52"/>
    <n v="5"/>
    <n v="59.3"/>
    <n v="0"/>
    <n v="296.5"/>
    <s v="2026-01"/>
    <s v="SKU-0052"/>
    <x v="3"/>
  </r>
  <r>
    <n v="362"/>
    <n v="1148"/>
    <n v="18"/>
    <n v="7"/>
    <n v="60.59"/>
    <n v="0"/>
    <n v="424.13"/>
    <s v="2026-01"/>
    <s v="SKU-0018"/>
    <x v="3"/>
  </r>
  <r>
    <n v="363"/>
    <n v="1148"/>
    <n v="28"/>
    <n v="1"/>
    <n v="206.43"/>
    <n v="5.09"/>
    <n v="201.34"/>
    <s v="2026-01"/>
    <s v="SKU-0028"/>
    <x v="3"/>
  </r>
  <r>
    <n v="364"/>
    <n v="1149"/>
    <n v="125"/>
    <n v="2"/>
    <n v="273.92"/>
    <n v="3.61"/>
    <n v="544.23"/>
    <s v="2026-04"/>
    <s v="SKU-0125"/>
    <x v="4"/>
  </r>
  <r>
    <n v="365"/>
    <n v="1149"/>
    <n v="144"/>
    <n v="1"/>
    <n v="194.56"/>
    <n v="0"/>
    <n v="194.56"/>
    <s v="2026-04"/>
    <s v="SKU-0144"/>
    <x v="4"/>
  </r>
  <r>
    <n v="366"/>
    <n v="1149"/>
    <n v="86"/>
    <n v="8"/>
    <n v="81.83"/>
    <n v="0"/>
    <n v="654.64"/>
    <s v="2026-04"/>
    <s v="SKU-0086"/>
    <x v="4"/>
  </r>
  <r>
    <n v="367"/>
    <n v="1150"/>
    <n v="58"/>
    <n v="3"/>
    <n v="57.21"/>
    <n v="5.79"/>
    <n v="165.84"/>
    <s v="2026-03"/>
    <s v="SKU-0058"/>
    <x v="7"/>
  </r>
  <r>
    <n v="368"/>
    <n v="1150"/>
    <n v="36"/>
    <n v="2"/>
    <n v="94.39"/>
    <n v="0"/>
    <n v="188.78"/>
    <s v="2026-03"/>
    <s v="SKU-0036"/>
    <x v="7"/>
  </r>
  <r>
    <n v="369"/>
    <n v="1150"/>
    <n v="107"/>
    <n v="4"/>
    <n v="223.34"/>
    <n v="9.02"/>
    <n v="884.34"/>
    <s v="2026-03"/>
    <s v="SKU-0107"/>
    <x v="7"/>
  </r>
  <r>
    <n v="370"/>
    <n v="1151"/>
    <n v="111"/>
    <n v="3"/>
    <n v="39.4"/>
    <n v="0"/>
    <n v="118.19999999999999"/>
    <s v="2026-02"/>
    <s v="SKU0111"/>
    <x v="14"/>
  </r>
  <r>
    <n v="371"/>
    <n v="1151"/>
    <n v="82"/>
    <n v="2"/>
    <n v="243.4"/>
    <n v="0"/>
    <n v="486.8"/>
    <s v="2026-02"/>
    <s v="SKU-0082"/>
    <x v="14"/>
  </r>
  <r>
    <n v="372"/>
    <n v="1152"/>
    <n v="39"/>
    <n v="4"/>
    <n v="129.30000000000001"/>
    <n v="0"/>
    <n v="517.20000000000005"/>
    <s v="2026-04"/>
    <s v="SKU-0039"/>
    <x v="11"/>
  </r>
  <r>
    <n v="373"/>
    <n v="1152"/>
    <n v="7"/>
    <n v="5"/>
    <n v="292.33999999999997"/>
    <n v="0"/>
    <n v="1461.6999999999998"/>
    <s v="2026-04"/>
    <s v="SKU-0007"/>
    <x v="11"/>
  </r>
  <r>
    <n v="374"/>
    <n v="1152"/>
    <n v="60"/>
    <n v="4"/>
    <n v="115.8"/>
    <n v="0"/>
    <n v="463.2"/>
    <s v="2026-04"/>
    <s v="SKU-0060"/>
    <x v="11"/>
  </r>
  <r>
    <n v="375"/>
    <n v="1153"/>
    <n v="50"/>
    <n v="4"/>
    <n v="252.62"/>
    <n v="0"/>
    <n v="1010.48"/>
    <s v="2026-04"/>
    <s v="SKU-0050"/>
    <x v="4"/>
  </r>
  <r>
    <n v="376"/>
    <n v="1153"/>
    <n v="70"/>
    <n v="7"/>
    <n v="244.86"/>
    <n v="0"/>
    <n v="1714.02"/>
    <s v="2026-04"/>
    <s v="SKU-0070"/>
    <x v="4"/>
  </r>
  <r>
    <n v="377"/>
    <n v="1154"/>
    <n v="98"/>
    <n v="6"/>
    <n v="285.64"/>
    <n v="0"/>
    <n v="1713.84"/>
    <s v="2026-04"/>
    <s v="SKU-0098"/>
    <x v="13"/>
  </r>
  <r>
    <n v="378"/>
    <n v="1155"/>
    <n v="75"/>
    <n v="8"/>
    <n v="180.3"/>
    <n v="0"/>
    <n v="1442.4"/>
    <s v="2026-04"/>
    <s v="SKU-0075"/>
    <x v="4"/>
  </r>
  <r>
    <n v="379"/>
    <n v="1155"/>
    <n v="74"/>
    <n v="8"/>
    <n v="130.72999999999999"/>
    <n v="0"/>
    <n v="1045.8399999999999"/>
    <s v="2026-04"/>
    <s v="SKU0074"/>
    <x v="4"/>
  </r>
  <r>
    <n v="380"/>
    <n v="1156"/>
    <n v="101"/>
    <n v="7"/>
    <n v="45.81"/>
    <n v="0"/>
    <n v="320.67"/>
    <s v="2026-05"/>
    <s v="SKU-0101"/>
    <x v="15"/>
  </r>
  <r>
    <n v="381"/>
    <n v="1156"/>
    <n v="46"/>
    <n v="8"/>
    <n v="219.11"/>
    <n v="0"/>
    <n v="1752.88"/>
    <s v="2026-05"/>
    <s v="SKU-0046"/>
    <x v="15"/>
  </r>
  <r>
    <n v="382"/>
    <n v="1157"/>
    <n v="22"/>
    <n v="7"/>
    <n v="159.69"/>
    <n v="0"/>
    <n v="1117.83"/>
    <s v="2026-01"/>
    <s v="SKU-0022"/>
    <x v="0"/>
  </r>
  <r>
    <n v="383"/>
    <n v="1157"/>
    <n v="97"/>
    <n v="7"/>
    <n v="168.73"/>
    <n v="0"/>
    <n v="1181.1099999999999"/>
    <s v="2026-01"/>
    <s v="SKU-0097"/>
    <x v="0"/>
  </r>
  <r>
    <n v="384"/>
    <n v="1157"/>
    <n v="86"/>
    <n v="3"/>
    <n v="81.83"/>
    <n v="0"/>
    <n v="245.49"/>
    <s v="2026-01"/>
    <s v="SKU-0086"/>
    <x v="0"/>
  </r>
  <r>
    <n v="385"/>
    <n v="1158"/>
    <n v="4"/>
    <n v="8"/>
    <n v="94.28"/>
    <n v="7.97"/>
    <n v="746.27"/>
    <s v="2026-01"/>
    <s v="SKU-0004"/>
    <x v="17"/>
  </r>
  <r>
    <n v="386"/>
    <n v="1158"/>
    <n v="140"/>
    <n v="1"/>
    <n v="86.93"/>
    <n v="9.51"/>
    <n v="77.42"/>
    <s v="2026-01"/>
    <s v="SKU-0140"/>
    <x v="17"/>
  </r>
  <r>
    <n v="387"/>
    <n v="1158"/>
    <n v="61"/>
    <n v="4"/>
    <n v="293.22000000000003"/>
    <n v="9.24"/>
    <n v="1163.6400000000001"/>
    <s v="2026-01"/>
    <s v="SKU-0061"/>
    <x v="17"/>
  </r>
  <r>
    <n v="388"/>
    <n v="1159"/>
    <n v="90"/>
    <n v="1"/>
    <n v="115.25"/>
    <n v="0"/>
    <n v="115.25"/>
    <s v="2026-02"/>
    <s v="SKU-0090"/>
    <x v="5"/>
  </r>
  <r>
    <n v="389"/>
    <n v="1160"/>
    <n v="117"/>
    <n v="6"/>
    <n v="293.33"/>
    <n v="0"/>
    <n v="1759.98"/>
    <s v="2026-02"/>
    <s v="SKU-0117"/>
    <x v="14"/>
  </r>
  <r>
    <n v="390"/>
    <n v="1160"/>
    <n v="77"/>
    <n v="6"/>
    <n v="195.39"/>
    <n v="6.16"/>
    <n v="1166.1799999999998"/>
    <s v="2026-02"/>
    <s v="SKU-0077"/>
    <x v="14"/>
  </r>
  <r>
    <n v="391"/>
    <n v="1161"/>
    <n v="15"/>
    <n v="2"/>
    <n v="198.21"/>
    <n v="0"/>
    <n v="396.42"/>
    <s v="2026-04"/>
    <s v="SKU-0015"/>
    <x v="2"/>
  </r>
  <r>
    <n v="392"/>
    <n v="1161"/>
    <n v="124"/>
    <n v="5"/>
    <n v="48.76"/>
    <n v="0"/>
    <n v="243.79999999999998"/>
    <s v="2026-04"/>
    <s v="SKU-0124"/>
    <x v="2"/>
  </r>
  <r>
    <n v="393"/>
    <n v="1162"/>
    <n v="75"/>
    <n v="4"/>
    <n v="180.3"/>
    <n v="0"/>
    <n v="721.2"/>
    <s v="2026-05"/>
    <s v="SKU-0075"/>
    <x v="15"/>
  </r>
  <r>
    <n v="394"/>
    <n v="1162"/>
    <n v="120"/>
    <n v="2"/>
    <n v="229.55"/>
    <n v="0"/>
    <n v="459.1"/>
    <s v="2026-05"/>
    <s v="SKU-0120"/>
    <x v="15"/>
  </r>
  <r>
    <n v="395"/>
    <n v="1163"/>
    <n v="79"/>
    <n v="5"/>
    <n v="234.02"/>
    <n v="0"/>
    <n v="1170.1000000000001"/>
    <s v="2026-02"/>
    <s v="SKU-0079"/>
    <x v="14"/>
  </r>
  <r>
    <n v="396"/>
    <n v="1164"/>
    <n v="122"/>
    <n v="1"/>
    <n v="151.15"/>
    <n v="10.039999999999999"/>
    <n v="141.11000000000001"/>
    <s v="2026-02"/>
    <s v="SKU-0122"/>
    <x v="14"/>
  </r>
  <r>
    <n v="397"/>
    <n v="1164"/>
    <n v="40"/>
    <n v="8"/>
    <n v="90.58"/>
    <n v="0"/>
    <n v="724.64"/>
    <s v="2026-02"/>
    <s v="SKU-0040"/>
    <x v="14"/>
  </r>
  <r>
    <n v="398"/>
    <n v="1164"/>
    <n v="119"/>
    <n v="7"/>
    <n v="27.97"/>
    <n v="0"/>
    <n v="195.79"/>
    <s v="2026-02"/>
    <s v="SKU-0119"/>
    <x v="14"/>
  </r>
  <r>
    <n v="399"/>
    <n v="1164"/>
    <n v="134"/>
    <n v="5"/>
    <n v="26.36"/>
    <n v="0"/>
    <n v="131.80000000000001"/>
    <s v="2026-02"/>
    <s v="SKU-0134"/>
    <x v="14"/>
  </r>
  <r>
    <n v="400"/>
    <n v="1165"/>
    <n v="91"/>
    <n v="2"/>
    <n v="170.65"/>
    <n v="0"/>
    <n v="341.3"/>
    <s v="2026-01"/>
    <s v="SKU-0091"/>
    <x v="18"/>
  </r>
  <r>
    <n v="401"/>
    <n v="1165"/>
    <n v="8"/>
    <n v="6"/>
    <n v="118.07"/>
    <n v="0"/>
    <n v="708.42"/>
    <s v="2026-01"/>
    <s v="SKU-0008"/>
    <x v="18"/>
  </r>
  <r>
    <n v="402"/>
    <n v="1165"/>
    <n v="147"/>
    <n v="7"/>
    <n v="133.41"/>
    <n v="0"/>
    <n v="933.87"/>
    <s v="2026-01"/>
    <s v="SKU-0147"/>
    <x v="18"/>
  </r>
  <r>
    <n v="403"/>
    <n v="1166"/>
    <n v="45"/>
    <n v="2"/>
    <n v="184.44"/>
    <n v="0"/>
    <n v="368.88"/>
    <s v="2026-04"/>
    <s v="SKU-0045"/>
    <x v="4"/>
  </r>
  <r>
    <n v="404"/>
    <n v="1166"/>
    <n v="52"/>
    <n v="2"/>
    <n v="59.3"/>
    <n v="0"/>
    <n v="118.6"/>
    <s v="2026-04"/>
    <s v="SKU-0052"/>
    <x v="4"/>
  </r>
  <r>
    <n v="405"/>
    <n v="1166"/>
    <n v="124"/>
    <n v="3"/>
    <n v="48.76"/>
    <n v="3.66"/>
    <n v="142.62"/>
    <s v="2026-04"/>
    <s v="SKU-0124"/>
    <x v="4"/>
  </r>
  <r>
    <n v="406"/>
    <n v="1167"/>
    <n v="2"/>
    <n v="5"/>
    <n v="135.25"/>
    <n v="0"/>
    <n v="676.25"/>
    <s v="2026-01"/>
    <s v="SKU-0002"/>
    <x v="18"/>
  </r>
  <r>
    <n v="407"/>
    <n v="1168"/>
    <n v="50"/>
    <n v="5"/>
    <n v="252.62"/>
    <n v="0"/>
    <n v="1263.0999999999999"/>
    <s v="2026-03"/>
    <s v="SKU-0050"/>
    <x v="1"/>
  </r>
  <r>
    <n v="408"/>
    <n v="1168"/>
    <n v="113"/>
    <n v="2"/>
    <n v="84.34"/>
    <n v="0"/>
    <n v="168.68"/>
    <s v="2026-03"/>
    <s v="SKU-0113"/>
    <x v="1"/>
  </r>
  <r>
    <n v="409"/>
    <n v="1169"/>
    <n v="73"/>
    <n v="4"/>
    <n v="134.83000000000001"/>
    <n v="0"/>
    <n v="539.32000000000005"/>
    <s v="2026-03"/>
    <s v="SKU-0073"/>
    <x v="12"/>
  </r>
  <r>
    <n v="410"/>
    <n v="1169"/>
    <n v="87"/>
    <n v="8"/>
    <n v="124.17"/>
    <n v="0"/>
    <n v="993.36"/>
    <s v="2026-03"/>
    <s v="SKU-0087"/>
    <x v="12"/>
  </r>
  <r>
    <n v="411"/>
    <n v="1170"/>
    <n v="51"/>
    <n v="2"/>
    <n v="204.07"/>
    <n v="14.63"/>
    <n v="393.51"/>
    <s v="2026-04"/>
    <s v="SKU-0051"/>
    <x v="11"/>
  </r>
  <r>
    <n v="412"/>
    <n v="1170"/>
    <n v="146"/>
    <n v="3"/>
    <n v="199.6"/>
    <n v="2.2999999999999998"/>
    <n v="596.5"/>
    <s v="2026-04"/>
    <s v="SKU-0146"/>
    <x v="11"/>
  </r>
  <r>
    <n v="413"/>
    <n v="1170"/>
    <n v="25"/>
    <n v="8"/>
    <n v="265.23"/>
    <n v="5.35"/>
    <n v="2116.4900000000002"/>
    <s v="2026-04"/>
    <s v="SKU-0025"/>
    <x v="11"/>
  </r>
  <r>
    <n v="414"/>
    <n v="1171"/>
    <n v="117"/>
    <n v="8"/>
    <n v="293.33"/>
    <n v="1.42"/>
    <n v="2345.2199999999998"/>
    <s v="2026-02"/>
    <s v="SKU-0117"/>
    <x v="14"/>
  </r>
  <r>
    <n v="415"/>
    <n v="1171"/>
    <n v="29"/>
    <n v="6"/>
    <n v="33.25"/>
    <n v="0"/>
    <n v="199.5"/>
    <s v="2026-02"/>
    <s v="SKU-0029"/>
    <x v="14"/>
  </r>
  <r>
    <n v="416"/>
    <n v="1171"/>
    <n v="73"/>
    <n v="6"/>
    <n v="134.83000000000001"/>
    <n v="0"/>
    <n v="808.98"/>
    <s v="2026-02"/>
    <s v="SKU-0073"/>
    <x v="14"/>
  </r>
  <r>
    <n v="417"/>
    <n v="1172"/>
    <n v="63"/>
    <n v="3"/>
    <n v="214.86"/>
    <n v="14.63"/>
    <n v="629.95000000000005"/>
    <s v="2026-04"/>
    <s v="SKU-0063"/>
    <x v="13"/>
  </r>
  <r>
    <n v="418"/>
    <n v="1172"/>
    <n v="17"/>
    <n v="6"/>
    <n v="299.3"/>
    <n v="3.92"/>
    <n v="1791.88"/>
    <s v="2026-04"/>
    <s v="SKU-0017"/>
    <x v="13"/>
  </r>
  <r>
    <n v="419"/>
    <n v="1173"/>
    <n v="84"/>
    <n v="2"/>
    <n v="150.28"/>
    <n v="0"/>
    <n v="300.56"/>
    <s v="2026-05"/>
    <s v="SKU-0084"/>
    <x v="15"/>
  </r>
  <r>
    <n v="420"/>
    <n v="1173"/>
    <n v="79"/>
    <n v="7"/>
    <n v="234.02"/>
    <n v="0"/>
    <n v="1638.14"/>
    <s v="2026-05"/>
    <s v="SKU-0079"/>
    <x v="15"/>
  </r>
  <r>
    <n v="421"/>
    <n v="1173"/>
    <n v="98"/>
    <n v="6"/>
    <n v="285.64"/>
    <n v="0"/>
    <n v="1713.84"/>
    <s v="2026-05"/>
    <s v="SKU-0098"/>
    <x v="15"/>
  </r>
  <r>
    <n v="422"/>
    <n v="1173"/>
    <n v="24"/>
    <n v="4"/>
    <n v="20.55"/>
    <n v="0"/>
    <n v="82.2"/>
    <s v="2026-05"/>
    <s v="SKU-0024"/>
    <x v="15"/>
  </r>
  <r>
    <n v="423"/>
    <n v="1174"/>
    <n v="112"/>
    <n v="6"/>
    <n v="154.88"/>
    <n v="0"/>
    <n v="929.28"/>
    <s v="2026-02"/>
    <s v="SKU-0112"/>
    <x v="5"/>
  </r>
  <r>
    <n v="424"/>
    <n v="1174"/>
    <n v="131"/>
    <n v="7"/>
    <n v="57.46"/>
    <n v="0"/>
    <n v="402.22"/>
    <s v="2026-02"/>
    <s v="SKU-0131"/>
    <x v="5"/>
  </r>
  <r>
    <n v="425"/>
    <n v="1174"/>
    <n v="16"/>
    <n v="6"/>
    <n v="168.61"/>
    <n v="0"/>
    <n v="1011.6600000000001"/>
    <s v="2026-02"/>
    <s v="SKU-0016"/>
    <x v="5"/>
  </r>
  <r>
    <n v="426"/>
    <n v="1175"/>
    <n v="98"/>
    <n v="7"/>
    <n v="285.64"/>
    <n v="0"/>
    <n v="1999.48"/>
    <s v="2026-04"/>
    <s v="SKU-0098"/>
    <x v="11"/>
  </r>
  <r>
    <n v="427"/>
    <n v="1175"/>
    <n v="45"/>
    <n v="8"/>
    <n v="184.44"/>
    <n v="2.95"/>
    <n v="1472.57"/>
    <s v="2026-04"/>
    <s v="SKU-0045"/>
    <x v="11"/>
  </r>
  <r>
    <n v="428"/>
    <n v="1175"/>
    <n v="93"/>
    <n v="7"/>
    <n v="277.07"/>
    <n v="0"/>
    <n v="1939.49"/>
    <s v="2026-04"/>
    <s v="SKU-0093"/>
    <x v="11"/>
  </r>
  <r>
    <n v="429"/>
    <n v="1176"/>
    <n v="109"/>
    <n v="3"/>
    <n v="257.52"/>
    <n v="7.36"/>
    <n v="765.19999999999993"/>
    <s v="2026-01"/>
    <s v="SKU-0109"/>
    <x v="0"/>
  </r>
  <r>
    <n v="430"/>
    <n v="1176"/>
    <n v="142"/>
    <n v="8"/>
    <n v="192.45"/>
    <n v="0"/>
    <n v="1539.6"/>
    <s v="2026-01"/>
    <s v="SKU-0142"/>
    <x v="0"/>
  </r>
  <r>
    <n v="431"/>
    <n v="1176"/>
    <n v="48"/>
    <n v="7"/>
    <n v="299.56"/>
    <n v="9.4600000000000009"/>
    <n v="2087.46"/>
    <s v="2026-01"/>
    <s v="SKU-0048"/>
    <x v="0"/>
  </r>
  <r>
    <n v="432"/>
    <n v="1176"/>
    <n v="61"/>
    <n v="5"/>
    <n v="293.22000000000003"/>
    <n v="0"/>
    <n v="1466.1000000000001"/>
    <s v="2026-01"/>
    <s v="SKU-0061"/>
    <x v="0"/>
  </r>
  <r>
    <n v="433"/>
    <n v="1177"/>
    <n v="120"/>
    <n v="2"/>
    <n v="229.55"/>
    <n v="0"/>
    <n v="459.1"/>
    <s v="2026-02"/>
    <s v="SKU-0120"/>
    <x v="10"/>
  </r>
  <r>
    <n v="434"/>
    <n v="1177"/>
    <n v="63"/>
    <n v="8"/>
    <n v="214.86"/>
    <n v="0"/>
    <n v="1718.88"/>
    <s v="2026-02"/>
    <s v="SKU-0063"/>
    <x v="10"/>
  </r>
  <r>
    <n v="435"/>
    <n v="1177"/>
    <n v="139"/>
    <n v="5"/>
    <n v="156.21"/>
    <n v="0"/>
    <n v="781.05000000000007"/>
    <s v="2026-02"/>
    <s v="SKU-0139"/>
    <x v="10"/>
  </r>
  <r>
    <n v="436"/>
    <n v="1178"/>
    <n v="78"/>
    <n v="5"/>
    <n v="71.75"/>
    <n v="1.86"/>
    <n v="356.89"/>
    <s v="2026-04"/>
    <s v="SKU-0078"/>
    <x v="12"/>
  </r>
  <r>
    <n v="437"/>
    <n v="1179"/>
    <n v="74"/>
    <n v="8"/>
    <n v="130.72999999999999"/>
    <n v="0"/>
    <n v="1045.8399999999999"/>
    <s v="2026-01"/>
    <s v="SKU0074"/>
    <x v="3"/>
  </r>
  <r>
    <n v="438"/>
    <n v="1180"/>
    <n v="95"/>
    <n v="3"/>
    <n v="75.319999999999993"/>
    <n v="0"/>
    <n v="225.95999999999998"/>
    <s v="2026-02"/>
    <s v="SKU-0095"/>
    <x v="9"/>
  </r>
  <r>
    <n v="439"/>
    <n v="1180"/>
    <n v="125"/>
    <n v="3"/>
    <n v="273.92"/>
    <n v="0"/>
    <n v="821.76"/>
    <s v="2026-02"/>
    <s v="SKU-0125"/>
    <x v="9"/>
  </r>
  <r>
    <n v="440"/>
    <n v="1180"/>
    <n v="88"/>
    <n v="2"/>
    <n v="109.3"/>
    <n v="0"/>
    <n v="218.6"/>
    <s v="2026-02"/>
    <s v="SKU-0088"/>
    <x v="9"/>
  </r>
  <r>
    <n v="441"/>
    <n v="1180"/>
    <n v="127"/>
    <n v="7"/>
    <n v="38.14"/>
    <n v="0"/>
    <n v="266.98"/>
    <s v="2026-02"/>
    <s v="SKU-0127"/>
    <x v="9"/>
  </r>
  <r>
    <n v="442"/>
    <n v="1181"/>
    <n v="122"/>
    <n v="5"/>
    <n v="151.15"/>
    <n v="0"/>
    <n v="755.75"/>
    <s v="2026-01"/>
    <s v="SKU-0122"/>
    <x v="17"/>
  </r>
  <r>
    <n v="443"/>
    <n v="1181"/>
    <n v="98"/>
    <n v="7"/>
    <n v="285.64"/>
    <n v="0"/>
    <n v="1999.48"/>
    <s v="2026-01"/>
    <s v="SKU-0098"/>
    <x v="17"/>
  </r>
  <r>
    <n v="444"/>
    <n v="1181"/>
    <n v="136"/>
    <n v="7"/>
    <n v="230.54"/>
    <n v="1.17"/>
    <n v="1612.61"/>
    <s v="2026-01"/>
    <s v="SKU-0136"/>
    <x v="17"/>
  </r>
  <r>
    <n v="445"/>
    <n v="1181"/>
    <n v="98"/>
    <n v="6"/>
    <n v="285.64"/>
    <n v="0"/>
    <n v="1713.84"/>
    <s v="2026-01"/>
    <s v="SKU-0098"/>
    <x v="17"/>
  </r>
  <r>
    <n v="446"/>
    <n v="1182"/>
    <n v="119"/>
    <n v="4"/>
    <n v="27.97"/>
    <n v="0"/>
    <n v="111.88"/>
    <s v="2026-03"/>
    <s v="SKU-0119"/>
    <x v="8"/>
  </r>
  <r>
    <n v="447"/>
    <n v="1182"/>
    <n v="134"/>
    <n v="6"/>
    <n v="26.36"/>
    <n v="0"/>
    <n v="158.16"/>
    <s v="2026-03"/>
    <s v="SKU-0134"/>
    <x v="8"/>
  </r>
  <r>
    <n v="448"/>
    <n v="1182"/>
    <n v="81"/>
    <n v="1"/>
    <n v="244.17"/>
    <n v="0"/>
    <n v="244.17"/>
    <s v="2026-03"/>
    <s v="SKU-0081"/>
    <x v="8"/>
  </r>
  <r>
    <n v="449"/>
    <n v="1182"/>
    <n v="4"/>
    <n v="7"/>
    <n v="94.28"/>
    <n v="0"/>
    <n v="659.96"/>
    <s v="2026-03"/>
    <s v="SKU-0004"/>
    <x v="8"/>
  </r>
  <r>
    <n v="450"/>
    <n v="1183"/>
    <n v="50"/>
    <n v="1"/>
    <n v="252.62"/>
    <n v="0"/>
    <n v="252.62"/>
    <s v="2026-03"/>
    <s v="SKU-0050"/>
    <x v="12"/>
  </r>
  <r>
    <n v="451"/>
    <n v="1183"/>
    <n v="15"/>
    <n v="4"/>
    <n v="198.21"/>
    <n v="0"/>
    <n v="792.84"/>
    <s v="2026-03"/>
    <s v="SKU-0015"/>
    <x v="12"/>
  </r>
  <r>
    <n v="452"/>
    <n v="1183"/>
    <n v="31"/>
    <n v="2"/>
    <n v="35.19"/>
    <n v="0"/>
    <n v="70.38"/>
    <s v="2026-03"/>
    <s v="SKU-0031"/>
    <x v="12"/>
  </r>
  <r>
    <n v="453"/>
    <n v="1184"/>
    <n v="71"/>
    <n v="7"/>
    <n v="277.42"/>
    <n v="0"/>
    <n v="1941.94"/>
    <s v="2026-03"/>
    <s v="SKU-0071"/>
    <x v="1"/>
  </r>
  <r>
    <n v="454"/>
    <n v="1184"/>
    <n v="66"/>
    <n v="3"/>
    <n v="94.55"/>
    <n v="0"/>
    <n v="283.64999999999998"/>
    <s v="2026-03"/>
    <s v="SKU-0066"/>
    <x v="1"/>
  </r>
  <r>
    <n v="455"/>
    <n v="1184"/>
    <n v="16"/>
    <n v="7"/>
    <n v="168.61"/>
    <n v="0"/>
    <n v="1180.27"/>
    <s v="2026-03"/>
    <s v="SKU-0016"/>
    <x v="1"/>
  </r>
  <r>
    <n v="456"/>
    <n v="1184"/>
    <n v="67"/>
    <n v="5"/>
    <n v="291.56"/>
    <n v="0"/>
    <n v="1457.8"/>
    <s v="2026-03"/>
    <s v="SKU-0067"/>
    <x v="1"/>
  </r>
  <r>
    <n v="457"/>
    <n v="1185"/>
    <n v="114"/>
    <n v="5"/>
    <n v="171.86"/>
    <n v="0"/>
    <n v="859.30000000000007"/>
    <s v="2026-04"/>
    <s v="SKU-0114"/>
    <x v="11"/>
  </r>
  <r>
    <n v="458"/>
    <n v="1186"/>
    <n v="101"/>
    <n v="1"/>
    <n v="45.81"/>
    <n v="8.2200000000000006"/>
    <n v="37.590000000000003"/>
    <s v="2026-04"/>
    <s v="SKU-0101"/>
    <x v="4"/>
  </r>
  <r>
    <n v="459"/>
    <n v="1186"/>
    <n v="123"/>
    <n v="7"/>
    <n v="210.64"/>
    <n v="0"/>
    <n v="1474.48"/>
    <s v="2026-04"/>
    <s v="SKU-0123"/>
    <x v="4"/>
  </r>
  <r>
    <n v="460"/>
    <n v="1186"/>
    <n v="139"/>
    <n v="4"/>
    <n v="156.21"/>
    <n v="1.05"/>
    <n v="623.79000000000008"/>
    <s v="2026-04"/>
    <s v="SKU-0139"/>
    <x v="4"/>
  </r>
  <r>
    <n v="461"/>
    <n v="1187"/>
    <n v="46"/>
    <n v="1"/>
    <n v="219.11"/>
    <n v="0"/>
    <n v="219.11"/>
    <s v="2026-03"/>
    <s v="SKU-0046"/>
    <x v="12"/>
  </r>
  <r>
    <n v="462"/>
    <n v="1187"/>
    <n v="77"/>
    <n v="7"/>
    <n v="195.39"/>
    <n v="0"/>
    <n v="1367.73"/>
    <s v="2026-03"/>
    <s v="SKU-0077"/>
    <x v="12"/>
  </r>
  <r>
    <n v="463"/>
    <n v="1188"/>
    <n v="128"/>
    <n v="8"/>
    <n v="143.38999999999999"/>
    <n v="0"/>
    <n v="1147.1199999999999"/>
    <s v="2026-03"/>
    <s v="SKU-0128"/>
    <x v="7"/>
  </r>
  <r>
    <n v="464"/>
    <n v="1188"/>
    <n v="10"/>
    <n v="6"/>
    <n v="144.22"/>
    <n v="0"/>
    <n v="865.31999999999994"/>
    <s v="2026-03"/>
    <s v="SKU-0010"/>
    <x v="7"/>
  </r>
  <r>
    <n v="465"/>
    <n v="1188"/>
    <n v="104"/>
    <n v="2"/>
    <n v="199.55"/>
    <n v="3.96"/>
    <n v="395.14000000000004"/>
    <s v="2026-03"/>
    <s v="SKU-0104"/>
    <x v="7"/>
  </r>
  <r>
    <n v="466"/>
    <n v="1189"/>
    <n v="63"/>
    <n v="3"/>
    <n v="214.86"/>
    <n v="0"/>
    <n v="644.58000000000004"/>
    <s v="2026-05"/>
    <s v="SKU-0063"/>
    <x v="15"/>
  </r>
  <r>
    <n v="467"/>
    <n v="1190"/>
    <n v="52"/>
    <n v="7"/>
    <n v="59.3"/>
    <n v="5.72"/>
    <n v="409.37999999999994"/>
    <s v="2026-05"/>
    <s v="SKU-0052"/>
    <x v="15"/>
  </r>
  <r>
    <n v="468"/>
    <n v="1191"/>
    <n v="37"/>
    <n v="7"/>
    <n v="258.95"/>
    <n v="0"/>
    <n v="1812.6499999999999"/>
    <s v="2026-02"/>
    <s v="SKU0037"/>
    <x v="9"/>
  </r>
  <r>
    <n v="469"/>
    <n v="1191"/>
    <n v="142"/>
    <n v="3"/>
    <n v="192.45"/>
    <n v="0"/>
    <n v="577.34999999999991"/>
    <s v="2026-02"/>
    <s v="SKU-0142"/>
    <x v="9"/>
  </r>
  <r>
    <n v="470"/>
    <n v="1191"/>
    <n v="35"/>
    <n v="2"/>
    <n v="46.14"/>
    <n v="12.07"/>
    <n v="80.210000000000008"/>
    <s v="2026-02"/>
    <s v="SKU-0035"/>
    <x v="9"/>
  </r>
  <r>
    <n v="471"/>
    <n v="1192"/>
    <n v="46"/>
    <n v="2"/>
    <n v="219.11"/>
    <n v="0"/>
    <n v="438.22"/>
    <s v="2026-01"/>
    <s v="SKU-0046"/>
    <x v="18"/>
  </r>
  <r>
    <n v="472"/>
    <n v="1193"/>
    <n v="47"/>
    <n v="8"/>
    <n v="100.5"/>
    <n v="0"/>
    <n v="804"/>
    <s v="2026-04"/>
    <s v="SKU-0047"/>
    <x v="13"/>
  </r>
  <r>
    <n v="473"/>
    <n v="1194"/>
    <n v="119"/>
    <n v="4"/>
    <n v="27.97"/>
    <n v="0"/>
    <n v="111.88"/>
    <s v="2026-01"/>
    <s v="SKU-0119"/>
    <x v="17"/>
  </r>
  <r>
    <n v="474"/>
    <n v="1194"/>
    <n v="29"/>
    <n v="3"/>
    <n v="33.25"/>
    <n v="10.59"/>
    <n v="89.16"/>
    <s v="2026-01"/>
    <s v="SKU-0029"/>
    <x v="17"/>
  </r>
  <r>
    <n v="475"/>
    <n v="1195"/>
    <n v="12"/>
    <n v="2"/>
    <n v="61.57"/>
    <n v="0"/>
    <n v="123.14"/>
    <s v="2026-02"/>
    <s v="SKU-0012"/>
    <x v="5"/>
  </r>
  <r>
    <n v="476"/>
    <n v="1195"/>
    <n v="41"/>
    <n v="1"/>
    <n v="153.69999999999999"/>
    <n v="0"/>
    <n v="153.69999999999999"/>
    <s v="2026-02"/>
    <s v="SKU-0041"/>
    <x v="5"/>
  </r>
  <r>
    <n v="477"/>
    <n v="1195"/>
    <n v="19"/>
    <n v="4"/>
    <n v="298.89"/>
    <n v="0"/>
    <n v="1195.56"/>
    <s v="2026-02"/>
    <s v="SKU-0019"/>
    <x v="5"/>
  </r>
  <r>
    <n v="478"/>
    <n v="1195"/>
    <n v="108"/>
    <n v="4"/>
    <n v="143.47999999999999"/>
    <n v="0"/>
    <n v="573.91999999999996"/>
    <s v="2026-02"/>
    <s v="SKU-0108"/>
    <x v="5"/>
  </r>
  <r>
    <n v="479"/>
    <n v="1196"/>
    <n v="14"/>
    <n v="7"/>
    <n v="33.86"/>
    <n v="3.03"/>
    <n v="233.98999999999998"/>
    <s v="2026-02"/>
    <s v="SKU-0014"/>
    <x v="5"/>
  </r>
  <r>
    <n v="480"/>
    <n v="1196"/>
    <n v="46"/>
    <n v="7"/>
    <n v="219.11"/>
    <n v="6.23"/>
    <n v="1527.54"/>
    <s v="2026-02"/>
    <s v="SKU-0046"/>
    <x v="5"/>
  </r>
  <r>
    <n v="481"/>
    <n v="1196"/>
    <n v="50"/>
    <n v="6"/>
    <n v="252.62"/>
    <n v="0"/>
    <n v="1515.72"/>
    <s v="2026-02"/>
    <s v="SKU-0050"/>
    <x v="5"/>
  </r>
  <r>
    <n v="482"/>
    <n v="1196"/>
    <n v="86"/>
    <n v="3"/>
    <n v="81.83"/>
    <n v="0"/>
    <n v="245.49"/>
    <s v="2026-02"/>
    <s v="SKU-0086"/>
    <x v="5"/>
  </r>
  <r>
    <n v="483"/>
    <n v="1197"/>
    <n v="148"/>
    <n v="4"/>
    <n v="124.32"/>
    <n v="2.21"/>
    <n v="495.07"/>
    <s v="2026-03"/>
    <s v="SKU0148"/>
    <x v="1"/>
  </r>
  <r>
    <n v="484"/>
    <n v="1197"/>
    <n v="56"/>
    <n v="8"/>
    <n v="172.23"/>
    <n v="0"/>
    <n v="1377.84"/>
    <s v="2026-03"/>
    <s v="SKU-0056"/>
    <x v="1"/>
  </r>
  <r>
    <n v="485"/>
    <n v="1198"/>
    <n v="107"/>
    <n v="1"/>
    <n v="223.34"/>
    <n v="1.56"/>
    <n v="221.78"/>
    <s v="2026-02"/>
    <s v="SKU-0107"/>
    <x v="5"/>
  </r>
  <r>
    <n v="486"/>
    <n v="1199"/>
    <n v="105"/>
    <n v="4"/>
    <n v="288.82"/>
    <n v="0"/>
    <n v="1155.28"/>
    <s v="2026-05"/>
    <s v="SKU-0105"/>
    <x v="15"/>
  </r>
  <r>
    <n v="487"/>
    <n v="1200"/>
    <n v="48"/>
    <n v="6"/>
    <n v="299.56"/>
    <n v="0"/>
    <n v="1797.3600000000001"/>
    <s v="2026-01"/>
    <s v="SKU-0048"/>
    <x v="18"/>
  </r>
  <r>
    <n v="488"/>
    <n v="1200"/>
    <n v="19"/>
    <n v="7"/>
    <n v="298.89"/>
    <n v="0"/>
    <n v="2092.23"/>
    <s v="2026-01"/>
    <s v="SKU-0019"/>
    <x v="18"/>
  </r>
  <r>
    <n v="489"/>
    <n v="1200"/>
    <n v="136"/>
    <n v="1"/>
    <n v="230.54"/>
    <n v="0"/>
    <n v="230.54"/>
    <s v="2026-01"/>
    <s v="SKU-0136"/>
    <x v="18"/>
  </r>
  <r>
    <n v="490"/>
    <n v="1200"/>
    <n v="139"/>
    <n v="4"/>
    <n v="156.21"/>
    <n v="0"/>
    <n v="624.84"/>
    <s v="2026-01"/>
    <s v="SKU-0139"/>
    <x v="18"/>
  </r>
  <r>
    <n v="491"/>
    <n v="1201"/>
    <n v="94"/>
    <n v="6"/>
    <n v="53.67"/>
    <n v="0"/>
    <n v="322.02"/>
    <s v="2026-04"/>
    <s v="SKU-0094"/>
    <x v="4"/>
  </r>
  <r>
    <n v="492"/>
    <n v="1202"/>
    <n v="123"/>
    <n v="4"/>
    <n v="210.64"/>
    <n v="0"/>
    <n v="842.56"/>
    <s v="2026-02"/>
    <s v="SKU-0123"/>
    <x v="5"/>
  </r>
  <r>
    <n v="493"/>
    <n v="1203"/>
    <n v="121"/>
    <n v="5"/>
    <n v="151.43"/>
    <n v="0"/>
    <n v="757.15000000000009"/>
    <s v="2026-03"/>
    <s v="SKU-0121"/>
    <x v="12"/>
  </r>
  <r>
    <n v="494"/>
    <n v="1204"/>
    <n v="71"/>
    <n v="2"/>
    <n v="277.42"/>
    <n v="10.76"/>
    <n v="544.08000000000004"/>
    <s v="2026-02"/>
    <s v="SKU-0071"/>
    <x v="14"/>
  </r>
  <r>
    <n v="495"/>
    <n v="1204"/>
    <n v="39"/>
    <n v="4"/>
    <n v="129.30000000000001"/>
    <n v="0"/>
    <n v="517.20000000000005"/>
    <s v="2026-02"/>
    <s v="SKU-0039"/>
    <x v="14"/>
  </r>
  <r>
    <n v="496"/>
    <n v="1205"/>
    <n v="6"/>
    <n v="5"/>
    <n v="256.54000000000002"/>
    <n v="0"/>
    <n v="1282.7"/>
    <s v="2026-02"/>
    <s v="SKU-0006"/>
    <x v="10"/>
  </r>
  <r>
    <n v="497"/>
    <n v="1205"/>
    <n v="60"/>
    <n v="6"/>
    <n v="115.8"/>
    <n v="0"/>
    <n v="694.8"/>
    <s v="2026-02"/>
    <s v="SKU-0060"/>
    <x v="10"/>
  </r>
  <r>
    <n v="498"/>
    <n v="1205"/>
    <n v="84"/>
    <n v="8"/>
    <n v="150.28"/>
    <n v="9.31"/>
    <n v="1192.93"/>
    <s v="2026-02"/>
    <s v="SKU-0084"/>
    <x v="10"/>
  </r>
  <r>
    <n v="499"/>
    <n v="1205"/>
    <n v="118"/>
    <n v="5"/>
    <n v="150.47"/>
    <n v="0"/>
    <n v="752.35"/>
    <s v="2026-02"/>
    <s v="SKU-0118"/>
    <x v="10"/>
  </r>
  <r>
    <n v="500"/>
    <n v="1206"/>
    <n v="138"/>
    <n v="5"/>
    <n v="106.5"/>
    <n v="0"/>
    <n v="532.5"/>
    <s v="2026-03"/>
    <s v="SKU-0138"/>
    <x v="8"/>
  </r>
  <r>
    <n v="501"/>
    <n v="1206"/>
    <n v="40"/>
    <n v="3"/>
    <n v="90.58"/>
    <n v="0"/>
    <n v="271.74"/>
    <s v="2026-03"/>
    <s v="SKU-0040"/>
    <x v="8"/>
  </r>
  <r>
    <n v="502"/>
    <n v="1207"/>
    <n v="137"/>
    <n v="5"/>
    <n v="181.82"/>
    <n v="0"/>
    <n v="909.09999999999991"/>
    <s v="2026-03"/>
    <s v="SKU-0137"/>
    <x v="12"/>
  </r>
  <r>
    <n v="503"/>
    <n v="1207"/>
    <n v="104"/>
    <n v="8"/>
    <n v="199.55"/>
    <n v="11.76"/>
    <n v="1584.64"/>
    <s v="2026-03"/>
    <s v="SKU-0104"/>
    <x v="12"/>
  </r>
  <r>
    <n v="504"/>
    <n v="1208"/>
    <n v="145"/>
    <n v="8"/>
    <n v="172.39"/>
    <n v="0"/>
    <n v="1379.12"/>
    <s v="2026-05"/>
    <s v="SKU-0145"/>
    <x v="13"/>
  </r>
  <r>
    <n v="505"/>
    <n v="1208"/>
    <n v="123"/>
    <n v="1"/>
    <n v="210.64"/>
    <n v="0"/>
    <n v="210.64"/>
    <s v="2026-05"/>
    <s v="SKU-0123"/>
    <x v="13"/>
  </r>
  <r>
    <n v="506"/>
    <n v="1209"/>
    <n v="24"/>
    <n v="6"/>
    <n v="20.55"/>
    <n v="0"/>
    <n v="123.30000000000001"/>
    <s v="2026-04"/>
    <s v="SKU-0024"/>
    <x v="2"/>
  </r>
  <r>
    <n v="507"/>
    <n v="1209"/>
    <n v="150"/>
    <n v="4"/>
    <n v="100.09"/>
    <n v="0"/>
    <n v="400.36"/>
    <s v="2026-04"/>
    <s v="SKU-0150"/>
    <x v="2"/>
  </r>
  <r>
    <n v="508"/>
    <n v="1209"/>
    <n v="51"/>
    <n v="1"/>
    <n v="204.07"/>
    <n v="2.17"/>
    <n v="201.9"/>
    <s v="2026-04"/>
    <s v="SKU-0051"/>
    <x v="2"/>
  </r>
  <r>
    <n v="509"/>
    <n v="1210"/>
    <n v="38"/>
    <n v="7"/>
    <n v="256.88"/>
    <n v="0"/>
    <n v="1798.1599999999999"/>
    <s v="2026-05"/>
    <s v="SKU-0038"/>
    <x v="16"/>
  </r>
  <r>
    <n v="510"/>
    <n v="1210"/>
    <n v="4"/>
    <n v="5"/>
    <n v="94.28"/>
    <n v="0"/>
    <n v="471.4"/>
    <s v="2026-05"/>
    <s v="SKU-0004"/>
    <x v="16"/>
  </r>
  <r>
    <n v="511"/>
    <n v="1210"/>
    <n v="115"/>
    <n v="2"/>
    <n v="80.7"/>
    <n v="4.0199999999999996"/>
    <n v="157.38"/>
    <s v="2026-05"/>
    <s v="SKU-0115"/>
    <x v="16"/>
  </r>
  <r>
    <n v="512"/>
    <n v="1210"/>
    <n v="107"/>
    <n v="8"/>
    <n v="223.34"/>
    <n v="5.04"/>
    <n v="1781.68"/>
    <s v="2026-05"/>
    <s v="SKU-0107"/>
    <x v="16"/>
  </r>
  <r>
    <n v="513"/>
    <n v="1211"/>
    <n v="2"/>
    <n v="7"/>
    <n v="135.25"/>
    <n v="0"/>
    <n v="946.75"/>
    <s v="2026-03"/>
    <s v="SKU-0002"/>
    <x v="6"/>
  </r>
  <r>
    <n v="514"/>
    <n v="1212"/>
    <n v="78"/>
    <n v="5"/>
    <n v="71.75"/>
    <n v="7.92"/>
    <n v="350.83"/>
    <s v="2026-04"/>
    <s v="SKU-0078"/>
    <x v="4"/>
  </r>
  <r>
    <n v="515"/>
    <n v="1213"/>
    <n v="32"/>
    <n v="5"/>
    <n v="221.16"/>
    <n v="6.84"/>
    <n v="1098.96"/>
    <s v="2026-01"/>
    <s v="SKU-0032"/>
    <x v="19"/>
  </r>
  <r>
    <n v="516"/>
    <n v="1213"/>
    <n v="63"/>
    <n v="1"/>
    <n v="214.86"/>
    <n v="0"/>
    <n v="214.86"/>
    <s v="2026-01"/>
    <s v="SKU-0063"/>
    <x v="19"/>
  </r>
  <r>
    <n v="517"/>
    <n v="1213"/>
    <n v="127"/>
    <n v="2"/>
    <n v="38.14"/>
    <n v="0"/>
    <n v="76.28"/>
    <s v="2026-01"/>
    <s v="SKU-0127"/>
    <x v="19"/>
  </r>
  <r>
    <n v="518"/>
    <n v="1213"/>
    <n v="149"/>
    <n v="8"/>
    <n v="258.51"/>
    <n v="0"/>
    <n v="2068.08"/>
    <s v="2026-01"/>
    <s v="SKU-0149"/>
    <x v="19"/>
  </r>
  <r>
    <n v="519"/>
    <n v="1214"/>
    <n v="119"/>
    <n v="3"/>
    <n v="27.97"/>
    <n v="0"/>
    <n v="83.91"/>
    <s v="2026-02"/>
    <s v="SKU-0119"/>
    <x v="9"/>
  </r>
  <r>
    <n v="520"/>
    <n v="1214"/>
    <n v="70"/>
    <n v="6"/>
    <n v="244.86"/>
    <n v="0"/>
    <n v="1469.16"/>
    <s v="2026-02"/>
    <s v="SKU-0070"/>
    <x v="9"/>
  </r>
  <r>
    <n v="521"/>
    <n v="1214"/>
    <n v="13"/>
    <n v="5"/>
    <n v="236.16"/>
    <n v="0"/>
    <n v="1180.8"/>
    <s v="2026-02"/>
    <s v="SKU-0013"/>
    <x v="9"/>
  </r>
  <r>
    <n v="522"/>
    <n v="1215"/>
    <n v="25"/>
    <n v="6"/>
    <n v="265.23"/>
    <n v="0"/>
    <n v="1591.38"/>
    <s v="2026-03"/>
    <s v="SKU-0025"/>
    <x v="1"/>
  </r>
  <r>
    <n v="523"/>
    <n v="1215"/>
    <n v="36"/>
    <n v="5"/>
    <n v="94.39"/>
    <n v="6.22"/>
    <n v="465.72999999999996"/>
    <s v="2026-03"/>
    <s v="SKU-0036"/>
    <x v="1"/>
  </r>
  <r>
    <n v="524"/>
    <n v="1215"/>
    <n v="106"/>
    <n v="6"/>
    <n v="65.2"/>
    <n v="0"/>
    <n v="391.20000000000005"/>
    <s v="2026-03"/>
    <s v="SKU-0106"/>
    <x v="1"/>
  </r>
  <r>
    <n v="525"/>
    <n v="1216"/>
    <n v="123"/>
    <n v="6"/>
    <n v="210.64"/>
    <n v="0"/>
    <n v="1263.8399999999999"/>
    <s v="2026-04"/>
    <s v="SKU-0123"/>
    <x v="13"/>
  </r>
  <r>
    <n v="526"/>
    <n v="1217"/>
    <n v="59"/>
    <n v="5"/>
    <n v="48.83"/>
    <n v="0"/>
    <n v="244.14999999999998"/>
    <s v="2026-01"/>
    <s v="SKU-0059"/>
    <x v="17"/>
  </r>
  <r>
    <n v="527"/>
    <n v="1217"/>
    <n v="109"/>
    <n v="2"/>
    <n v="257.52"/>
    <n v="2.09"/>
    <n v="512.94999999999993"/>
    <s v="2026-01"/>
    <s v="SKU-0109"/>
    <x v="17"/>
  </r>
  <r>
    <n v="528"/>
    <n v="1218"/>
    <n v="3"/>
    <n v="2"/>
    <n v="22.56"/>
    <n v="0"/>
    <n v="45.12"/>
    <s v="2026-01"/>
    <s v="SKU-0003"/>
    <x v="17"/>
  </r>
  <r>
    <n v="529"/>
    <n v="1218"/>
    <n v="52"/>
    <n v="3"/>
    <n v="59.3"/>
    <n v="0"/>
    <n v="177.89999999999998"/>
    <s v="2026-01"/>
    <s v="SKU-0052"/>
    <x v="17"/>
  </r>
  <r>
    <n v="530"/>
    <n v="1218"/>
    <n v="24"/>
    <n v="3"/>
    <n v="20.55"/>
    <n v="0"/>
    <n v="61.650000000000006"/>
    <s v="2026-01"/>
    <s v="SKU-0024"/>
    <x v="17"/>
  </r>
  <r>
    <n v="531"/>
    <n v="1219"/>
    <n v="130"/>
    <n v="2"/>
    <n v="193.14"/>
    <n v="0"/>
    <n v="386.28"/>
    <s v="2026-03"/>
    <s v="SKU-0130"/>
    <x v="12"/>
  </r>
  <r>
    <n v="532"/>
    <n v="1219"/>
    <n v="136"/>
    <n v="4"/>
    <n v="230.54"/>
    <n v="0"/>
    <n v="922.16"/>
    <s v="2026-03"/>
    <s v="SKU-0136"/>
    <x v="12"/>
  </r>
  <r>
    <n v="533"/>
    <n v="1220"/>
    <n v="91"/>
    <n v="7"/>
    <n v="170.65"/>
    <n v="0"/>
    <n v="1194.55"/>
    <s v="2026-02"/>
    <s v="SKU-0091"/>
    <x v="14"/>
  </r>
  <r>
    <n v="534"/>
    <n v="1220"/>
    <n v="105"/>
    <n v="2"/>
    <n v="288.82"/>
    <n v="0"/>
    <n v="577.64"/>
    <s v="2026-02"/>
    <s v="SKU-0105"/>
    <x v="14"/>
  </r>
  <r>
    <n v="535"/>
    <n v="1221"/>
    <n v="99"/>
    <n v="5"/>
    <n v="50.97"/>
    <n v="0"/>
    <n v="254.85"/>
    <s v="2026-01"/>
    <s v="SKU-0099"/>
    <x v="3"/>
  </r>
  <r>
    <n v="536"/>
    <n v="1222"/>
    <n v="126"/>
    <n v="2"/>
    <n v="32.17"/>
    <n v="0"/>
    <n v="64.34"/>
    <s v="2026-05"/>
    <s v="SKU-0126"/>
    <x v="13"/>
  </r>
  <r>
    <n v="537"/>
    <n v="1223"/>
    <n v="32"/>
    <n v="4"/>
    <n v="221.16"/>
    <n v="12.73"/>
    <n v="871.91"/>
    <s v="2026-04"/>
    <s v="SKU-0032"/>
    <x v="12"/>
  </r>
  <r>
    <n v="538"/>
    <n v="1223"/>
    <n v="72"/>
    <n v="5"/>
    <n v="205.06"/>
    <n v="11.59"/>
    <n v="1013.7099999999999"/>
    <s v="2026-04"/>
    <s v="SKU-0072"/>
    <x v="12"/>
  </r>
  <r>
    <n v="539"/>
    <n v="1223"/>
    <n v="92"/>
    <n v="8"/>
    <n v="23.27"/>
    <n v="10.33"/>
    <n v="175.82999999999998"/>
    <s v="2026-04"/>
    <s v="SKU-0092"/>
    <x v="12"/>
  </r>
  <r>
    <n v="540"/>
    <n v="1223"/>
    <n v="125"/>
    <n v="5"/>
    <n v="273.92"/>
    <n v="3.06"/>
    <n v="1366.5400000000002"/>
    <s v="2026-04"/>
    <s v="SKU-0125"/>
    <x v="12"/>
  </r>
  <r>
    <n v="541"/>
    <n v="1224"/>
    <n v="46"/>
    <n v="7"/>
    <n v="219.11"/>
    <n v="0"/>
    <n v="1533.77"/>
    <s v="2026-01"/>
    <s v="SKU-0046"/>
    <x v="3"/>
  </r>
  <r>
    <n v="542"/>
    <n v="1225"/>
    <n v="130"/>
    <n v="5"/>
    <n v="193.14"/>
    <n v="0"/>
    <n v="965.69999999999993"/>
    <s v="2026-02"/>
    <s v="SKU-0130"/>
    <x v="14"/>
  </r>
  <r>
    <n v="543"/>
    <n v="1225"/>
    <n v="9"/>
    <n v="7"/>
    <n v="235.32"/>
    <n v="0"/>
    <n v="1647.24"/>
    <s v="2026-02"/>
    <s v="SKU-0009"/>
    <x v="14"/>
  </r>
  <r>
    <n v="544"/>
    <n v="1225"/>
    <n v="99"/>
    <n v="8"/>
    <n v="50.97"/>
    <n v="5.4"/>
    <n v="402.36"/>
    <s v="2026-02"/>
    <s v="SKU-0099"/>
    <x v="14"/>
  </r>
  <r>
    <n v="545"/>
    <n v="1225"/>
    <n v="114"/>
    <n v="8"/>
    <n v="171.86"/>
    <n v="0"/>
    <n v="1374.88"/>
    <s v="2026-02"/>
    <s v="SKU-0114"/>
    <x v="14"/>
  </r>
  <r>
    <n v="546"/>
    <n v="1226"/>
    <n v="35"/>
    <n v="5"/>
    <n v="46.14"/>
    <n v="11.02"/>
    <n v="219.67999999999998"/>
    <s v="2026-03"/>
    <s v="SKU-0035"/>
    <x v="1"/>
  </r>
  <r>
    <n v="547"/>
    <n v="1226"/>
    <n v="29"/>
    <n v="8"/>
    <n v="33.25"/>
    <n v="10.24"/>
    <n v="255.76"/>
    <s v="2026-03"/>
    <s v="SKU-0029"/>
    <x v="1"/>
  </r>
  <r>
    <n v="548"/>
    <n v="1226"/>
    <n v="122"/>
    <n v="3"/>
    <n v="151.15"/>
    <n v="8.09"/>
    <n v="445.36000000000007"/>
    <s v="2026-03"/>
    <s v="SKU-0122"/>
    <x v="1"/>
  </r>
  <r>
    <n v="549"/>
    <n v="1226"/>
    <n v="68"/>
    <n v="8"/>
    <n v="138.85"/>
    <n v="9.27"/>
    <n v="1101.53"/>
    <s v="2026-03"/>
    <s v="SKU-0068"/>
    <x v="1"/>
  </r>
  <r>
    <n v="550"/>
    <n v="1227"/>
    <n v="88"/>
    <n v="7"/>
    <n v="109.3"/>
    <n v="0"/>
    <n v="765.1"/>
    <s v="2026-01"/>
    <s v="SKU-0088"/>
    <x v="3"/>
  </r>
  <r>
    <n v="551"/>
    <n v="1228"/>
    <n v="87"/>
    <n v="3"/>
    <n v="124.17"/>
    <n v="0"/>
    <n v="372.51"/>
    <s v="2026-01"/>
    <s v="SKU-0087"/>
    <x v="0"/>
  </r>
  <r>
    <n v="552"/>
    <n v="1229"/>
    <n v="83"/>
    <n v="2"/>
    <n v="269.23"/>
    <n v="0"/>
    <n v="538.46"/>
    <s v="2026-01"/>
    <s v="SKU-0083"/>
    <x v="18"/>
  </r>
  <r>
    <n v="553"/>
    <n v="1229"/>
    <n v="53"/>
    <n v="6"/>
    <n v="73.03"/>
    <n v="0"/>
    <n v="438.18"/>
    <s v="2026-01"/>
    <s v="SKU-0053"/>
    <x v="18"/>
  </r>
  <r>
    <n v="554"/>
    <n v="1229"/>
    <n v="43"/>
    <n v="5"/>
    <n v="277.02999999999997"/>
    <n v="6.09"/>
    <n v="1379.06"/>
    <s v="2026-01"/>
    <s v="SKU-0043"/>
    <x v="18"/>
  </r>
  <r>
    <n v="555"/>
    <n v="1229"/>
    <n v="52"/>
    <n v="8"/>
    <n v="59.3"/>
    <n v="0"/>
    <n v="474.4"/>
    <s v="2026-01"/>
    <s v="SKU-0052"/>
    <x v="18"/>
  </r>
  <r>
    <n v="556"/>
    <n v="1230"/>
    <n v="147"/>
    <n v="7"/>
    <n v="133.41"/>
    <n v="0"/>
    <n v="933.87"/>
    <s v="2026-02"/>
    <s v="SKU-0147"/>
    <x v="5"/>
  </r>
  <r>
    <n v="557"/>
    <n v="1230"/>
    <n v="149"/>
    <n v="2"/>
    <n v="258.51"/>
    <n v="0"/>
    <n v="517.02"/>
    <s v="2026-02"/>
    <s v="SKU-0149"/>
    <x v="5"/>
  </r>
  <r>
    <n v="558"/>
    <n v="1230"/>
    <n v="18"/>
    <n v="8"/>
    <n v="60.59"/>
    <n v="0"/>
    <n v="484.72"/>
    <s v="2026-02"/>
    <s v="SKU-0018"/>
    <x v="5"/>
  </r>
  <r>
    <n v="559"/>
    <n v="1231"/>
    <n v="52"/>
    <n v="7"/>
    <n v="59.3"/>
    <n v="6.63"/>
    <n v="408.46999999999997"/>
    <s v="2026-03"/>
    <s v="SKU-0052"/>
    <x v="1"/>
  </r>
  <r>
    <n v="560"/>
    <n v="1231"/>
    <n v="141"/>
    <n v="3"/>
    <n v="15.33"/>
    <n v="0"/>
    <n v="45.99"/>
    <s v="2026-03"/>
    <s v="SKU-0141"/>
    <x v="1"/>
  </r>
  <r>
    <n v="561"/>
    <n v="1231"/>
    <n v="148"/>
    <n v="8"/>
    <n v="124.32"/>
    <n v="3.98"/>
    <n v="990.57999999999993"/>
    <s v="2026-03"/>
    <s v="SKU0148"/>
    <x v="1"/>
  </r>
  <r>
    <n v="562"/>
    <n v="1232"/>
    <n v="39"/>
    <n v="5"/>
    <n v="129.30000000000001"/>
    <n v="12.82"/>
    <n v="633.67999999999995"/>
    <s v="2026-02"/>
    <s v="SKU-0039"/>
    <x v="14"/>
  </r>
  <r>
    <n v="563"/>
    <n v="1232"/>
    <n v="82"/>
    <n v="2"/>
    <n v="243.4"/>
    <n v="9.8699999999999992"/>
    <n v="476.93"/>
    <s v="2026-02"/>
    <s v="SKU-0082"/>
    <x v="14"/>
  </r>
  <r>
    <n v="564"/>
    <n v="1233"/>
    <n v="104"/>
    <n v="4"/>
    <n v="199.55"/>
    <n v="0"/>
    <n v="798.2"/>
    <s v="2026-03"/>
    <s v="SKU-0104"/>
    <x v="1"/>
  </r>
  <r>
    <n v="565"/>
    <n v="1233"/>
    <n v="8"/>
    <n v="4"/>
    <n v="118.07"/>
    <n v="0"/>
    <n v="472.28"/>
    <s v="2026-03"/>
    <s v="SKU-0008"/>
    <x v="1"/>
  </r>
  <r>
    <n v="566"/>
    <n v="1234"/>
    <n v="141"/>
    <n v="3"/>
    <n v="15.33"/>
    <n v="0"/>
    <n v="45.99"/>
    <s v="2026-03"/>
    <s v="SKU-0141"/>
    <x v="8"/>
  </r>
  <r>
    <n v="567"/>
    <n v="1234"/>
    <n v="125"/>
    <n v="1"/>
    <n v="273.92"/>
    <n v="0"/>
    <n v="273.92"/>
    <s v="2026-03"/>
    <s v="SKU-0125"/>
    <x v="8"/>
  </r>
  <r>
    <n v="568"/>
    <n v="1234"/>
    <n v="81"/>
    <n v="5"/>
    <n v="244.17"/>
    <n v="13.14"/>
    <n v="1207.7099999999998"/>
    <s v="2026-03"/>
    <s v="SKU-0081"/>
    <x v="8"/>
  </r>
  <r>
    <n v="569"/>
    <n v="1235"/>
    <n v="128"/>
    <n v="2"/>
    <n v="143.38999999999999"/>
    <n v="0"/>
    <n v="286.77999999999997"/>
    <s v="2026-05"/>
    <s v="SKU-0128"/>
    <x v="15"/>
  </r>
  <r>
    <n v="570"/>
    <n v="1235"/>
    <n v="81"/>
    <n v="6"/>
    <n v="244.17"/>
    <n v="12.65"/>
    <n v="1452.37"/>
    <s v="2026-05"/>
    <s v="SKU-0081"/>
    <x v="15"/>
  </r>
  <r>
    <n v="571"/>
    <n v="1235"/>
    <n v="61"/>
    <n v="7"/>
    <n v="293.22000000000003"/>
    <n v="0"/>
    <n v="2052.54"/>
    <s v="2026-05"/>
    <s v="SKU-0061"/>
    <x v="15"/>
  </r>
  <r>
    <n v="572"/>
    <n v="1236"/>
    <n v="122"/>
    <n v="4"/>
    <n v="151.15"/>
    <n v="0"/>
    <n v="604.6"/>
    <s v="2026-04"/>
    <s v="SKU-0122"/>
    <x v="4"/>
  </r>
  <r>
    <n v="573"/>
    <n v="1236"/>
    <n v="93"/>
    <n v="8"/>
    <n v="277.07"/>
    <n v="0"/>
    <n v="2216.56"/>
    <s v="2026-04"/>
    <s v="SKU-0093"/>
    <x v="4"/>
  </r>
  <r>
    <n v="574"/>
    <n v="1236"/>
    <n v="6"/>
    <n v="1"/>
    <n v="256.54000000000002"/>
    <n v="0"/>
    <n v="256.54000000000002"/>
    <s v="2026-04"/>
    <s v="SKU-0006"/>
    <x v="4"/>
  </r>
  <r>
    <n v="575"/>
    <n v="1236"/>
    <n v="62"/>
    <n v="5"/>
    <n v="109.67"/>
    <n v="0"/>
    <n v="548.35"/>
    <s v="2026-04"/>
    <s v="SKU-0062"/>
    <x v="4"/>
  </r>
  <r>
    <n v="576"/>
    <n v="1237"/>
    <n v="24"/>
    <n v="4"/>
    <n v="20.55"/>
    <n v="0"/>
    <n v="82.2"/>
    <s v="2026-04"/>
    <s v="SKU-0024"/>
    <x v="4"/>
  </r>
  <r>
    <n v="577"/>
    <n v="1237"/>
    <n v="113"/>
    <n v="6"/>
    <n v="84.34"/>
    <n v="13.31"/>
    <n v="492.73"/>
    <s v="2026-04"/>
    <s v="SKU-0113"/>
    <x v="4"/>
  </r>
  <r>
    <n v="578"/>
    <n v="1237"/>
    <n v="9"/>
    <n v="5"/>
    <n v="235.32"/>
    <n v="13.13"/>
    <n v="1163.4699999999998"/>
    <s v="2026-04"/>
    <s v="SKU-0009"/>
    <x v="4"/>
  </r>
  <r>
    <n v="579"/>
    <n v="1238"/>
    <n v="141"/>
    <n v="6"/>
    <n v="15.33"/>
    <n v="0"/>
    <n v="91.98"/>
    <s v="2026-03"/>
    <s v="SKU-0141"/>
    <x v="8"/>
  </r>
  <r>
    <n v="580"/>
    <n v="1238"/>
    <n v="14"/>
    <n v="3"/>
    <n v="33.86"/>
    <n v="0"/>
    <n v="101.58"/>
    <s v="2026-03"/>
    <s v="SKU-0014"/>
    <x v="8"/>
  </r>
  <r>
    <n v="581"/>
    <n v="1238"/>
    <n v="1"/>
    <n v="7"/>
    <n v="84.79"/>
    <n v="0"/>
    <n v="593.53000000000009"/>
    <s v="2026-03"/>
    <s v="SKU-0001"/>
    <x v="8"/>
  </r>
  <r>
    <n v="582"/>
    <n v="1238"/>
    <n v="81"/>
    <n v="2"/>
    <n v="244.17"/>
    <n v="0"/>
    <n v="488.34"/>
    <s v="2026-03"/>
    <s v="SKU-0081"/>
    <x v="8"/>
  </r>
  <r>
    <n v="583"/>
    <n v="1239"/>
    <n v="73"/>
    <n v="4"/>
    <n v="134.83000000000001"/>
    <n v="0"/>
    <n v="539.32000000000005"/>
    <s v="2026-02"/>
    <s v="SKU-0073"/>
    <x v="10"/>
  </r>
  <r>
    <n v="584"/>
    <n v="1239"/>
    <n v="47"/>
    <n v="7"/>
    <n v="100.5"/>
    <n v="0"/>
    <n v="703.5"/>
    <s v="2026-02"/>
    <s v="SKU-0047"/>
    <x v="10"/>
  </r>
  <r>
    <n v="585"/>
    <n v="1239"/>
    <n v="6"/>
    <n v="1"/>
    <n v="256.54000000000002"/>
    <n v="0"/>
    <n v="256.54000000000002"/>
    <s v="2026-02"/>
    <s v="SKU-0006"/>
    <x v="10"/>
  </r>
  <r>
    <n v="586"/>
    <n v="1240"/>
    <n v="13"/>
    <n v="7"/>
    <n v="236.16"/>
    <n v="0"/>
    <n v="1653.12"/>
    <s v="2026-04"/>
    <s v="SKU-0013"/>
    <x v="13"/>
  </r>
  <r>
    <n v="587"/>
    <n v="1240"/>
    <n v="39"/>
    <n v="2"/>
    <n v="129.30000000000001"/>
    <n v="0"/>
    <n v="258.60000000000002"/>
    <s v="2026-04"/>
    <s v="SKU-0039"/>
    <x v="13"/>
  </r>
  <r>
    <n v="588"/>
    <n v="1241"/>
    <n v="74"/>
    <n v="8"/>
    <n v="130.72999999999999"/>
    <n v="6.35"/>
    <n v="1039.49"/>
    <s v="2026-02"/>
    <s v="SKU0074"/>
    <x v="5"/>
  </r>
  <r>
    <n v="589"/>
    <n v="1241"/>
    <n v="53"/>
    <n v="4"/>
    <n v="73.03"/>
    <n v="0"/>
    <n v="292.12"/>
    <s v="2026-02"/>
    <s v="SKU-0053"/>
    <x v="5"/>
  </r>
  <r>
    <n v="590"/>
    <n v="1241"/>
    <n v="49"/>
    <n v="7"/>
    <n v="280.98"/>
    <n v="0"/>
    <n v="1966.8600000000001"/>
    <s v="2026-02"/>
    <s v="SKU-0049"/>
    <x v="5"/>
  </r>
  <r>
    <n v="591"/>
    <n v="1242"/>
    <n v="83"/>
    <n v="7"/>
    <n v="269.23"/>
    <n v="10.62"/>
    <n v="1873.9900000000002"/>
    <s v="2026-04"/>
    <s v="SKU-0083"/>
    <x v="13"/>
  </r>
  <r>
    <n v="592"/>
    <n v="1242"/>
    <n v="109"/>
    <n v="5"/>
    <n v="257.52"/>
    <n v="0"/>
    <n v="1287.5999999999999"/>
    <s v="2026-04"/>
    <s v="SKU-0109"/>
    <x v="13"/>
  </r>
  <r>
    <n v="593"/>
    <n v="1243"/>
    <n v="102"/>
    <n v="6"/>
    <n v="71.52"/>
    <n v="0"/>
    <n v="429.12"/>
    <s v="2026-03"/>
    <s v="SKU-0102"/>
    <x v="7"/>
  </r>
  <r>
    <n v="594"/>
    <n v="1243"/>
    <n v="149"/>
    <n v="3"/>
    <n v="258.51"/>
    <n v="4.6399999999999997"/>
    <n v="770.89"/>
    <s v="2026-03"/>
    <s v="SKU-0149"/>
    <x v="7"/>
  </r>
  <r>
    <n v="595"/>
    <n v="1243"/>
    <n v="87"/>
    <n v="8"/>
    <n v="124.17"/>
    <n v="0"/>
    <n v="993.36"/>
    <s v="2026-03"/>
    <s v="SKU-0087"/>
    <x v="7"/>
  </r>
  <r>
    <n v="596"/>
    <n v="1244"/>
    <n v="133"/>
    <n v="6"/>
    <n v="214.42"/>
    <n v="0"/>
    <n v="1286.52"/>
    <s v="2026-04"/>
    <s v="SKU-0133"/>
    <x v="12"/>
  </r>
  <r>
    <n v="597"/>
    <n v="1244"/>
    <n v="81"/>
    <n v="8"/>
    <n v="244.17"/>
    <n v="0"/>
    <n v="1953.36"/>
    <s v="2026-04"/>
    <s v="SKU-0081"/>
    <x v="12"/>
  </r>
  <r>
    <n v="598"/>
    <n v="1244"/>
    <n v="143"/>
    <n v="8"/>
    <n v="171.53"/>
    <n v="0"/>
    <n v="1372.24"/>
    <s v="2026-04"/>
    <s v="SKU-0143"/>
    <x v="12"/>
  </r>
  <r>
    <n v="599"/>
    <n v="1245"/>
    <n v="144"/>
    <n v="8"/>
    <n v="194.56"/>
    <n v="0"/>
    <n v="1556.48"/>
    <s v="2026-01"/>
    <s v="SKU-0144"/>
    <x v="17"/>
  </r>
  <r>
    <n v="600"/>
    <n v="1245"/>
    <n v="38"/>
    <n v="2"/>
    <n v="256.88"/>
    <n v="0"/>
    <n v="513.76"/>
    <s v="2026-01"/>
    <s v="SKU-0038"/>
    <x v="17"/>
  </r>
  <r>
    <n v="601"/>
    <n v="1245"/>
    <n v="73"/>
    <n v="3"/>
    <n v="134.83000000000001"/>
    <n v="0"/>
    <n v="404.49"/>
    <s v="2026-01"/>
    <s v="SKU-0073"/>
    <x v="17"/>
  </r>
  <r>
    <n v="602"/>
    <n v="1246"/>
    <n v="85"/>
    <n v="1"/>
    <n v="163.57"/>
    <n v="0"/>
    <n v="163.57"/>
    <s v="2026-01"/>
    <s v="SKU-0085"/>
    <x v="0"/>
  </r>
  <r>
    <n v="603"/>
    <n v="1247"/>
    <n v="117"/>
    <n v="5"/>
    <n v="293.33"/>
    <n v="0"/>
    <n v="1466.6499999999999"/>
    <s v="2026-01"/>
    <s v="SKU-0117"/>
    <x v="0"/>
  </r>
  <r>
    <n v="604"/>
    <n v="1247"/>
    <n v="85"/>
    <n v="1"/>
    <n v="163.57"/>
    <n v="10.19"/>
    <n v="153.38"/>
    <s v="2026-01"/>
    <s v="SKU-0085"/>
    <x v="0"/>
  </r>
  <r>
    <n v="605"/>
    <n v="1247"/>
    <n v="84"/>
    <n v="3"/>
    <n v="150.28"/>
    <n v="0"/>
    <n v="450.84000000000003"/>
    <s v="2026-01"/>
    <s v="SKU-0084"/>
    <x v="0"/>
  </r>
  <r>
    <n v="606"/>
    <n v="1247"/>
    <n v="73"/>
    <n v="6"/>
    <n v="134.83000000000001"/>
    <n v="0"/>
    <n v="808.98"/>
    <s v="2026-01"/>
    <s v="SKU-0073"/>
    <x v="0"/>
  </r>
  <r>
    <n v="607"/>
    <n v="1248"/>
    <n v="73"/>
    <n v="3"/>
    <n v="134.83000000000001"/>
    <n v="2.69"/>
    <n v="401.8"/>
    <s v="2026-01"/>
    <s v="SKU-0073"/>
    <x v="18"/>
  </r>
  <r>
    <n v="608"/>
    <n v="1248"/>
    <n v="111"/>
    <n v="5"/>
    <n v="39.4"/>
    <n v="0"/>
    <n v="197"/>
    <s v="2026-01"/>
    <s v="SKU0111"/>
    <x v="18"/>
  </r>
  <r>
    <n v="609"/>
    <n v="1248"/>
    <n v="92"/>
    <n v="2"/>
    <n v="23.27"/>
    <n v="0"/>
    <n v="46.54"/>
    <s v="2026-01"/>
    <s v="SKU-0092"/>
    <x v="18"/>
  </r>
  <r>
    <n v="610"/>
    <n v="1248"/>
    <n v="126"/>
    <n v="8"/>
    <n v="32.17"/>
    <n v="13.4"/>
    <n v="243.96"/>
    <s v="2026-01"/>
    <s v="SKU-0126"/>
    <x v="18"/>
  </r>
  <r>
    <n v="611"/>
    <n v="1249"/>
    <n v="119"/>
    <n v="4"/>
    <n v="27.97"/>
    <n v="0"/>
    <n v="111.88"/>
    <s v="2026-04"/>
    <s v="SKU-0119"/>
    <x v="11"/>
  </r>
  <r>
    <n v="612"/>
    <n v="1249"/>
    <n v="127"/>
    <n v="2"/>
    <n v="38.14"/>
    <n v="5.07"/>
    <n v="71.210000000000008"/>
    <s v="2026-04"/>
    <s v="SKU-0127"/>
    <x v="11"/>
  </r>
  <r>
    <n v="613"/>
    <n v="1249"/>
    <n v="21"/>
    <n v="8"/>
    <n v="60.07"/>
    <n v="0"/>
    <n v="480.56"/>
    <s v="2026-04"/>
    <s v="SKU-0021"/>
    <x v="11"/>
  </r>
  <r>
    <n v="614"/>
    <n v="1250"/>
    <n v="119"/>
    <n v="5"/>
    <n v="27.97"/>
    <n v="0"/>
    <n v="139.85"/>
    <s v="2026-01"/>
    <s v="SKU-0119"/>
    <x v="17"/>
  </r>
  <r>
    <n v="615"/>
    <n v="1251"/>
    <n v="117"/>
    <n v="8"/>
    <n v="293.33"/>
    <n v="0"/>
    <n v="2346.64"/>
    <s v="2026-01"/>
    <s v="SKU-0117"/>
    <x v="0"/>
  </r>
  <r>
    <n v="616"/>
    <n v="1251"/>
    <n v="88"/>
    <n v="3"/>
    <n v="109.3"/>
    <n v="0"/>
    <n v="327.9"/>
    <s v="2026-01"/>
    <s v="SKU-0088"/>
    <x v="0"/>
  </r>
  <r>
    <n v="617"/>
    <n v="1251"/>
    <n v="67"/>
    <n v="2"/>
    <n v="291.56"/>
    <n v="0"/>
    <n v="583.12"/>
    <s v="2026-01"/>
    <s v="SKU-0067"/>
    <x v="0"/>
  </r>
  <r>
    <n v="618"/>
    <n v="1252"/>
    <n v="102"/>
    <n v="5"/>
    <n v="71.52"/>
    <n v="0"/>
    <n v="357.59999999999997"/>
    <s v="2026-05"/>
    <s v="SKU-0102"/>
    <x v="15"/>
  </r>
  <r>
    <n v="619"/>
    <n v="1252"/>
    <n v="4"/>
    <n v="4"/>
    <n v="94.28"/>
    <n v="0"/>
    <n v="377.12"/>
    <s v="2026-05"/>
    <s v="SKU-0004"/>
    <x v="15"/>
  </r>
  <r>
    <n v="620"/>
    <n v="1252"/>
    <n v="49"/>
    <n v="1"/>
    <n v="280.98"/>
    <n v="0"/>
    <n v="280.98"/>
    <s v="2026-05"/>
    <s v="SKU-0049"/>
    <x v="15"/>
  </r>
  <r>
    <n v="621"/>
    <n v="1253"/>
    <n v="78"/>
    <n v="8"/>
    <n v="71.75"/>
    <n v="3.07"/>
    <n v="570.92999999999995"/>
    <s v="2026-04"/>
    <s v="SKU-0078"/>
    <x v="11"/>
  </r>
  <r>
    <n v="622"/>
    <n v="1254"/>
    <n v="76"/>
    <n v="7"/>
    <n v="160.68"/>
    <n v="0"/>
    <n v="1124.76"/>
    <s v="2026-01"/>
    <s v="SKU-0076"/>
    <x v="18"/>
  </r>
  <r>
    <n v="623"/>
    <n v="1254"/>
    <n v="27"/>
    <n v="7"/>
    <n v="165.39"/>
    <n v="14.71"/>
    <n v="1143.02"/>
    <s v="2026-01"/>
    <s v="SKU-0027"/>
    <x v="18"/>
  </r>
  <r>
    <n v="624"/>
    <n v="1255"/>
    <n v="109"/>
    <n v="6"/>
    <n v="257.52"/>
    <n v="0"/>
    <n v="1545.12"/>
    <s v="2026-05"/>
    <s v="SKU-0109"/>
    <x v="15"/>
  </r>
  <r>
    <n v="625"/>
    <n v="1256"/>
    <n v="121"/>
    <n v="6"/>
    <n v="151.43"/>
    <n v="0"/>
    <n v="908.58"/>
    <s v="2026-04"/>
    <s v="SKU-0121"/>
    <x v="11"/>
  </r>
  <r>
    <n v="626"/>
    <n v="1256"/>
    <n v="87"/>
    <n v="8"/>
    <n v="124.17"/>
    <n v="0"/>
    <n v="993.36"/>
    <s v="2026-04"/>
    <s v="SKU-0087"/>
    <x v="11"/>
  </r>
  <r>
    <n v="627"/>
    <n v="1257"/>
    <n v="52"/>
    <n v="3"/>
    <n v="59.3"/>
    <n v="0"/>
    <n v="177.89999999999998"/>
    <s v="2026-01"/>
    <s v="SKU-0052"/>
    <x v="0"/>
  </r>
  <r>
    <n v="628"/>
    <n v="1257"/>
    <n v="107"/>
    <n v="8"/>
    <n v="223.34"/>
    <n v="0"/>
    <n v="1786.72"/>
    <s v="2026-01"/>
    <s v="SKU-0107"/>
    <x v="0"/>
  </r>
  <r>
    <n v="629"/>
    <n v="1258"/>
    <n v="30"/>
    <n v="4"/>
    <n v="35.229999999999997"/>
    <n v="0"/>
    <n v="140.91999999999999"/>
    <s v="2026-05"/>
    <s v="SKU-0030"/>
    <x v="15"/>
  </r>
  <r>
    <n v="630"/>
    <n v="1258"/>
    <n v="125"/>
    <n v="5"/>
    <n v="273.92"/>
    <n v="0"/>
    <n v="1369.6000000000001"/>
    <s v="2026-05"/>
    <s v="SKU-0125"/>
    <x v="15"/>
  </r>
  <r>
    <n v="631"/>
    <n v="1258"/>
    <n v="12"/>
    <n v="5"/>
    <n v="61.57"/>
    <n v="0"/>
    <n v="307.85000000000002"/>
    <s v="2026-05"/>
    <s v="SKU-0012"/>
    <x v="15"/>
  </r>
  <r>
    <n v="632"/>
    <n v="1258"/>
    <n v="13"/>
    <n v="8"/>
    <n v="236.16"/>
    <n v="0"/>
    <n v="1889.28"/>
    <s v="2026-05"/>
    <s v="SKU-0013"/>
    <x v="15"/>
  </r>
  <r>
    <n v="633"/>
    <n v="1259"/>
    <n v="93"/>
    <n v="3"/>
    <n v="277.07"/>
    <n v="11.2"/>
    <n v="820.01"/>
    <s v="2026-01"/>
    <s v="SKU-0093"/>
    <x v="17"/>
  </r>
  <r>
    <n v="634"/>
    <n v="1259"/>
    <n v="130"/>
    <n v="8"/>
    <n v="193.14"/>
    <n v="0"/>
    <n v="1545.12"/>
    <s v="2026-01"/>
    <s v="SKU-0130"/>
    <x v="17"/>
  </r>
  <r>
    <n v="635"/>
    <n v="1260"/>
    <n v="130"/>
    <n v="3"/>
    <n v="193.14"/>
    <n v="0"/>
    <n v="579.41999999999996"/>
    <s v="2026-01"/>
    <s v="SKU-0130"/>
    <x v="19"/>
  </r>
  <r>
    <n v="636"/>
    <n v="1260"/>
    <n v="107"/>
    <n v="6"/>
    <n v="223.34"/>
    <n v="0"/>
    <n v="1340.04"/>
    <s v="2026-01"/>
    <s v="SKU-0107"/>
    <x v="19"/>
  </r>
  <r>
    <n v="637"/>
    <n v="1260"/>
    <n v="39"/>
    <n v="7"/>
    <n v="129.30000000000001"/>
    <n v="0"/>
    <n v="905.10000000000014"/>
    <s v="2026-01"/>
    <s v="SKU-0039"/>
    <x v="19"/>
  </r>
  <r>
    <n v="638"/>
    <n v="1261"/>
    <n v="22"/>
    <n v="6"/>
    <n v="159.69"/>
    <n v="0"/>
    <n v="958.14"/>
    <s v="2026-04"/>
    <s v="SKU-0022"/>
    <x v="11"/>
  </r>
  <r>
    <n v="639"/>
    <n v="1262"/>
    <n v="108"/>
    <n v="7"/>
    <n v="143.47999999999999"/>
    <n v="0"/>
    <n v="1004.3599999999999"/>
    <s v="2026-01"/>
    <s v="SKU-0108"/>
    <x v="3"/>
  </r>
  <r>
    <n v="640"/>
    <n v="1262"/>
    <n v="81"/>
    <n v="6"/>
    <n v="244.17"/>
    <n v="0"/>
    <n v="1465.02"/>
    <s v="2026-01"/>
    <s v="SKU-0081"/>
    <x v="3"/>
  </r>
  <r>
    <n v="641"/>
    <n v="1262"/>
    <n v="136"/>
    <n v="3"/>
    <n v="230.54"/>
    <n v="10.8"/>
    <n v="680.82"/>
    <s v="2026-01"/>
    <s v="SKU-0136"/>
    <x v="3"/>
  </r>
  <r>
    <n v="642"/>
    <n v="1263"/>
    <n v="100"/>
    <n v="3"/>
    <n v="233.57"/>
    <n v="0"/>
    <n v="700.71"/>
    <s v="2026-02"/>
    <s v="SKU-0100"/>
    <x v="14"/>
  </r>
  <r>
    <n v="643"/>
    <n v="1263"/>
    <n v="55"/>
    <n v="2"/>
    <n v="110.06"/>
    <n v="0"/>
    <n v="220.12"/>
    <s v="2026-02"/>
    <s v="SKU-0055"/>
    <x v="14"/>
  </r>
  <r>
    <n v="644"/>
    <n v="1263"/>
    <n v="134"/>
    <n v="6"/>
    <n v="26.36"/>
    <n v="0"/>
    <n v="158.16"/>
    <s v="2026-02"/>
    <s v="SKU-0134"/>
    <x v="14"/>
  </r>
  <r>
    <n v="645"/>
    <n v="1264"/>
    <n v="130"/>
    <n v="6"/>
    <n v="193.14"/>
    <n v="0"/>
    <n v="1158.8399999999999"/>
    <s v="2026-01"/>
    <s v="SKU-0130"/>
    <x v="17"/>
  </r>
  <r>
    <n v="646"/>
    <n v="1264"/>
    <n v="115"/>
    <n v="5"/>
    <n v="80.7"/>
    <n v="0"/>
    <n v="403.5"/>
    <s v="2026-01"/>
    <s v="SKU-0115"/>
    <x v="17"/>
  </r>
  <r>
    <n v="647"/>
    <n v="1264"/>
    <n v="117"/>
    <n v="6"/>
    <n v="293.33"/>
    <n v="0"/>
    <n v="1759.98"/>
    <s v="2026-01"/>
    <s v="SKU-0117"/>
    <x v="17"/>
  </r>
  <r>
    <n v="648"/>
    <n v="1265"/>
    <n v="93"/>
    <n v="8"/>
    <n v="277.07"/>
    <n v="2.37"/>
    <n v="2214.19"/>
    <s v="2026-03"/>
    <s v="SKU-0093"/>
    <x v="7"/>
  </r>
  <r>
    <n v="649"/>
    <n v="1265"/>
    <n v="106"/>
    <n v="2"/>
    <n v="65.2"/>
    <n v="2.29"/>
    <n v="128.11000000000001"/>
    <s v="2026-03"/>
    <s v="SKU-0106"/>
    <x v="7"/>
  </r>
  <r>
    <n v="650"/>
    <n v="1266"/>
    <n v="113"/>
    <n v="8"/>
    <n v="84.34"/>
    <n v="11.24"/>
    <n v="663.48"/>
    <s v="2026-04"/>
    <s v="SKU-0113"/>
    <x v="2"/>
  </r>
  <r>
    <n v="651"/>
    <n v="1266"/>
    <n v="42"/>
    <n v="3"/>
    <n v="169.53"/>
    <n v="8.08"/>
    <n v="500.51000000000005"/>
    <s v="2026-04"/>
    <s v="SKU-0042"/>
    <x v="2"/>
  </r>
  <r>
    <n v="652"/>
    <n v="1266"/>
    <n v="118"/>
    <n v="3"/>
    <n v="242.65"/>
    <n v="0"/>
    <n v="727.95"/>
    <s v="2026-04"/>
    <s v="SKU-0118"/>
    <x v="2"/>
  </r>
  <r>
    <n v="653"/>
    <n v="1266"/>
    <n v="55"/>
    <n v="8"/>
    <n v="110.06"/>
    <n v="0"/>
    <n v="880.48"/>
    <s v="2026-04"/>
    <s v="SKU-0055"/>
    <x v="2"/>
  </r>
  <r>
    <n v="654"/>
    <n v="1267"/>
    <n v="31"/>
    <n v="6"/>
    <n v="35.19"/>
    <n v="0"/>
    <n v="211.14"/>
    <s v="2026-04"/>
    <s v="SKU-0031"/>
    <x v="4"/>
  </r>
  <r>
    <n v="655"/>
    <n v="1268"/>
    <n v="13"/>
    <n v="5"/>
    <n v="236.16"/>
    <n v="0"/>
    <n v="1180.8"/>
    <s v="2026-01"/>
    <s v="SKU-0013"/>
    <x v="18"/>
  </r>
  <r>
    <n v="656"/>
    <n v="1268"/>
    <n v="47"/>
    <n v="8"/>
    <n v="100.5"/>
    <n v="0"/>
    <n v="804"/>
    <s v="2026-01"/>
    <s v="SKU-0047"/>
    <x v="18"/>
  </r>
  <r>
    <n v="657"/>
    <n v="1268"/>
    <n v="18"/>
    <n v="1"/>
    <n v="60.59"/>
    <n v="0"/>
    <n v="60.59"/>
    <s v="2026-01"/>
    <s v="SKU-0018"/>
    <x v="18"/>
  </r>
  <r>
    <n v="658"/>
    <n v="1268"/>
    <n v="145"/>
    <n v="8"/>
    <n v="172.39"/>
    <n v="13.6"/>
    <n v="1365.52"/>
    <s v="2026-01"/>
    <s v="SKU-0145"/>
    <x v="18"/>
  </r>
  <r>
    <n v="659"/>
    <n v="1269"/>
    <n v="105"/>
    <n v="7"/>
    <n v="288.82"/>
    <n v="4.26"/>
    <n v="2017.48"/>
    <s v="2026-04"/>
    <s v="SKU-0105"/>
    <x v="11"/>
  </r>
  <r>
    <n v="660"/>
    <n v="1270"/>
    <n v="144"/>
    <n v="2"/>
    <n v="194.56"/>
    <n v="0"/>
    <n v="389.12"/>
    <s v="2026-02"/>
    <s v="SKU-0144"/>
    <x v="9"/>
  </r>
  <r>
    <n v="661"/>
    <n v="1270"/>
    <n v="50"/>
    <n v="1"/>
    <n v="252.62"/>
    <n v="0"/>
    <n v="252.62"/>
    <s v="2026-02"/>
    <s v="SKU-0050"/>
    <x v="9"/>
  </r>
  <r>
    <n v="662"/>
    <n v="1270"/>
    <n v="122"/>
    <n v="1"/>
    <n v="151.15"/>
    <n v="0"/>
    <n v="151.15"/>
    <s v="2026-02"/>
    <s v="SKU-0122"/>
    <x v="9"/>
  </r>
  <r>
    <n v="663"/>
    <n v="1271"/>
    <n v="6"/>
    <n v="6"/>
    <n v="256.54000000000002"/>
    <n v="7.12"/>
    <n v="1532.1200000000003"/>
    <s v="2026-03"/>
    <s v="SKU-0006"/>
    <x v="6"/>
  </r>
  <r>
    <n v="664"/>
    <n v="1271"/>
    <n v="7"/>
    <n v="6"/>
    <n v="292.33999999999997"/>
    <n v="0"/>
    <n v="1754.04"/>
    <s v="2026-03"/>
    <s v="SKU-0007"/>
    <x v="6"/>
  </r>
  <r>
    <n v="665"/>
    <n v="1271"/>
    <n v="30"/>
    <n v="2"/>
    <n v="35.229999999999997"/>
    <n v="0"/>
    <n v="70.459999999999994"/>
    <s v="2026-03"/>
    <s v="SKU-0030"/>
    <x v="6"/>
  </r>
  <r>
    <n v="666"/>
    <n v="1271"/>
    <n v="37"/>
    <n v="3"/>
    <n v="258.95"/>
    <n v="0"/>
    <n v="776.84999999999991"/>
    <s v="2026-03"/>
    <s v="SKU0037"/>
    <x v="6"/>
  </r>
  <r>
    <n v="667"/>
    <n v="1272"/>
    <n v="37"/>
    <n v="7"/>
    <n v="258.95"/>
    <n v="0"/>
    <n v="1812.6499999999999"/>
    <s v="2026-01"/>
    <s v="SKU0037"/>
    <x v="3"/>
  </r>
  <r>
    <n v="668"/>
    <n v="1272"/>
    <n v="97"/>
    <n v="2"/>
    <n v="168.73"/>
    <n v="0"/>
    <n v="337.46"/>
    <s v="2026-01"/>
    <s v="SKU-0097"/>
    <x v="3"/>
  </r>
  <r>
    <n v="669"/>
    <n v="1272"/>
    <n v="61"/>
    <n v="8"/>
    <n v="293.22000000000003"/>
    <n v="8.1199999999999992"/>
    <n v="2337.6400000000003"/>
    <s v="2026-01"/>
    <s v="SKU-0061"/>
    <x v="3"/>
  </r>
  <r>
    <n v="670"/>
    <n v="1273"/>
    <n v="17"/>
    <n v="8"/>
    <n v="299.3"/>
    <n v="0"/>
    <n v="2394.4"/>
    <s v="2026-03"/>
    <s v="SKU-0017"/>
    <x v="8"/>
  </r>
  <r>
    <n v="671"/>
    <n v="1273"/>
    <n v="5"/>
    <n v="5"/>
    <n v="59.31"/>
    <n v="0"/>
    <n v="296.55"/>
    <s v="2026-03"/>
    <s v="SKU-0005"/>
    <x v="8"/>
  </r>
  <r>
    <n v="672"/>
    <n v="1273"/>
    <n v="64"/>
    <n v="3"/>
    <n v="247.73"/>
    <n v="5.26"/>
    <n v="737.93"/>
    <s v="2026-03"/>
    <s v="SKU-0064"/>
    <x v="8"/>
  </r>
  <r>
    <n v="673"/>
    <n v="1273"/>
    <n v="115"/>
    <n v="2"/>
    <n v="80.7"/>
    <n v="0"/>
    <n v="161.4"/>
    <s v="2026-03"/>
    <s v="SKU-0115"/>
    <x v="8"/>
  </r>
  <r>
    <n v="674"/>
    <n v="1274"/>
    <n v="43"/>
    <n v="1"/>
    <n v="277.02999999999997"/>
    <n v="1.84"/>
    <n v="275.19"/>
    <s v="2026-04"/>
    <s v="SKU-0043"/>
    <x v="13"/>
  </r>
  <r>
    <n v="675"/>
    <n v="1274"/>
    <n v="70"/>
    <n v="5"/>
    <n v="244.86"/>
    <n v="12.75"/>
    <n v="1211.5500000000002"/>
    <s v="2026-04"/>
    <s v="SKU-0070"/>
    <x v="13"/>
  </r>
  <r>
    <n v="676"/>
    <n v="1274"/>
    <n v="90"/>
    <n v="4"/>
    <n v="115.25"/>
    <n v="0"/>
    <n v="461"/>
    <s v="2026-04"/>
    <s v="SKU-0090"/>
    <x v="13"/>
  </r>
  <r>
    <n v="677"/>
    <n v="1275"/>
    <n v="88"/>
    <n v="5"/>
    <n v="109.3"/>
    <n v="14.71"/>
    <n v="531.79"/>
    <s v="2026-03"/>
    <s v="SKU-0088"/>
    <x v="8"/>
  </r>
  <r>
    <n v="678"/>
    <n v="1275"/>
    <n v="70"/>
    <n v="4"/>
    <n v="244.86"/>
    <n v="0"/>
    <n v="979.44"/>
    <s v="2026-03"/>
    <s v="SKU-0070"/>
    <x v="8"/>
  </r>
  <r>
    <n v="679"/>
    <n v="1275"/>
    <n v="88"/>
    <n v="4"/>
    <n v="109.3"/>
    <n v="0"/>
    <n v="437.2"/>
    <s v="2026-03"/>
    <s v="SKU-0088"/>
    <x v="8"/>
  </r>
  <r>
    <n v="680"/>
    <n v="1276"/>
    <n v="138"/>
    <n v="1"/>
    <n v="106.5"/>
    <n v="13.5"/>
    <n v="93"/>
    <s v="2026-05"/>
    <s v="SKU-0138"/>
    <x v="15"/>
  </r>
  <r>
    <n v="681"/>
    <n v="1277"/>
    <n v="95"/>
    <n v="4"/>
    <n v="75.319999999999993"/>
    <n v="0"/>
    <n v="301.27999999999997"/>
    <s v="2026-02"/>
    <s v="SKU-0095"/>
    <x v="14"/>
  </r>
  <r>
    <n v="682"/>
    <n v="1277"/>
    <n v="6"/>
    <n v="5"/>
    <n v="256.54000000000002"/>
    <n v="0"/>
    <n v="1282.7"/>
    <s v="2026-02"/>
    <s v="SKU-0006"/>
    <x v="14"/>
  </r>
  <r>
    <n v="683"/>
    <n v="1277"/>
    <n v="50"/>
    <n v="2"/>
    <n v="252.62"/>
    <n v="0"/>
    <n v="505.24"/>
    <s v="2026-02"/>
    <s v="SKU-0050"/>
    <x v="14"/>
  </r>
  <r>
    <n v="684"/>
    <n v="1277"/>
    <n v="57"/>
    <n v="4"/>
    <n v="266.69"/>
    <n v="0"/>
    <n v="1066.76"/>
    <s v="2026-02"/>
    <s v="SKU-0057"/>
    <x v="14"/>
  </r>
  <r>
    <n v="685"/>
    <n v="1278"/>
    <n v="44"/>
    <n v="4"/>
    <n v="34.369999999999997"/>
    <n v="0"/>
    <n v="137.47999999999999"/>
    <s v="2026-04"/>
    <s v="SKU-0044"/>
    <x v="2"/>
  </r>
  <r>
    <n v="686"/>
    <n v="1278"/>
    <n v="17"/>
    <n v="3"/>
    <n v="299.3"/>
    <n v="0"/>
    <n v="897.90000000000009"/>
    <s v="2026-04"/>
    <s v="SKU-0017"/>
    <x v="2"/>
  </r>
  <r>
    <n v="687"/>
    <n v="1278"/>
    <n v="67"/>
    <n v="4"/>
    <n v="291.56"/>
    <n v="0"/>
    <n v="1166.24"/>
    <s v="2026-04"/>
    <s v="SKU-0067"/>
    <x v="2"/>
  </r>
  <r>
    <n v="688"/>
    <n v="1278"/>
    <n v="50"/>
    <n v="1"/>
    <n v="252.62"/>
    <n v="0"/>
    <n v="252.62"/>
    <s v="2026-04"/>
    <s v="SKU-0050"/>
    <x v="2"/>
  </r>
  <r>
    <n v="689"/>
    <n v="1279"/>
    <n v="127"/>
    <n v="6"/>
    <n v="38.14"/>
    <n v="0"/>
    <n v="228.84"/>
    <s v="2026-04"/>
    <s v="SKU-0127"/>
    <x v="11"/>
  </r>
  <r>
    <n v="690"/>
    <n v="1279"/>
    <n v="58"/>
    <n v="1"/>
    <n v="57.21"/>
    <n v="4.8899999999999997"/>
    <n v="52.32"/>
    <s v="2026-04"/>
    <s v="SKU-0058"/>
    <x v="11"/>
  </r>
  <r>
    <n v="691"/>
    <n v="1279"/>
    <n v="137"/>
    <n v="8"/>
    <n v="181.82"/>
    <n v="5.43"/>
    <n v="1449.1299999999999"/>
    <s v="2026-04"/>
    <s v="SKU-0137"/>
    <x v="11"/>
  </r>
  <r>
    <n v="692"/>
    <n v="1279"/>
    <n v="50"/>
    <n v="6"/>
    <n v="252.62"/>
    <n v="0"/>
    <n v="1515.72"/>
    <s v="2026-04"/>
    <s v="SKU-0050"/>
    <x v="11"/>
  </r>
  <r>
    <n v="693"/>
    <n v="1280"/>
    <n v="8"/>
    <n v="8"/>
    <n v="118.07"/>
    <n v="0"/>
    <n v="944.56"/>
    <s v="2026-03"/>
    <s v="SKU-0008"/>
    <x v="1"/>
  </r>
  <r>
    <n v="694"/>
    <n v="1281"/>
    <n v="113"/>
    <n v="2"/>
    <n v="84.34"/>
    <n v="0"/>
    <n v="168.68"/>
    <s v="2026-01"/>
    <s v="SKU-0113"/>
    <x v="3"/>
  </r>
  <r>
    <n v="695"/>
    <n v="1282"/>
    <n v="17"/>
    <n v="2"/>
    <n v="299.3"/>
    <n v="0"/>
    <n v="598.6"/>
    <s v="2026-04"/>
    <s v="SKU-0017"/>
    <x v="11"/>
  </r>
  <r>
    <n v="696"/>
    <n v="1282"/>
    <n v="76"/>
    <n v="7"/>
    <n v="160.68"/>
    <n v="6.62"/>
    <n v="1118.1400000000001"/>
    <s v="2026-04"/>
    <s v="SKU-0076"/>
    <x v="11"/>
  </r>
  <r>
    <n v="697"/>
    <n v="1282"/>
    <n v="60"/>
    <n v="1"/>
    <n v="115.8"/>
    <n v="7.35"/>
    <n v="108.45"/>
    <s v="2026-04"/>
    <s v="SKU-0060"/>
    <x v="11"/>
  </r>
  <r>
    <n v="698"/>
    <n v="1282"/>
    <n v="110"/>
    <n v="2"/>
    <n v="112"/>
    <n v="0"/>
    <n v="224"/>
    <s v="2026-04"/>
    <s v="SKU-0110"/>
    <x v="11"/>
  </r>
  <r>
    <n v="699"/>
    <n v="1283"/>
    <n v="91"/>
    <n v="7"/>
    <n v="170.65"/>
    <n v="7.74"/>
    <n v="1186.81"/>
    <s v="2026-02"/>
    <s v="SKU-0091"/>
    <x v="14"/>
  </r>
  <r>
    <n v="700"/>
    <n v="1283"/>
    <n v="48"/>
    <n v="4"/>
    <n v="299.56"/>
    <n v="0"/>
    <n v="1198.24"/>
    <s v="2026-02"/>
    <s v="SKU-0048"/>
    <x v="14"/>
  </r>
  <r>
    <n v="701"/>
    <n v="1283"/>
    <n v="16"/>
    <n v="3"/>
    <n v="168.61"/>
    <n v="5.36"/>
    <n v="500.47"/>
    <s v="2026-02"/>
    <s v="SKU-0016"/>
    <x v="14"/>
  </r>
  <r>
    <n v="702"/>
    <n v="1284"/>
    <n v="3"/>
    <n v="3"/>
    <n v="22.56"/>
    <n v="0"/>
    <n v="67.679999999999993"/>
    <s v="2026-03"/>
    <s v="SKU-0003"/>
    <x v="1"/>
  </r>
  <r>
    <n v="703"/>
    <n v="1284"/>
    <n v="109"/>
    <n v="6"/>
    <n v="257.52"/>
    <n v="0"/>
    <n v="1545.12"/>
    <s v="2026-03"/>
    <s v="SKU-0109"/>
    <x v="1"/>
  </r>
  <r>
    <n v="704"/>
    <n v="1284"/>
    <n v="52"/>
    <n v="2"/>
    <n v="59.3"/>
    <n v="5.78"/>
    <n v="112.82"/>
    <s v="2026-03"/>
    <s v="SKU-0052"/>
    <x v="1"/>
  </r>
  <r>
    <n v="705"/>
    <n v="1285"/>
    <n v="127"/>
    <n v="4"/>
    <n v="38.14"/>
    <n v="0"/>
    <n v="152.56"/>
    <s v="2026-03"/>
    <s v="SKU-0127"/>
    <x v="6"/>
  </r>
  <r>
    <n v="706"/>
    <n v="1286"/>
    <n v="19"/>
    <n v="6"/>
    <n v="298.89"/>
    <n v="0"/>
    <n v="1793.34"/>
    <s v="2026-04"/>
    <s v="SKU-0019"/>
    <x v="2"/>
  </r>
  <r>
    <n v="707"/>
    <n v="1287"/>
    <n v="68"/>
    <n v="3"/>
    <n v="138.85"/>
    <n v="0"/>
    <n v="416.54999999999995"/>
    <s v="2026-02"/>
    <s v="SKU-0068"/>
    <x v="14"/>
  </r>
  <r>
    <n v="708"/>
    <n v="1287"/>
    <n v="46"/>
    <n v="4"/>
    <n v="219.11"/>
    <n v="0"/>
    <n v="876.44"/>
    <s v="2026-02"/>
    <s v="SKU-0046"/>
    <x v="14"/>
  </r>
  <r>
    <n v="709"/>
    <n v="1288"/>
    <n v="44"/>
    <n v="7"/>
    <n v="34.369999999999997"/>
    <n v="0"/>
    <n v="240.58999999999997"/>
    <s v="2026-03"/>
    <s v="SKU-0044"/>
    <x v="1"/>
  </r>
  <r>
    <n v="710"/>
    <n v="1288"/>
    <n v="31"/>
    <n v="3"/>
    <n v="35.19"/>
    <n v="0"/>
    <n v="105.57"/>
    <s v="2026-03"/>
    <s v="SKU-0031"/>
    <x v="1"/>
  </r>
  <r>
    <n v="711"/>
    <n v="1288"/>
    <n v="49"/>
    <n v="4"/>
    <n v="280.98"/>
    <n v="0"/>
    <n v="1123.92"/>
    <s v="2026-03"/>
    <s v="SKU-0049"/>
    <x v="1"/>
  </r>
  <r>
    <n v="712"/>
    <n v="1289"/>
    <n v="72"/>
    <n v="3"/>
    <n v="205.06"/>
    <n v="12.92"/>
    <n v="602.2600000000001"/>
    <s v="2026-03"/>
    <s v="SKU-0072"/>
    <x v="1"/>
  </r>
  <r>
    <n v="713"/>
    <n v="1290"/>
    <n v="128"/>
    <n v="8"/>
    <n v="143.38999999999999"/>
    <n v="0"/>
    <n v="1147.1199999999999"/>
    <s v="2026-05"/>
    <s v="SKU-0128"/>
    <x v="16"/>
  </r>
  <r>
    <n v="714"/>
    <n v="1290"/>
    <n v="135"/>
    <n v="8"/>
    <n v="41.03"/>
    <n v="11.02"/>
    <n v="317.22000000000003"/>
    <s v="2026-05"/>
    <s v="SKU-0135"/>
    <x v="16"/>
  </r>
  <r>
    <n v="715"/>
    <n v="1290"/>
    <n v="122"/>
    <n v="5"/>
    <n v="151.15"/>
    <n v="0"/>
    <n v="755.75"/>
    <s v="2026-05"/>
    <s v="SKU-0122"/>
    <x v="16"/>
  </r>
  <r>
    <n v="716"/>
    <n v="1291"/>
    <n v="141"/>
    <n v="2"/>
    <n v="15.33"/>
    <n v="0"/>
    <n v="30.66"/>
    <s v="2026-04"/>
    <s v="SKU-0141"/>
    <x v="4"/>
  </r>
  <r>
    <n v="717"/>
    <n v="1291"/>
    <n v="76"/>
    <n v="8"/>
    <n v="160.68"/>
    <n v="0"/>
    <n v="1285.44"/>
    <s v="2026-04"/>
    <s v="SKU-0076"/>
    <x v="4"/>
  </r>
  <r>
    <n v="718"/>
    <n v="1291"/>
    <n v="150"/>
    <n v="1"/>
    <n v="100.09"/>
    <n v="0"/>
    <n v="100.09"/>
    <s v="2026-04"/>
    <s v="SKU-0150"/>
    <x v="4"/>
  </r>
  <r>
    <n v="719"/>
    <n v="1292"/>
    <n v="68"/>
    <n v="2"/>
    <n v="138.85"/>
    <n v="0"/>
    <n v="277.7"/>
    <s v="2026-04"/>
    <s v="SKU-0068"/>
    <x v="4"/>
  </r>
  <r>
    <n v="720"/>
    <n v="1292"/>
    <n v="76"/>
    <n v="2"/>
    <n v="160.68"/>
    <n v="0"/>
    <n v="321.36"/>
    <s v="2026-04"/>
    <s v="SKU-0076"/>
    <x v="4"/>
  </r>
  <r>
    <n v="721"/>
    <n v="1293"/>
    <n v="49"/>
    <n v="3"/>
    <n v="280.98"/>
    <n v="0"/>
    <n v="842.94"/>
    <s v="2026-03"/>
    <s v="SKU-0049"/>
    <x v="7"/>
  </r>
  <r>
    <n v="722"/>
    <n v="1293"/>
    <n v="3"/>
    <n v="5"/>
    <n v="22.56"/>
    <n v="0"/>
    <n v="112.8"/>
    <s v="2026-03"/>
    <s v="SKU-0003"/>
    <x v="7"/>
  </r>
  <r>
    <n v="723"/>
    <n v="1293"/>
    <n v="104"/>
    <n v="7"/>
    <n v="199.55"/>
    <n v="0"/>
    <n v="1396.8500000000001"/>
    <s v="2026-03"/>
    <s v="SKU-0104"/>
    <x v="7"/>
  </r>
  <r>
    <n v="724"/>
    <n v="1294"/>
    <n v="122"/>
    <n v="4"/>
    <n v="151.15"/>
    <n v="8.2200000000000006"/>
    <n v="596.38"/>
    <s v="2026-02"/>
    <s v="SKU-0122"/>
    <x v="9"/>
  </r>
  <r>
    <n v="725"/>
    <n v="1294"/>
    <n v="119"/>
    <n v="6"/>
    <n v="27.97"/>
    <n v="0"/>
    <n v="167.82"/>
    <s v="2026-02"/>
    <s v="SKU-0119"/>
    <x v="9"/>
  </r>
  <r>
    <n v="726"/>
    <n v="1295"/>
    <n v="128"/>
    <n v="6"/>
    <n v="143.38999999999999"/>
    <n v="5.76"/>
    <n v="854.57999999999993"/>
    <s v="2026-02"/>
    <s v="SKU-0128"/>
    <x v="10"/>
  </r>
  <r>
    <n v="727"/>
    <n v="1296"/>
    <n v="85"/>
    <n v="7"/>
    <n v="163.57"/>
    <n v="0"/>
    <n v="1144.99"/>
    <s v="2026-01"/>
    <s v="SKU-0085"/>
    <x v="18"/>
  </r>
  <r>
    <n v="728"/>
    <n v="1296"/>
    <n v="101"/>
    <n v="2"/>
    <n v="45.81"/>
    <n v="0"/>
    <n v="91.62"/>
    <s v="2026-01"/>
    <s v="SKU-0101"/>
    <x v="18"/>
  </r>
  <r>
    <n v="729"/>
    <n v="1297"/>
    <n v="126"/>
    <n v="1"/>
    <n v="32.17"/>
    <n v="0"/>
    <n v="32.17"/>
    <s v="2026-01"/>
    <s v="SKU-0126"/>
    <x v="17"/>
  </r>
  <r>
    <n v="730"/>
    <n v="1298"/>
    <n v="106"/>
    <n v="7"/>
    <n v="65.2"/>
    <n v="0"/>
    <n v="456.40000000000003"/>
    <s v="2026-04"/>
    <s v="SKU-0106"/>
    <x v="4"/>
  </r>
  <r>
    <n v="731"/>
    <n v="1298"/>
    <n v="34"/>
    <n v="7"/>
    <n v="222.79"/>
    <n v="0"/>
    <n v="1559.53"/>
    <s v="2026-04"/>
    <s v="SKU-0034"/>
    <x v="4"/>
  </r>
  <r>
    <n v="732"/>
    <n v="1298"/>
    <n v="100"/>
    <n v="4"/>
    <n v="233.57"/>
    <n v="0"/>
    <n v="934.28"/>
    <s v="2026-04"/>
    <s v="SKU-0100"/>
    <x v="4"/>
  </r>
  <r>
    <n v="733"/>
    <n v="1299"/>
    <n v="115"/>
    <n v="2"/>
    <n v="80.7"/>
    <n v="0"/>
    <n v="161.4"/>
    <s v="2026-04"/>
    <s v="SKU-0115"/>
    <x v="13"/>
  </r>
  <r>
    <n v="734"/>
    <n v="1299"/>
    <n v="135"/>
    <n v="6"/>
    <n v="41.03"/>
    <n v="13.74"/>
    <n v="232.44"/>
    <s v="2026-04"/>
    <s v="SKU-0135"/>
    <x v="13"/>
  </r>
  <r>
    <n v="735"/>
    <n v="1300"/>
    <n v="89"/>
    <n v="5"/>
    <n v="126"/>
    <n v="0"/>
    <n v="630"/>
    <s v="2026-01"/>
    <s v="SKU-0089"/>
    <x v="3"/>
  </r>
  <r>
    <n v="736"/>
    <n v="1300"/>
    <n v="107"/>
    <n v="4"/>
    <n v="223.34"/>
    <n v="3.51"/>
    <n v="889.85"/>
    <s v="2026-01"/>
    <s v="SKU-0107"/>
    <x v="3"/>
  </r>
  <r>
    <n v="737"/>
    <n v="1300"/>
    <n v="118"/>
    <n v="7"/>
    <n v="229.49"/>
    <n v="0"/>
    <n v="1606.43"/>
    <s v="2026-01"/>
    <s v="SKU-0118"/>
    <x v="3"/>
  </r>
  <r>
    <n v="738"/>
    <n v="1300"/>
    <n v="101"/>
    <n v="1"/>
    <n v="45.81"/>
    <n v="0"/>
    <n v="45.81"/>
    <s v="2026-01"/>
    <s v="SKU-0101"/>
    <x v="3"/>
  </r>
  <r>
    <n v="739"/>
    <n v="1301"/>
    <n v="27"/>
    <n v="6"/>
    <n v="165.39"/>
    <n v="0"/>
    <n v="992.33999999999992"/>
    <s v="2026-04"/>
    <s v="SKU-0027"/>
    <x v="2"/>
  </r>
  <r>
    <n v="740"/>
    <n v="1302"/>
    <n v="10"/>
    <n v="1"/>
    <n v="144.22"/>
    <n v="0"/>
    <n v="144.22"/>
    <s v="2026-03"/>
    <s v="SKU-0010"/>
    <x v="12"/>
  </r>
  <r>
    <n v="741"/>
    <n v="1302"/>
    <n v="84"/>
    <n v="8"/>
    <n v="150.28"/>
    <n v="0"/>
    <n v="1202.24"/>
    <s v="2026-03"/>
    <s v="SKU-0084"/>
    <x v="12"/>
  </r>
  <r>
    <n v="742"/>
    <n v="1302"/>
    <n v="22"/>
    <n v="4"/>
    <n v="159.69"/>
    <n v="10.99"/>
    <n v="627.77"/>
    <s v="2026-03"/>
    <s v="SKU-0022"/>
    <x v="12"/>
  </r>
  <r>
    <n v="743"/>
    <n v="1302"/>
    <n v="36"/>
    <n v="8"/>
    <n v="94.39"/>
    <n v="0"/>
    <n v="755.12"/>
    <s v="2026-03"/>
    <s v="SKU-0036"/>
    <x v="12"/>
  </r>
  <r>
    <n v="744"/>
    <n v="1303"/>
    <n v="40"/>
    <n v="8"/>
    <n v="90.58"/>
    <n v="0"/>
    <n v="724.64"/>
    <s v="2026-01"/>
    <s v="SKU-0040"/>
    <x v="0"/>
  </r>
  <r>
    <n v="745"/>
    <n v="1303"/>
    <n v="9"/>
    <n v="4"/>
    <n v="235.32"/>
    <n v="0"/>
    <n v="941.28"/>
    <s v="2026-01"/>
    <s v="SKU-0009"/>
    <x v="0"/>
  </r>
  <r>
    <n v="746"/>
    <n v="1303"/>
    <n v="134"/>
    <n v="2"/>
    <n v="26.36"/>
    <n v="0"/>
    <n v="52.72"/>
    <s v="2026-01"/>
    <s v="SKU-0134"/>
    <x v="0"/>
  </r>
  <r>
    <n v="747"/>
    <n v="1304"/>
    <n v="8"/>
    <n v="1"/>
    <n v="118.07"/>
    <n v="0"/>
    <n v="118.07"/>
    <s v="2026-03"/>
    <s v="SKU-0008"/>
    <x v="7"/>
  </r>
  <r>
    <n v="748"/>
    <n v="1304"/>
    <n v="17"/>
    <n v="4"/>
    <n v="299.3"/>
    <n v="0"/>
    <n v="1197.2"/>
    <s v="2026-03"/>
    <s v="SKU-0017"/>
    <x v="7"/>
  </r>
  <r>
    <n v="749"/>
    <n v="1304"/>
    <n v="43"/>
    <n v="3"/>
    <n v="277.02999999999997"/>
    <n v="0"/>
    <n v="831.08999999999992"/>
    <s v="2026-03"/>
    <s v="SKU-0043"/>
    <x v="7"/>
  </r>
  <r>
    <n v="750"/>
    <n v="1304"/>
    <n v="84"/>
    <n v="6"/>
    <n v="150.28"/>
    <n v="0"/>
    <n v="901.68000000000006"/>
    <s v="2026-03"/>
    <s v="SKU-0084"/>
    <x v="7"/>
  </r>
  <r>
    <n v="751"/>
    <n v="1305"/>
    <n v="81"/>
    <n v="1"/>
    <n v="244.17"/>
    <n v="6.45"/>
    <n v="237.72"/>
    <s v="2026-04"/>
    <s v="SKU-0081"/>
    <x v="12"/>
  </r>
  <r>
    <n v="752"/>
    <n v="1305"/>
    <n v="57"/>
    <n v="2"/>
    <n v="266.69"/>
    <n v="0"/>
    <n v="533.38"/>
    <s v="2026-04"/>
    <s v="SKU-0057"/>
    <x v="12"/>
  </r>
  <r>
    <n v="753"/>
    <n v="1305"/>
    <n v="95"/>
    <n v="1"/>
    <n v="75.319999999999993"/>
    <n v="0"/>
    <n v="75.319999999999993"/>
    <s v="2026-04"/>
    <s v="SKU-0095"/>
    <x v="12"/>
  </r>
  <r>
    <n v="754"/>
    <n v="1305"/>
    <n v="106"/>
    <n v="5"/>
    <n v="65.2"/>
    <n v="11.75"/>
    <n v="314.25"/>
    <s v="2026-04"/>
    <s v="SKU-0106"/>
    <x v="12"/>
  </r>
  <r>
    <n v="755"/>
    <n v="1306"/>
    <n v="65"/>
    <n v="2"/>
    <n v="203.11"/>
    <n v="9.4"/>
    <n v="396.82000000000005"/>
    <s v="2026-01"/>
    <s v="SKU-0065"/>
    <x v="17"/>
  </r>
  <r>
    <n v="756"/>
    <n v="1306"/>
    <n v="35"/>
    <n v="6"/>
    <n v="46.14"/>
    <n v="0"/>
    <n v="276.84000000000003"/>
    <s v="2026-01"/>
    <s v="SKU-0035"/>
    <x v="17"/>
  </r>
  <r>
    <n v="757"/>
    <n v="1307"/>
    <n v="60"/>
    <n v="1"/>
    <n v="115.8"/>
    <n v="0"/>
    <n v="115.8"/>
    <s v="2026-05"/>
    <s v="SKU-0060"/>
    <x v="16"/>
  </r>
  <r>
    <n v="758"/>
    <n v="1308"/>
    <n v="53"/>
    <n v="1"/>
    <n v="73.03"/>
    <n v="4.33"/>
    <n v="68.7"/>
    <s v="2026-05"/>
    <s v="SKU-0053"/>
    <x v="15"/>
  </r>
  <r>
    <n v="759"/>
    <n v="1308"/>
    <n v="85"/>
    <n v="3"/>
    <n v="163.57"/>
    <n v="0"/>
    <n v="490.71"/>
    <s v="2026-05"/>
    <s v="SKU-0085"/>
    <x v="15"/>
  </r>
  <r>
    <n v="760"/>
    <n v="1308"/>
    <n v="134"/>
    <n v="7"/>
    <n v="26.36"/>
    <n v="0"/>
    <n v="184.51999999999998"/>
    <s v="2026-05"/>
    <s v="SKU-0134"/>
    <x v="15"/>
  </r>
  <r>
    <n v="761"/>
    <n v="1308"/>
    <n v="7"/>
    <n v="4"/>
    <n v="292.33999999999997"/>
    <n v="0"/>
    <n v="1169.3599999999999"/>
    <s v="2026-05"/>
    <s v="SKU-0007"/>
    <x v="15"/>
  </r>
  <r>
    <n v="762"/>
    <n v="1309"/>
    <n v="57"/>
    <n v="7"/>
    <n v="266.69"/>
    <n v="0"/>
    <n v="1866.83"/>
    <s v="2026-02"/>
    <s v="SKU-0057"/>
    <x v="5"/>
  </r>
  <r>
    <n v="763"/>
    <n v="1309"/>
    <n v="114"/>
    <n v="1"/>
    <n v="171.86"/>
    <n v="1.9"/>
    <n v="169.96"/>
    <s v="2026-02"/>
    <s v="SKU-0114"/>
    <x v="5"/>
  </r>
  <r>
    <n v="764"/>
    <n v="1310"/>
    <n v="130"/>
    <n v="2"/>
    <n v="193.14"/>
    <n v="6.97"/>
    <n v="379.30999999999995"/>
    <s v="2026-02"/>
    <s v="SKU-0130"/>
    <x v="9"/>
  </r>
  <r>
    <n v="765"/>
    <n v="1310"/>
    <n v="80"/>
    <n v="3"/>
    <n v="84.54"/>
    <n v="0"/>
    <n v="253.62"/>
    <s v="2026-02"/>
    <s v="SKU-0080"/>
    <x v="9"/>
  </r>
  <r>
    <n v="766"/>
    <n v="1311"/>
    <n v="43"/>
    <n v="8"/>
    <n v="277.02999999999997"/>
    <n v="7.18"/>
    <n v="2209.06"/>
    <s v="2026-05"/>
    <s v="SKU-0043"/>
    <x v="15"/>
  </r>
  <r>
    <n v="767"/>
    <n v="1311"/>
    <n v="40"/>
    <n v="8"/>
    <n v="90.58"/>
    <n v="1.28"/>
    <n v="723.36"/>
    <s v="2026-05"/>
    <s v="SKU-0040"/>
    <x v="15"/>
  </r>
  <r>
    <n v="768"/>
    <n v="1311"/>
    <n v="110"/>
    <n v="2"/>
    <n v="112"/>
    <n v="0"/>
    <n v="224"/>
    <s v="2026-05"/>
    <s v="SKU-0110"/>
    <x v="15"/>
  </r>
  <r>
    <n v="769"/>
    <n v="1311"/>
    <n v="138"/>
    <n v="3"/>
    <n v="106.5"/>
    <n v="0"/>
    <n v="319.5"/>
    <s v="2026-05"/>
    <s v="SKU-0138"/>
    <x v="15"/>
  </r>
  <r>
    <n v="770"/>
    <n v="1312"/>
    <n v="40"/>
    <n v="4"/>
    <n v="90.58"/>
    <n v="0"/>
    <n v="362.32"/>
    <s v="2026-03"/>
    <s v="SKU-0040"/>
    <x v="6"/>
  </r>
  <r>
    <n v="771"/>
    <n v="1312"/>
    <n v="126"/>
    <n v="7"/>
    <n v="32.17"/>
    <n v="13.96"/>
    <n v="211.23"/>
    <s v="2026-03"/>
    <s v="SKU-0126"/>
    <x v="6"/>
  </r>
  <r>
    <n v="772"/>
    <n v="1313"/>
    <n v="112"/>
    <n v="5"/>
    <n v="154.88"/>
    <n v="0"/>
    <n v="774.4"/>
    <s v="2026-02"/>
    <s v="SKU-0112"/>
    <x v="10"/>
  </r>
  <r>
    <n v="773"/>
    <n v="1313"/>
    <n v="131"/>
    <n v="8"/>
    <n v="57.46"/>
    <n v="0"/>
    <n v="459.68"/>
    <s v="2026-02"/>
    <s v="SKU-0131"/>
    <x v="10"/>
  </r>
  <r>
    <n v="774"/>
    <n v="1314"/>
    <n v="38"/>
    <n v="5"/>
    <n v="256.88"/>
    <n v="0"/>
    <n v="1284.4000000000001"/>
    <s v="2026-04"/>
    <s v="SKU-0038"/>
    <x v="12"/>
  </r>
  <r>
    <n v="775"/>
    <n v="1315"/>
    <n v="21"/>
    <n v="4"/>
    <n v="60.07"/>
    <n v="0"/>
    <n v="240.28"/>
    <s v="2026-01"/>
    <s v="SKU-0021"/>
    <x v="0"/>
  </r>
  <r>
    <n v="776"/>
    <n v="1315"/>
    <n v="110"/>
    <n v="5"/>
    <n v="112"/>
    <n v="10.69"/>
    <n v="549.30999999999995"/>
    <s v="2026-01"/>
    <s v="SKU-0110"/>
    <x v="0"/>
  </r>
  <r>
    <n v="777"/>
    <n v="1315"/>
    <n v="79"/>
    <n v="7"/>
    <n v="234.02"/>
    <n v="0"/>
    <n v="1638.14"/>
    <s v="2026-01"/>
    <s v="SKU-0079"/>
    <x v="0"/>
  </r>
  <r>
    <n v="778"/>
    <n v="1315"/>
    <n v="28"/>
    <n v="6"/>
    <n v="206.43"/>
    <n v="0"/>
    <n v="1238.58"/>
    <s v="2026-01"/>
    <s v="SKU-0028"/>
    <x v="0"/>
  </r>
  <r>
    <n v="779"/>
    <n v="1316"/>
    <n v="74"/>
    <n v="7"/>
    <n v="130.72999999999999"/>
    <n v="0"/>
    <n v="915.1099999999999"/>
    <s v="2026-01"/>
    <s v="SKU0074"/>
    <x v="0"/>
  </r>
  <r>
    <n v="780"/>
    <n v="1316"/>
    <n v="48"/>
    <n v="3"/>
    <n v="299.56"/>
    <n v="0"/>
    <n v="898.68000000000006"/>
    <s v="2026-01"/>
    <s v="SKU-0048"/>
    <x v="0"/>
  </r>
  <r>
    <n v="781"/>
    <n v="1316"/>
    <n v="129"/>
    <n v="2"/>
    <n v="95.57"/>
    <n v="0"/>
    <n v="191.14"/>
    <s v="2026-01"/>
    <s v="SKU-0129"/>
    <x v="0"/>
  </r>
  <r>
    <n v="782"/>
    <n v="1316"/>
    <n v="48"/>
    <n v="4"/>
    <n v="299.56"/>
    <n v="0"/>
    <n v="1198.24"/>
    <s v="2026-01"/>
    <s v="SKU-0048"/>
    <x v="0"/>
  </r>
  <r>
    <n v="783"/>
    <n v="1317"/>
    <n v="17"/>
    <n v="6"/>
    <n v="299.3"/>
    <n v="0"/>
    <n v="1795.8000000000002"/>
    <s v="2026-03"/>
    <s v="SKU-0017"/>
    <x v="1"/>
  </r>
  <r>
    <n v="784"/>
    <n v="1317"/>
    <n v="123"/>
    <n v="8"/>
    <n v="210.64"/>
    <n v="0"/>
    <n v="1685.12"/>
    <s v="2026-03"/>
    <s v="SKU-0123"/>
    <x v="1"/>
  </r>
  <r>
    <n v="785"/>
    <n v="1317"/>
    <n v="3"/>
    <n v="1"/>
    <n v="22.56"/>
    <n v="0"/>
    <n v="22.56"/>
    <s v="2026-03"/>
    <s v="SKU-0003"/>
    <x v="1"/>
  </r>
  <r>
    <n v="786"/>
    <n v="1318"/>
    <n v="87"/>
    <n v="6"/>
    <n v="124.17"/>
    <n v="0"/>
    <n v="745.02"/>
    <s v="2026-03"/>
    <s v="SKU-0087"/>
    <x v="8"/>
  </r>
  <r>
    <n v="787"/>
    <n v="1318"/>
    <n v="81"/>
    <n v="4"/>
    <n v="244.17"/>
    <n v="14.17"/>
    <n v="962.51"/>
    <s v="2026-03"/>
    <s v="SKU-0081"/>
    <x v="8"/>
  </r>
  <r>
    <n v="788"/>
    <n v="1318"/>
    <n v="97"/>
    <n v="1"/>
    <n v="168.73"/>
    <n v="0"/>
    <n v="168.73"/>
    <s v="2026-03"/>
    <s v="SKU-0097"/>
    <x v="8"/>
  </r>
  <r>
    <n v="789"/>
    <n v="1318"/>
    <n v="26"/>
    <n v="1"/>
    <n v="166.82"/>
    <n v="7.4"/>
    <n v="159.41999999999999"/>
    <s v="2026-03"/>
    <s v="SKU-0026"/>
    <x v="8"/>
  </r>
  <r>
    <n v="790"/>
    <n v="1319"/>
    <n v="132"/>
    <n v="7"/>
    <n v="240.9"/>
    <n v="0"/>
    <n v="1686.3"/>
    <s v="2026-04"/>
    <s v="SKU-0132"/>
    <x v="13"/>
  </r>
  <r>
    <n v="791"/>
    <n v="1319"/>
    <n v="83"/>
    <n v="1"/>
    <n v="269.23"/>
    <n v="0"/>
    <n v="269.23"/>
    <s v="2026-04"/>
    <s v="SKU-0083"/>
    <x v="13"/>
  </r>
  <r>
    <n v="792"/>
    <n v="1319"/>
    <n v="84"/>
    <n v="8"/>
    <n v="150.28"/>
    <n v="4.2699999999999996"/>
    <n v="1197.97"/>
    <s v="2026-04"/>
    <s v="SKU-0084"/>
    <x v="13"/>
  </r>
  <r>
    <n v="793"/>
    <n v="1319"/>
    <n v="103"/>
    <n v="2"/>
    <n v="241.92"/>
    <n v="5.88"/>
    <n v="477.96"/>
    <s v="2026-04"/>
    <s v="SKU-0103"/>
    <x v="13"/>
  </r>
  <r>
    <n v="794"/>
    <n v="1320"/>
    <n v="78"/>
    <n v="8"/>
    <n v="71.75"/>
    <n v="3.35"/>
    <n v="570.65"/>
    <s v="2026-05"/>
    <s v="SKU-0078"/>
    <x v="16"/>
  </r>
  <r>
    <n v="795"/>
    <n v="1321"/>
    <n v="99"/>
    <n v="5"/>
    <n v="50.97"/>
    <n v="0"/>
    <n v="254.85"/>
    <s v="2026-04"/>
    <s v="SKU-0099"/>
    <x v="11"/>
  </r>
  <r>
    <n v="796"/>
    <n v="1321"/>
    <n v="122"/>
    <n v="2"/>
    <n v="151.15"/>
    <n v="10.32"/>
    <n v="291.98"/>
    <s v="2026-04"/>
    <s v="SKU-0122"/>
    <x v="11"/>
  </r>
  <r>
    <n v="797"/>
    <n v="1321"/>
    <n v="24"/>
    <n v="6"/>
    <n v="20.55"/>
    <n v="0"/>
    <n v="123.30000000000001"/>
    <s v="2026-04"/>
    <s v="SKU-0024"/>
    <x v="11"/>
  </r>
  <r>
    <n v="798"/>
    <n v="1322"/>
    <n v="75"/>
    <n v="2"/>
    <n v="180.3"/>
    <n v="0"/>
    <n v="360.6"/>
    <s v="2026-04"/>
    <s v="SKU-0075"/>
    <x v="11"/>
  </r>
  <r>
    <n v="799"/>
    <n v="1323"/>
    <n v="100"/>
    <n v="7"/>
    <n v="233.57"/>
    <n v="0"/>
    <n v="1634.99"/>
    <s v="2026-01"/>
    <s v="SKU-0100"/>
    <x v="19"/>
  </r>
  <r>
    <n v="800"/>
    <n v="1323"/>
    <n v="33"/>
    <n v="4"/>
    <n v="42.63"/>
    <n v="0"/>
    <n v="170.52"/>
    <s v="2026-01"/>
    <s v="SKU-0033"/>
    <x v="19"/>
  </r>
  <r>
    <n v="801"/>
    <n v="1324"/>
    <n v="128"/>
    <n v="8"/>
    <n v="143.38999999999999"/>
    <n v="0"/>
    <n v="1147.1199999999999"/>
    <s v="2026-04"/>
    <s v="SKU-0128"/>
    <x v="13"/>
  </r>
  <r>
    <n v="802"/>
    <n v="1324"/>
    <n v="38"/>
    <n v="1"/>
    <n v="256.88"/>
    <n v="0"/>
    <n v="256.88"/>
    <s v="2026-04"/>
    <s v="SKU-0038"/>
    <x v="13"/>
  </r>
  <r>
    <n v="803"/>
    <n v="1325"/>
    <n v="56"/>
    <n v="8"/>
    <n v="172.23"/>
    <n v="5.08"/>
    <n v="1372.76"/>
    <s v="2026-02"/>
    <s v="SKU-0056"/>
    <x v="10"/>
  </r>
  <r>
    <n v="804"/>
    <n v="1325"/>
    <n v="16"/>
    <n v="6"/>
    <n v="168.61"/>
    <n v="0"/>
    <n v="1011.6600000000001"/>
    <s v="2026-02"/>
    <s v="SKU-0016"/>
    <x v="10"/>
  </r>
  <r>
    <n v="805"/>
    <n v="1325"/>
    <n v="58"/>
    <n v="1"/>
    <n v="57.21"/>
    <n v="0"/>
    <n v="57.21"/>
    <s v="2026-02"/>
    <s v="SKU-0058"/>
    <x v="10"/>
  </r>
  <r>
    <n v="806"/>
    <n v="1325"/>
    <n v="125"/>
    <n v="7"/>
    <n v="273.92"/>
    <n v="0"/>
    <n v="1917.44"/>
    <s v="2026-02"/>
    <s v="SKU-0125"/>
    <x v="10"/>
  </r>
  <r>
    <n v="807"/>
    <n v="1326"/>
    <n v="90"/>
    <n v="7"/>
    <n v="115.25"/>
    <n v="0"/>
    <n v="806.75"/>
    <s v="2026-04"/>
    <s v="SKU-0090"/>
    <x v="4"/>
  </r>
  <r>
    <n v="808"/>
    <n v="1326"/>
    <n v="73"/>
    <n v="4"/>
    <n v="134.83000000000001"/>
    <n v="10.82"/>
    <n v="528.5"/>
    <s v="2026-04"/>
    <s v="SKU-0073"/>
    <x v="4"/>
  </r>
  <r>
    <n v="809"/>
    <n v="1326"/>
    <n v="25"/>
    <n v="3"/>
    <n v="265.23"/>
    <n v="0"/>
    <n v="795.69"/>
    <s v="2026-04"/>
    <s v="SKU-0025"/>
    <x v="4"/>
  </r>
  <r>
    <n v="810"/>
    <n v="1326"/>
    <n v="78"/>
    <n v="8"/>
    <n v="71.75"/>
    <n v="0"/>
    <n v="574"/>
    <s v="2026-04"/>
    <s v="SKU-0078"/>
    <x v="4"/>
  </r>
  <r>
    <n v="811"/>
    <n v="1327"/>
    <n v="51"/>
    <n v="1"/>
    <n v="204.07"/>
    <n v="0"/>
    <n v="204.07"/>
    <s v="2026-05"/>
    <s v="SKU-0051"/>
    <x v="15"/>
  </r>
  <r>
    <n v="812"/>
    <n v="1327"/>
    <n v="38"/>
    <n v="7"/>
    <n v="256.88"/>
    <n v="14.31"/>
    <n v="1783.85"/>
    <s v="2026-05"/>
    <s v="SKU-0038"/>
    <x v="15"/>
  </r>
  <r>
    <n v="813"/>
    <n v="1328"/>
    <n v="46"/>
    <n v="1"/>
    <n v="219.11"/>
    <n v="0"/>
    <n v="219.11"/>
    <s v="2026-02"/>
    <s v="SKU-0046"/>
    <x v="9"/>
  </r>
  <r>
    <n v="814"/>
    <n v="1328"/>
    <n v="112"/>
    <n v="3"/>
    <n v="154.88"/>
    <n v="9.7799999999999994"/>
    <n v="454.86"/>
    <s v="2026-02"/>
    <s v="SKU-0112"/>
    <x v="9"/>
  </r>
  <r>
    <n v="815"/>
    <n v="1328"/>
    <n v="63"/>
    <n v="1"/>
    <n v="214.86"/>
    <n v="2.66"/>
    <n v="212.20000000000002"/>
    <s v="2026-02"/>
    <s v="SKU-0063"/>
    <x v="9"/>
  </r>
  <r>
    <n v="816"/>
    <n v="1328"/>
    <n v="126"/>
    <n v="5"/>
    <n v="32.17"/>
    <n v="0"/>
    <n v="160.85000000000002"/>
    <s v="2026-02"/>
    <s v="SKU-0126"/>
    <x v="9"/>
  </r>
  <r>
    <n v="817"/>
    <n v="1329"/>
    <n v="95"/>
    <n v="1"/>
    <n v="75.319999999999993"/>
    <n v="0"/>
    <n v="75.319999999999993"/>
    <s v="2026-04"/>
    <s v="SKU-0095"/>
    <x v="4"/>
  </r>
  <r>
    <n v="818"/>
    <n v="1329"/>
    <n v="32"/>
    <n v="8"/>
    <n v="221.16"/>
    <n v="0"/>
    <n v="1769.28"/>
    <s v="2026-04"/>
    <s v="SKU-0032"/>
    <x v="4"/>
  </r>
  <r>
    <n v="819"/>
    <n v="1329"/>
    <n v="6"/>
    <n v="8"/>
    <n v="256.54000000000002"/>
    <n v="0"/>
    <n v="2052.3200000000002"/>
    <s v="2026-04"/>
    <s v="SKU-0006"/>
    <x v="4"/>
  </r>
  <r>
    <n v="820"/>
    <n v="1329"/>
    <n v="47"/>
    <n v="7"/>
    <n v="100.5"/>
    <n v="7.78"/>
    <n v="695.72"/>
    <s v="2026-04"/>
    <s v="SKU-0047"/>
    <x v="4"/>
  </r>
  <r>
    <n v="821"/>
    <n v="1330"/>
    <n v="104"/>
    <n v="1"/>
    <n v="199.55"/>
    <n v="6.51"/>
    <n v="193.04000000000002"/>
    <s v="2026-02"/>
    <s v="SKU-0104"/>
    <x v="10"/>
  </r>
  <r>
    <n v="822"/>
    <n v="1330"/>
    <n v="17"/>
    <n v="2"/>
    <n v="299.3"/>
    <n v="0"/>
    <n v="598.6"/>
    <s v="2026-02"/>
    <s v="SKU-0017"/>
    <x v="10"/>
  </r>
  <r>
    <n v="823"/>
    <n v="1331"/>
    <n v="42"/>
    <n v="2"/>
    <n v="169.53"/>
    <n v="0"/>
    <n v="339.06"/>
    <s v="2026-02"/>
    <s v="SKU-0042"/>
    <x v="10"/>
  </r>
  <r>
    <n v="824"/>
    <n v="1331"/>
    <n v="22"/>
    <n v="2"/>
    <n v="159.69"/>
    <n v="0"/>
    <n v="319.38"/>
    <s v="2026-02"/>
    <s v="SKU-0022"/>
    <x v="10"/>
  </r>
  <r>
    <n v="825"/>
    <n v="1332"/>
    <n v="148"/>
    <n v="8"/>
    <n v="124.32"/>
    <n v="0"/>
    <n v="994.56"/>
    <s v="2026-03"/>
    <s v="SKU0148"/>
    <x v="1"/>
  </r>
  <r>
    <n v="826"/>
    <n v="1332"/>
    <n v="138"/>
    <n v="4"/>
    <n v="106.5"/>
    <n v="0"/>
    <n v="426"/>
    <s v="2026-03"/>
    <s v="SKU-0138"/>
    <x v="1"/>
  </r>
  <r>
    <n v="827"/>
    <n v="1333"/>
    <n v="109"/>
    <n v="2"/>
    <n v="257.52"/>
    <n v="0"/>
    <n v="515.04"/>
    <s v="2026-02"/>
    <s v="SKU-0109"/>
    <x v="5"/>
  </r>
  <r>
    <n v="828"/>
    <n v="1333"/>
    <n v="98"/>
    <n v="3"/>
    <n v="285.64"/>
    <n v="0"/>
    <n v="856.92"/>
    <s v="2026-02"/>
    <s v="SKU-0098"/>
    <x v="5"/>
  </r>
  <r>
    <n v="829"/>
    <n v="1334"/>
    <n v="108"/>
    <n v="3"/>
    <n v="143.47999999999999"/>
    <n v="5.43"/>
    <n v="425.00999999999993"/>
    <s v="2026-02"/>
    <s v="SKU-0108"/>
    <x v="14"/>
  </r>
  <r>
    <n v="830"/>
    <n v="1334"/>
    <n v="98"/>
    <n v="1"/>
    <n v="285.64"/>
    <n v="0"/>
    <n v="285.64"/>
    <s v="2026-02"/>
    <s v="SKU-0098"/>
    <x v="14"/>
  </r>
  <r>
    <n v="831"/>
    <n v="1335"/>
    <n v="58"/>
    <n v="5"/>
    <n v="57.21"/>
    <n v="1.1399999999999999"/>
    <n v="284.91000000000003"/>
    <s v="2026-01"/>
    <s v="SKU-0058"/>
    <x v="0"/>
  </r>
  <r>
    <n v="832"/>
    <n v="1335"/>
    <n v="57"/>
    <n v="7"/>
    <n v="266.69"/>
    <n v="0"/>
    <n v="1866.83"/>
    <s v="2026-01"/>
    <s v="SKU-0057"/>
    <x v="0"/>
  </r>
  <r>
    <n v="833"/>
    <n v="1336"/>
    <n v="82"/>
    <n v="7"/>
    <n v="243.4"/>
    <n v="3.53"/>
    <n v="1700.27"/>
    <s v="2026-03"/>
    <s v="SKU-0082"/>
    <x v="8"/>
  </r>
  <r>
    <n v="834"/>
    <n v="1336"/>
    <n v="123"/>
    <n v="3"/>
    <n v="210.64"/>
    <n v="0"/>
    <n v="631.91999999999996"/>
    <s v="2026-03"/>
    <s v="SKU-0123"/>
    <x v="8"/>
  </r>
  <r>
    <n v="835"/>
    <n v="1337"/>
    <n v="91"/>
    <n v="8"/>
    <n v="170.65"/>
    <n v="0"/>
    <n v="1365.2"/>
    <s v="2026-04"/>
    <s v="SKU-0091"/>
    <x v="2"/>
  </r>
  <r>
    <n v="836"/>
    <n v="1337"/>
    <n v="110"/>
    <n v="4"/>
    <n v="112"/>
    <n v="0"/>
    <n v="448"/>
    <s v="2026-04"/>
    <s v="SKU-0110"/>
    <x v="2"/>
  </r>
  <r>
    <n v="837"/>
    <n v="1337"/>
    <n v="79"/>
    <n v="7"/>
    <n v="234.02"/>
    <n v="0"/>
    <n v="1638.14"/>
    <s v="2026-04"/>
    <s v="SKU-0079"/>
    <x v="2"/>
  </r>
  <r>
    <n v="838"/>
    <n v="1337"/>
    <n v="21"/>
    <n v="2"/>
    <n v="60.07"/>
    <n v="0"/>
    <n v="120.14"/>
    <s v="2026-04"/>
    <s v="SKU-0021"/>
    <x v="2"/>
  </r>
  <r>
    <n v="839"/>
    <n v="1338"/>
    <n v="132"/>
    <n v="2"/>
    <n v="240.9"/>
    <n v="0"/>
    <n v="481.8"/>
    <s v="2026-05"/>
    <s v="SKU-0132"/>
    <x v="16"/>
  </r>
  <r>
    <n v="840"/>
    <n v="1338"/>
    <n v="2"/>
    <n v="7"/>
    <n v="135.25"/>
    <n v="0"/>
    <n v="946.75"/>
    <s v="2026-05"/>
    <s v="SKU-0002"/>
    <x v="16"/>
  </r>
  <r>
    <n v="841"/>
    <n v="1338"/>
    <n v="63"/>
    <n v="1"/>
    <n v="214.86"/>
    <n v="0"/>
    <n v="214.86"/>
    <s v="2026-05"/>
    <s v="SKU-0063"/>
    <x v="16"/>
  </r>
  <r>
    <n v="842"/>
    <n v="1338"/>
    <n v="135"/>
    <n v="4"/>
    <n v="41.03"/>
    <n v="0"/>
    <n v="164.12"/>
    <s v="2026-05"/>
    <s v="SKU-0135"/>
    <x v="16"/>
  </r>
  <r>
    <n v="843"/>
    <n v="1339"/>
    <n v="75"/>
    <n v="5"/>
    <n v="180.3"/>
    <n v="0"/>
    <n v="901.5"/>
    <s v="2026-01"/>
    <s v="SKU-0075"/>
    <x v="17"/>
  </r>
  <r>
    <n v="844"/>
    <n v="1340"/>
    <n v="119"/>
    <n v="8"/>
    <n v="27.97"/>
    <n v="0"/>
    <n v="223.76"/>
    <s v="2026-04"/>
    <s v="SKU-0119"/>
    <x v="4"/>
  </r>
  <r>
    <n v="845"/>
    <n v="1341"/>
    <n v="51"/>
    <n v="2"/>
    <n v="204.07"/>
    <n v="0"/>
    <n v="408.14"/>
    <s v="2026-04"/>
    <s v="SKU-0051"/>
    <x v="12"/>
  </r>
  <r>
    <n v="846"/>
    <n v="1341"/>
    <n v="106"/>
    <n v="2"/>
    <n v="65.2"/>
    <n v="0"/>
    <n v="130.4"/>
    <s v="2026-04"/>
    <s v="SKU-0106"/>
    <x v="12"/>
  </r>
  <r>
    <n v="847"/>
    <n v="1341"/>
    <n v="40"/>
    <n v="5"/>
    <n v="90.58"/>
    <n v="4.17"/>
    <n v="448.72999999999996"/>
    <s v="2026-04"/>
    <s v="SKU-0040"/>
    <x v="12"/>
  </r>
  <r>
    <n v="848"/>
    <n v="1341"/>
    <n v="96"/>
    <n v="5"/>
    <n v="252.1"/>
    <n v="0"/>
    <n v="1260.5"/>
    <s v="2026-04"/>
    <s v="SKU-0096"/>
    <x v="12"/>
  </r>
  <r>
    <n v="849"/>
    <n v="1342"/>
    <n v="51"/>
    <n v="2"/>
    <n v="204.07"/>
    <n v="0"/>
    <n v="408.14"/>
    <s v="2026-04"/>
    <s v="SKU-0051"/>
    <x v="12"/>
  </r>
  <r>
    <n v="850"/>
    <n v="1342"/>
    <n v="35"/>
    <n v="7"/>
    <n v="46.14"/>
    <n v="0"/>
    <n v="322.98"/>
    <s v="2026-04"/>
    <s v="SKU-0035"/>
    <x v="12"/>
  </r>
  <r>
    <n v="851"/>
    <n v="1342"/>
    <n v="9"/>
    <n v="3"/>
    <n v="235.32"/>
    <n v="10.33"/>
    <n v="695.63"/>
    <s v="2026-04"/>
    <s v="SKU-0009"/>
    <x v="12"/>
  </r>
  <r>
    <n v="852"/>
    <n v="1343"/>
    <n v="34"/>
    <n v="2"/>
    <n v="222.79"/>
    <n v="0"/>
    <n v="445.58"/>
    <s v="2026-04"/>
    <s v="SKU-0034"/>
    <x v="2"/>
  </r>
  <r>
    <n v="853"/>
    <n v="1343"/>
    <n v="33"/>
    <n v="3"/>
    <n v="42.63"/>
    <n v="0"/>
    <n v="127.89000000000001"/>
    <s v="2026-04"/>
    <s v="SKU-0033"/>
    <x v="2"/>
  </r>
  <r>
    <n v="854"/>
    <n v="1343"/>
    <n v="61"/>
    <n v="1"/>
    <n v="293.22000000000003"/>
    <n v="0"/>
    <n v="293.22000000000003"/>
    <s v="2026-04"/>
    <s v="SKU-0061"/>
    <x v="2"/>
  </r>
  <r>
    <n v="855"/>
    <n v="1343"/>
    <n v="110"/>
    <n v="1"/>
    <n v="112"/>
    <n v="0"/>
    <n v="112"/>
    <s v="2026-04"/>
    <s v="SKU-0110"/>
    <x v="2"/>
  </r>
  <r>
    <n v="856"/>
    <n v="1344"/>
    <n v="110"/>
    <n v="4"/>
    <n v="112"/>
    <n v="0"/>
    <n v="448"/>
    <s v="2026-03"/>
    <s v="SKU-0110"/>
    <x v="8"/>
  </r>
  <r>
    <n v="857"/>
    <n v="1344"/>
    <n v="129"/>
    <n v="3"/>
    <n v="95.57"/>
    <n v="0"/>
    <n v="286.70999999999998"/>
    <s v="2026-03"/>
    <s v="SKU-0129"/>
    <x v="8"/>
  </r>
  <r>
    <n v="858"/>
    <n v="1345"/>
    <n v="98"/>
    <n v="7"/>
    <n v="285.64"/>
    <n v="0"/>
    <n v="1999.48"/>
    <s v="2026-01"/>
    <s v="SKU-0098"/>
    <x v="18"/>
  </r>
  <r>
    <n v="859"/>
    <n v="1346"/>
    <n v="108"/>
    <n v="4"/>
    <n v="143.47999999999999"/>
    <n v="0"/>
    <n v="573.91999999999996"/>
    <s v="2026-01"/>
    <s v="SKU-0108"/>
    <x v="17"/>
  </r>
  <r>
    <n v="860"/>
    <n v="1346"/>
    <n v="47"/>
    <n v="1"/>
    <n v="100.5"/>
    <n v="0"/>
    <n v="100.5"/>
    <s v="2026-01"/>
    <s v="SKU-0047"/>
    <x v="17"/>
  </r>
  <r>
    <n v="861"/>
    <n v="1346"/>
    <n v="55"/>
    <n v="5"/>
    <n v="110.06"/>
    <n v="0"/>
    <n v="550.29999999999995"/>
    <s v="2026-01"/>
    <s v="SKU-0055"/>
    <x v="17"/>
  </r>
  <r>
    <n v="862"/>
    <n v="1347"/>
    <n v="29"/>
    <n v="2"/>
    <n v="33.25"/>
    <n v="0"/>
    <n v="66.5"/>
    <s v="2026-03"/>
    <s v="SKU-0029"/>
    <x v="7"/>
  </r>
  <r>
    <n v="863"/>
    <n v="1347"/>
    <n v="85"/>
    <n v="6"/>
    <n v="163.57"/>
    <n v="0"/>
    <n v="981.42"/>
    <s v="2026-03"/>
    <s v="SKU-0085"/>
    <x v="7"/>
  </r>
  <r>
    <n v="864"/>
    <n v="1347"/>
    <n v="136"/>
    <n v="6"/>
    <n v="230.54"/>
    <n v="0"/>
    <n v="1383.24"/>
    <s v="2026-03"/>
    <s v="SKU-0136"/>
    <x v="7"/>
  </r>
  <r>
    <n v="865"/>
    <n v="1348"/>
    <n v="20"/>
    <n v="6"/>
    <n v="168.04"/>
    <n v="5.22"/>
    <n v="1003.02"/>
    <s v="2026-02"/>
    <s v="SKU-0020"/>
    <x v="14"/>
  </r>
  <r>
    <n v="866"/>
    <n v="1349"/>
    <n v="112"/>
    <n v="2"/>
    <n v="154.88"/>
    <n v="0"/>
    <n v="309.76"/>
    <s v="2026-03"/>
    <s v="SKU-0112"/>
    <x v="12"/>
  </r>
  <r>
    <n v="867"/>
    <n v="1350"/>
    <n v="43"/>
    <n v="8"/>
    <n v="277.02999999999997"/>
    <n v="11.51"/>
    <n v="2204.7299999999996"/>
    <s v="2026-05"/>
    <s v="SKU-0043"/>
    <x v="15"/>
  </r>
  <r>
    <n v="868"/>
    <n v="1351"/>
    <n v="129"/>
    <n v="5"/>
    <n v="95.57"/>
    <n v="0"/>
    <n v="477.84999999999997"/>
    <s v="2026-02"/>
    <s v="SKU-0129"/>
    <x v="5"/>
  </r>
  <r>
    <n v="869"/>
    <n v="1351"/>
    <n v="76"/>
    <n v="5"/>
    <n v="160.68"/>
    <n v="0"/>
    <n v="803.40000000000009"/>
    <s v="2026-02"/>
    <s v="SKU-0076"/>
    <x v="5"/>
  </r>
  <r>
    <n v="870"/>
    <n v="1351"/>
    <n v="58"/>
    <n v="1"/>
    <n v="57.21"/>
    <n v="0"/>
    <n v="57.21"/>
    <s v="2026-02"/>
    <s v="SKU-0058"/>
    <x v="5"/>
  </r>
  <r>
    <n v="871"/>
    <n v="1351"/>
    <n v="11"/>
    <n v="3"/>
    <n v="91.09"/>
    <n v="0"/>
    <n v="273.27"/>
    <s v="2026-02"/>
    <s v="SKU-0011"/>
    <x v="5"/>
  </r>
  <r>
    <n v="872"/>
    <n v="1352"/>
    <n v="22"/>
    <n v="5"/>
    <n v="159.69"/>
    <n v="11.11"/>
    <n v="787.34"/>
    <s v="2026-03"/>
    <s v="SKU-0022"/>
    <x v="12"/>
  </r>
  <r>
    <n v="873"/>
    <n v="1352"/>
    <n v="76"/>
    <n v="6"/>
    <n v="160.68"/>
    <n v="0"/>
    <n v="964.08"/>
    <s v="2026-03"/>
    <s v="SKU-0076"/>
    <x v="12"/>
  </r>
  <r>
    <n v="874"/>
    <n v="1352"/>
    <n v="92"/>
    <n v="4"/>
    <n v="23.27"/>
    <n v="0"/>
    <n v="93.08"/>
    <s v="2026-03"/>
    <s v="SKU-0092"/>
    <x v="12"/>
  </r>
  <r>
    <n v="875"/>
    <n v="1353"/>
    <n v="114"/>
    <n v="4"/>
    <n v="171.86"/>
    <n v="0"/>
    <n v="687.44"/>
    <s v="2026-03"/>
    <s v="SKU-0114"/>
    <x v="7"/>
  </r>
  <r>
    <n v="876"/>
    <n v="1353"/>
    <n v="149"/>
    <n v="7"/>
    <n v="258.51"/>
    <n v="0"/>
    <n v="1809.57"/>
    <s v="2026-03"/>
    <s v="SKU-0149"/>
    <x v="7"/>
  </r>
  <r>
    <n v="877"/>
    <n v="1354"/>
    <n v="73"/>
    <n v="1"/>
    <n v="134.83000000000001"/>
    <n v="0"/>
    <n v="134.83000000000001"/>
    <s v="2026-02"/>
    <s v="SKU-0073"/>
    <x v="14"/>
  </r>
  <r>
    <n v="878"/>
    <n v="1354"/>
    <n v="101"/>
    <n v="4"/>
    <n v="45.81"/>
    <n v="0"/>
    <n v="183.24"/>
    <s v="2026-02"/>
    <s v="SKU-0101"/>
    <x v="14"/>
  </r>
  <r>
    <n v="879"/>
    <n v="1355"/>
    <n v="4"/>
    <n v="1"/>
    <n v="94.28"/>
    <n v="0"/>
    <n v="94.28"/>
    <s v="2026-01"/>
    <s v="SKU-0004"/>
    <x v="17"/>
  </r>
  <r>
    <n v="880"/>
    <n v="1356"/>
    <n v="42"/>
    <n v="5"/>
    <n v="169.53"/>
    <n v="0"/>
    <n v="847.65"/>
    <s v="2026-02"/>
    <s v="SKU-0042"/>
    <x v="14"/>
  </r>
  <r>
    <n v="881"/>
    <n v="1356"/>
    <n v="63"/>
    <n v="1"/>
    <n v="214.86"/>
    <n v="0"/>
    <n v="214.86"/>
    <s v="2026-02"/>
    <s v="SKU-0063"/>
    <x v="14"/>
  </r>
  <r>
    <n v="882"/>
    <n v="1356"/>
    <n v="140"/>
    <n v="2"/>
    <n v="86.93"/>
    <n v="0"/>
    <n v="173.86"/>
    <s v="2026-02"/>
    <s v="SKU-0140"/>
    <x v="14"/>
  </r>
  <r>
    <n v="883"/>
    <n v="1356"/>
    <n v="27"/>
    <n v="5"/>
    <n v="165.39"/>
    <n v="2.44"/>
    <n v="824.50999999999988"/>
    <s v="2026-02"/>
    <s v="SKU-0027"/>
    <x v="14"/>
  </r>
  <r>
    <n v="884"/>
    <n v="1357"/>
    <n v="126"/>
    <n v="3"/>
    <n v="32.17"/>
    <n v="0"/>
    <n v="96.51"/>
    <s v="2026-02"/>
    <s v="SKU-0126"/>
    <x v="5"/>
  </r>
  <r>
    <n v="885"/>
    <n v="1358"/>
    <n v="47"/>
    <n v="7"/>
    <n v="100.5"/>
    <n v="0"/>
    <n v="703.5"/>
    <s v="2026-02"/>
    <s v="SKU-0047"/>
    <x v="9"/>
  </r>
  <r>
    <n v="886"/>
    <n v="1358"/>
    <n v="74"/>
    <n v="6"/>
    <n v="130.72999999999999"/>
    <n v="0"/>
    <n v="784.37999999999988"/>
    <s v="2026-02"/>
    <s v="SKU0074"/>
    <x v="9"/>
  </r>
  <r>
    <n v="887"/>
    <n v="1358"/>
    <n v="128"/>
    <n v="6"/>
    <n v="143.38999999999999"/>
    <n v="0"/>
    <n v="860.33999999999992"/>
    <s v="2026-02"/>
    <s v="SKU-0128"/>
    <x v="9"/>
  </r>
  <r>
    <n v="888"/>
    <n v="1359"/>
    <n v="38"/>
    <n v="2"/>
    <n v="256.88"/>
    <n v="0"/>
    <n v="513.76"/>
    <s v="2026-01"/>
    <s v="SKU-0038"/>
    <x v="17"/>
  </r>
  <r>
    <n v="889"/>
    <n v="1359"/>
    <n v="47"/>
    <n v="7"/>
    <n v="100.5"/>
    <n v="5.94"/>
    <n v="697.56"/>
    <s v="2026-01"/>
    <s v="SKU-0047"/>
    <x v="17"/>
  </r>
  <r>
    <n v="890"/>
    <n v="1359"/>
    <n v="109"/>
    <n v="8"/>
    <n v="257.52"/>
    <n v="10.71"/>
    <n v="2049.4499999999998"/>
    <s v="2026-01"/>
    <s v="SKU-0109"/>
    <x v="17"/>
  </r>
  <r>
    <n v="891"/>
    <n v="1360"/>
    <n v="99"/>
    <n v="2"/>
    <n v="50.97"/>
    <n v="9.1300000000000008"/>
    <n v="92.81"/>
    <s v="2026-05"/>
    <s v="SKU-0099"/>
    <x v="15"/>
  </r>
  <r>
    <n v="892"/>
    <n v="1360"/>
    <n v="135"/>
    <n v="4"/>
    <n v="41.03"/>
    <n v="0"/>
    <n v="164.12"/>
    <s v="2026-05"/>
    <s v="SKU-0135"/>
    <x v="15"/>
  </r>
  <r>
    <n v="893"/>
    <n v="1361"/>
    <n v="37"/>
    <n v="7"/>
    <n v="258.95"/>
    <n v="0"/>
    <n v="1812.6499999999999"/>
    <s v="2026-03"/>
    <s v="SKU0037"/>
    <x v="12"/>
  </r>
  <r>
    <n v="894"/>
    <n v="1361"/>
    <n v="15"/>
    <n v="3"/>
    <n v="198.21"/>
    <n v="0"/>
    <n v="594.63"/>
    <s v="2026-03"/>
    <s v="SKU-0015"/>
    <x v="12"/>
  </r>
  <r>
    <n v="895"/>
    <n v="1361"/>
    <n v="97"/>
    <n v="1"/>
    <n v="168.73"/>
    <n v="10.75"/>
    <n v="157.97999999999999"/>
    <s v="2026-03"/>
    <s v="SKU-0097"/>
    <x v="12"/>
  </r>
  <r>
    <n v="896"/>
    <n v="1361"/>
    <n v="96"/>
    <n v="1"/>
    <n v="252.1"/>
    <n v="0"/>
    <n v="252.1"/>
    <s v="2026-03"/>
    <s v="SKU-0096"/>
    <x v="12"/>
  </r>
  <r>
    <n v="897"/>
    <n v="1362"/>
    <n v="21"/>
    <n v="4"/>
    <n v="60.07"/>
    <n v="2.08"/>
    <n v="238.2"/>
    <s v="2026-02"/>
    <s v="SKU-0021"/>
    <x v="9"/>
  </r>
  <r>
    <n v="898"/>
    <n v="1362"/>
    <n v="39"/>
    <n v="3"/>
    <n v="129.30000000000001"/>
    <n v="0"/>
    <n v="387.90000000000003"/>
    <s v="2026-02"/>
    <s v="SKU-0039"/>
    <x v="9"/>
  </r>
  <r>
    <n v="899"/>
    <n v="1363"/>
    <n v="45"/>
    <n v="3"/>
    <n v="184.44"/>
    <n v="1.1499999999999999"/>
    <n v="552.16999999999996"/>
    <s v="2026-01"/>
    <s v="SKU-0045"/>
    <x v="17"/>
  </r>
  <r>
    <n v="900"/>
    <n v="1364"/>
    <n v="33"/>
    <n v="4"/>
    <n v="42.63"/>
    <n v="0"/>
    <n v="170.52"/>
    <s v="2026-04"/>
    <s v="SKU-0033"/>
    <x v="11"/>
  </r>
  <r>
    <n v="901"/>
    <n v="1364"/>
    <n v="57"/>
    <n v="7"/>
    <n v="266.69"/>
    <n v="0"/>
    <n v="1866.83"/>
    <s v="2026-04"/>
    <s v="SKU-0057"/>
    <x v="11"/>
  </r>
  <r>
    <n v="902"/>
    <n v="1364"/>
    <n v="120"/>
    <n v="8"/>
    <n v="229.55"/>
    <n v="5.38"/>
    <n v="1831.02"/>
    <s v="2026-04"/>
    <s v="SKU-0120"/>
    <x v="11"/>
  </r>
  <r>
    <n v="903"/>
    <n v="1364"/>
    <n v="98"/>
    <n v="3"/>
    <n v="285.64"/>
    <n v="0"/>
    <n v="856.92"/>
    <s v="2026-04"/>
    <s v="SKU-0098"/>
    <x v="11"/>
  </r>
  <r>
    <n v="904"/>
    <n v="1365"/>
    <n v="17"/>
    <n v="4"/>
    <n v="299.3"/>
    <n v="0"/>
    <n v="1197.2"/>
    <s v="2026-03"/>
    <s v="SKU-0017"/>
    <x v="7"/>
  </r>
  <r>
    <n v="905"/>
    <n v="1366"/>
    <n v="80"/>
    <n v="1"/>
    <n v="84.54"/>
    <n v="0"/>
    <n v="84.54"/>
    <s v="2026-05"/>
    <s v="SKU-0080"/>
    <x v="15"/>
  </r>
  <r>
    <n v="906"/>
    <n v="1367"/>
    <n v="129"/>
    <n v="3"/>
    <n v="95.57"/>
    <n v="1.33"/>
    <n v="285.38"/>
    <s v="2026-03"/>
    <s v="SKU-0129"/>
    <x v="6"/>
  </r>
  <r>
    <n v="907"/>
    <n v="1368"/>
    <n v="42"/>
    <n v="6"/>
    <n v="169.53"/>
    <n v="0"/>
    <n v="1017.1800000000001"/>
    <s v="2026-03"/>
    <s v="SKU-0042"/>
    <x v="7"/>
  </r>
  <r>
    <n v="908"/>
    <n v="1368"/>
    <n v="87"/>
    <n v="5"/>
    <n v="124.17"/>
    <n v="6.04"/>
    <n v="614.81000000000006"/>
    <s v="2026-03"/>
    <s v="SKU-0087"/>
    <x v="7"/>
  </r>
  <r>
    <n v="909"/>
    <n v="1369"/>
    <n v="141"/>
    <n v="2"/>
    <n v="15.33"/>
    <n v="7.98"/>
    <n v="22.68"/>
    <s v="2026-05"/>
    <s v="SKU-0141"/>
    <x v="15"/>
  </r>
  <r>
    <n v="910"/>
    <n v="1369"/>
    <n v="81"/>
    <n v="3"/>
    <n v="244.17"/>
    <n v="0"/>
    <n v="732.51"/>
    <s v="2026-05"/>
    <s v="SKU-0081"/>
    <x v="15"/>
  </r>
  <r>
    <n v="911"/>
    <n v="1369"/>
    <n v="18"/>
    <n v="5"/>
    <n v="60.59"/>
    <n v="0"/>
    <n v="302.95000000000005"/>
    <s v="2026-05"/>
    <s v="SKU-0018"/>
    <x v="15"/>
  </r>
  <r>
    <n v="912"/>
    <n v="1370"/>
    <n v="94"/>
    <n v="5"/>
    <n v="53.67"/>
    <n v="0"/>
    <n v="268.35000000000002"/>
    <s v="2026-02"/>
    <s v="SKU-0094"/>
    <x v="10"/>
  </r>
  <r>
    <n v="913"/>
    <n v="1371"/>
    <n v="15"/>
    <n v="4"/>
    <n v="198.21"/>
    <n v="0"/>
    <n v="792.84"/>
    <s v="2026-05"/>
    <s v="SKU-0015"/>
    <x v="16"/>
  </r>
  <r>
    <n v="914"/>
    <n v="1372"/>
    <n v="120"/>
    <n v="8"/>
    <n v="229.55"/>
    <n v="0"/>
    <n v="1836.4"/>
    <s v="2026-04"/>
    <s v="SKU-0120"/>
    <x v="13"/>
  </r>
  <r>
    <n v="915"/>
    <n v="1372"/>
    <n v="28"/>
    <n v="7"/>
    <n v="206.43"/>
    <n v="0"/>
    <n v="1445.01"/>
    <s v="2026-04"/>
    <s v="SKU-0028"/>
    <x v="13"/>
  </r>
  <r>
    <n v="916"/>
    <n v="1372"/>
    <n v="103"/>
    <n v="6"/>
    <n v="241.92"/>
    <n v="0"/>
    <n v="1451.52"/>
    <s v="2026-04"/>
    <s v="SKU-0103"/>
    <x v="13"/>
  </r>
  <r>
    <n v="917"/>
    <n v="1372"/>
    <n v="125"/>
    <n v="4"/>
    <n v="273.92"/>
    <n v="10.83"/>
    <n v="1084.8500000000001"/>
    <s v="2026-04"/>
    <s v="SKU-0125"/>
    <x v="13"/>
  </r>
  <r>
    <n v="918"/>
    <n v="1373"/>
    <n v="16"/>
    <n v="6"/>
    <n v="168.61"/>
    <n v="12.05"/>
    <n v="999.61000000000013"/>
    <s v="2026-03"/>
    <s v="SKU-0016"/>
    <x v="6"/>
  </r>
  <r>
    <n v="919"/>
    <n v="1373"/>
    <n v="55"/>
    <n v="1"/>
    <n v="110.06"/>
    <n v="0"/>
    <n v="110.06"/>
    <s v="2026-03"/>
    <s v="SKU-0055"/>
    <x v="6"/>
  </r>
  <r>
    <n v="920"/>
    <n v="1373"/>
    <n v="109"/>
    <n v="5"/>
    <n v="257.52"/>
    <n v="0"/>
    <n v="1287.5999999999999"/>
    <s v="2026-03"/>
    <s v="SKU-0109"/>
    <x v="6"/>
  </r>
  <r>
    <n v="921"/>
    <n v="1373"/>
    <n v="22"/>
    <n v="3"/>
    <n v="159.69"/>
    <n v="1.97"/>
    <n v="477.09999999999997"/>
    <s v="2026-03"/>
    <s v="SKU-0022"/>
    <x v="6"/>
  </r>
  <r>
    <n v="922"/>
    <n v="1374"/>
    <n v="43"/>
    <n v="4"/>
    <n v="277.02999999999997"/>
    <n v="5.89"/>
    <n v="1102.2299999999998"/>
    <s v="2026-01"/>
    <s v="SKU-0043"/>
    <x v="3"/>
  </r>
  <r>
    <n v="923"/>
    <n v="1374"/>
    <n v="124"/>
    <n v="8"/>
    <n v="48.76"/>
    <n v="0"/>
    <n v="390.08"/>
    <s v="2026-01"/>
    <s v="SKU-0124"/>
    <x v="3"/>
  </r>
  <r>
    <n v="924"/>
    <n v="1374"/>
    <n v="112"/>
    <n v="6"/>
    <n v="154.88"/>
    <n v="13.78"/>
    <n v="915.5"/>
    <s v="2026-01"/>
    <s v="SKU-0112"/>
    <x v="3"/>
  </r>
  <r>
    <n v="925"/>
    <n v="1375"/>
    <n v="128"/>
    <n v="6"/>
    <n v="143.38999999999999"/>
    <n v="2.59"/>
    <n v="857.74999999999989"/>
    <s v="2026-03"/>
    <s v="SKU-0128"/>
    <x v="6"/>
  </r>
  <r>
    <n v="926"/>
    <n v="1375"/>
    <n v="68"/>
    <n v="1"/>
    <n v="138.85"/>
    <n v="0"/>
    <n v="138.85"/>
    <s v="2026-03"/>
    <s v="SKU-0068"/>
    <x v="6"/>
  </r>
  <r>
    <n v="927"/>
    <n v="1376"/>
    <n v="54"/>
    <n v="4"/>
    <n v="256.14"/>
    <n v="0"/>
    <n v="1024.56"/>
    <s v="2026-02"/>
    <s v="SKU-0054"/>
    <x v="9"/>
  </r>
  <r>
    <n v="928"/>
    <n v="1376"/>
    <n v="95"/>
    <n v="6"/>
    <n v="75.319999999999993"/>
    <n v="0"/>
    <n v="451.91999999999996"/>
    <s v="2026-02"/>
    <s v="SKU-0095"/>
    <x v="9"/>
  </r>
  <r>
    <n v="929"/>
    <n v="1376"/>
    <n v="129"/>
    <n v="2"/>
    <n v="95.57"/>
    <n v="10.79"/>
    <n v="180.35"/>
    <s v="2026-02"/>
    <s v="SKU-0129"/>
    <x v="9"/>
  </r>
  <r>
    <n v="930"/>
    <n v="1377"/>
    <n v="142"/>
    <n v="3"/>
    <n v="192.45"/>
    <n v="8.6"/>
    <n v="568.74999999999989"/>
    <s v="2026-02"/>
    <s v="SKU-0142"/>
    <x v="14"/>
  </r>
  <r>
    <n v="931"/>
    <n v="1377"/>
    <n v="73"/>
    <n v="7"/>
    <n v="134.83000000000001"/>
    <n v="0"/>
    <n v="943.81000000000006"/>
    <s v="2026-02"/>
    <s v="SKU-0073"/>
    <x v="14"/>
  </r>
  <r>
    <n v="932"/>
    <n v="1378"/>
    <n v="75"/>
    <n v="7"/>
    <n v="180.3"/>
    <n v="3.97"/>
    <n v="1258.1300000000001"/>
    <s v="2026-01"/>
    <s v="SKU-0075"/>
    <x v="17"/>
  </r>
  <r>
    <n v="933"/>
    <n v="1379"/>
    <n v="2"/>
    <n v="6"/>
    <n v="135.25"/>
    <n v="0"/>
    <n v="811.5"/>
    <s v="2026-04"/>
    <s v="SKU-0002"/>
    <x v="2"/>
  </r>
  <r>
    <n v="934"/>
    <n v="1379"/>
    <n v="69"/>
    <n v="5"/>
    <n v="69.17"/>
    <n v="5.3"/>
    <n v="340.55"/>
    <s v="2026-04"/>
    <s v="SKU-0069"/>
    <x v="2"/>
  </r>
  <r>
    <n v="935"/>
    <n v="1379"/>
    <n v="62"/>
    <n v="1"/>
    <n v="109.67"/>
    <n v="13.6"/>
    <n v="96.070000000000007"/>
    <s v="2026-04"/>
    <s v="SKU-0062"/>
    <x v="2"/>
  </r>
  <r>
    <n v="936"/>
    <n v="1379"/>
    <n v="9"/>
    <n v="1"/>
    <n v="235.32"/>
    <n v="0"/>
    <n v="235.32"/>
    <s v="2026-04"/>
    <s v="SKU-0009"/>
    <x v="2"/>
  </r>
  <r>
    <n v="937"/>
    <n v="1380"/>
    <n v="14"/>
    <n v="7"/>
    <n v="33.86"/>
    <n v="2.8"/>
    <n v="234.21999999999997"/>
    <s v="2026-04"/>
    <s v="SKU-0014"/>
    <x v="4"/>
  </r>
  <r>
    <n v="938"/>
    <n v="1380"/>
    <n v="45"/>
    <n v="7"/>
    <n v="184.44"/>
    <n v="0"/>
    <n v="1291.08"/>
    <s v="2026-04"/>
    <s v="SKU-0045"/>
    <x v="4"/>
  </r>
  <r>
    <n v="939"/>
    <n v="1380"/>
    <n v="112"/>
    <n v="4"/>
    <n v="154.88"/>
    <n v="0"/>
    <n v="619.52"/>
    <s v="2026-04"/>
    <s v="SKU-0112"/>
    <x v="4"/>
  </r>
  <r>
    <n v="940"/>
    <n v="1380"/>
    <n v="130"/>
    <n v="2"/>
    <n v="193.14"/>
    <n v="9.84"/>
    <n v="376.44"/>
    <s v="2026-04"/>
    <s v="SKU-0130"/>
    <x v="4"/>
  </r>
  <r>
    <n v="941"/>
    <n v="1381"/>
    <n v="8"/>
    <n v="2"/>
    <n v="118.07"/>
    <n v="0"/>
    <n v="236.14"/>
    <s v="2026-04"/>
    <s v="SKU-0008"/>
    <x v="11"/>
  </r>
  <r>
    <n v="942"/>
    <n v="1381"/>
    <n v="34"/>
    <n v="8"/>
    <n v="222.79"/>
    <n v="0"/>
    <n v="1782.32"/>
    <s v="2026-04"/>
    <s v="SKU-0034"/>
    <x v="11"/>
  </r>
  <r>
    <n v="943"/>
    <n v="1382"/>
    <n v="149"/>
    <n v="2"/>
    <n v="258.51"/>
    <n v="0"/>
    <n v="517.02"/>
    <s v="2026-01"/>
    <s v="SKU-0149"/>
    <x v="3"/>
  </r>
  <r>
    <n v="944"/>
    <n v="1383"/>
    <n v="125"/>
    <n v="2"/>
    <n v="273.92"/>
    <n v="3.94"/>
    <n v="543.9"/>
    <s v="2026-01"/>
    <s v="SKU-0125"/>
    <x v="17"/>
  </r>
  <r>
    <n v="945"/>
    <n v="1384"/>
    <n v="140"/>
    <n v="1"/>
    <n v="86.93"/>
    <n v="0"/>
    <n v="86.93"/>
    <s v="2026-01"/>
    <s v="SKU-0140"/>
    <x v="18"/>
  </r>
  <r>
    <n v="946"/>
    <n v="1384"/>
    <n v="32"/>
    <n v="4"/>
    <n v="221.16"/>
    <n v="0"/>
    <n v="884.64"/>
    <s v="2026-01"/>
    <s v="SKU-0032"/>
    <x v="18"/>
  </r>
  <r>
    <n v="947"/>
    <n v="1384"/>
    <n v="133"/>
    <n v="3"/>
    <n v="214.42"/>
    <n v="0"/>
    <n v="643.26"/>
    <s v="2026-01"/>
    <s v="SKU-0133"/>
    <x v="18"/>
  </r>
  <r>
    <n v="948"/>
    <n v="1384"/>
    <n v="30"/>
    <n v="4"/>
    <n v="35.229999999999997"/>
    <n v="0"/>
    <n v="140.91999999999999"/>
    <s v="2026-01"/>
    <s v="SKU-0030"/>
    <x v="18"/>
  </r>
  <r>
    <n v="949"/>
    <n v="1385"/>
    <n v="132"/>
    <n v="7"/>
    <n v="240.9"/>
    <n v="0"/>
    <n v="1686.3"/>
    <s v="2026-03"/>
    <s v="SKU-0132"/>
    <x v="1"/>
  </r>
  <r>
    <n v="950"/>
    <n v="1385"/>
    <n v="45"/>
    <n v="4"/>
    <n v="184.44"/>
    <n v="0"/>
    <n v="737.76"/>
    <s v="2026-03"/>
    <s v="SKU-0045"/>
    <x v="1"/>
  </r>
  <r>
    <n v="951"/>
    <n v="1385"/>
    <n v="101"/>
    <n v="2"/>
    <n v="45.81"/>
    <n v="0"/>
    <n v="91.62"/>
    <s v="2026-03"/>
    <s v="SKU-0101"/>
    <x v="1"/>
  </r>
  <r>
    <n v="952"/>
    <n v="1385"/>
    <n v="43"/>
    <n v="4"/>
    <n v="277.02999999999997"/>
    <n v="14.35"/>
    <n v="1093.77"/>
    <s v="2026-03"/>
    <s v="SKU-0043"/>
    <x v="1"/>
  </r>
  <r>
    <n v="953"/>
    <n v="1386"/>
    <n v="96"/>
    <n v="2"/>
    <n v="252.1"/>
    <n v="0"/>
    <n v="504.2"/>
    <s v="2026-04"/>
    <s v="SKU-0096"/>
    <x v="4"/>
  </r>
  <r>
    <n v="954"/>
    <n v="1386"/>
    <n v="131"/>
    <n v="5"/>
    <n v="57.46"/>
    <n v="0"/>
    <n v="287.3"/>
    <s v="2026-04"/>
    <s v="SKU-0131"/>
    <x v="4"/>
  </r>
  <r>
    <n v="955"/>
    <n v="1386"/>
    <n v="136"/>
    <n v="6"/>
    <n v="230.54"/>
    <n v="0"/>
    <n v="1383.24"/>
    <s v="2026-04"/>
    <s v="SKU-0136"/>
    <x v="4"/>
  </r>
  <r>
    <n v="956"/>
    <n v="1387"/>
    <n v="82"/>
    <n v="1"/>
    <n v="243.4"/>
    <n v="0"/>
    <n v="243.4"/>
    <s v="2026-04"/>
    <s v="SKU-0082"/>
    <x v="4"/>
  </r>
  <r>
    <n v="957"/>
    <n v="1388"/>
    <n v="20"/>
    <n v="7"/>
    <n v="168.04"/>
    <n v="10.55"/>
    <n v="1165.73"/>
    <s v="2026-02"/>
    <s v="SKU-0020"/>
    <x v="5"/>
  </r>
  <r>
    <n v="958"/>
    <n v="1388"/>
    <n v="82"/>
    <n v="6"/>
    <n v="243.4"/>
    <n v="0"/>
    <n v="1460.4"/>
    <s v="2026-02"/>
    <s v="SKU-0082"/>
    <x v="5"/>
  </r>
  <r>
    <n v="959"/>
    <n v="1388"/>
    <n v="127"/>
    <n v="8"/>
    <n v="38.14"/>
    <n v="0"/>
    <n v="305.12"/>
    <s v="2026-02"/>
    <s v="SKU-0127"/>
    <x v="5"/>
  </r>
  <r>
    <n v="960"/>
    <n v="1389"/>
    <n v="119"/>
    <n v="5"/>
    <n v="27.97"/>
    <n v="2.83"/>
    <n v="137.01999999999998"/>
    <s v="2026-01"/>
    <s v="SKU-0119"/>
    <x v="18"/>
  </r>
  <r>
    <n v="961"/>
    <n v="1390"/>
    <n v="127"/>
    <n v="1"/>
    <n v="38.14"/>
    <n v="6.51"/>
    <n v="31.630000000000003"/>
    <s v="2026-03"/>
    <s v="SKU-0127"/>
    <x v="6"/>
  </r>
  <r>
    <n v="962"/>
    <n v="1390"/>
    <n v="127"/>
    <n v="2"/>
    <n v="38.14"/>
    <n v="0"/>
    <n v="76.28"/>
    <s v="2026-03"/>
    <s v="SKU-0127"/>
    <x v="6"/>
  </r>
  <r>
    <n v="963"/>
    <n v="1390"/>
    <n v="8"/>
    <n v="4"/>
    <n v="118.07"/>
    <n v="0"/>
    <n v="472.28"/>
    <s v="2026-03"/>
    <s v="SKU-0008"/>
    <x v="6"/>
  </r>
  <r>
    <n v="964"/>
    <n v="1391"/>
    <n v="29"/>
    <n v="1"/>
    <n v="33.25"/>
    <n v="0"/>
    <n v="33.25"/>
    <s v="2026-01"/>
    <s v="SKU-0029"/>
    <x v="19"/>
  </r>
  <r>
    <n v="965"/>
    <n v="1392"/>
    <n v="150"/>
    <n v="7"/>
    <n v="100.09"/>
    <n v="0"/>
    <n v="700.63"/>
    <s v="2026-04"/>
    <s v="SKU-0150"/>
    <x v="13"/>
  </r>
  <r>
    <n v="966"/>
    <n v="1392"/>
    <n v="134"/>
    <n v="4"/>
    <n v="26.36"/>
    <n v="9.09"/>
    <n v="96.35"/>
    <s v="2026-04"/>
    <s v="SKU-0134"/>
    <x v="13"/>
  </r>
  <r>
    <n v="967"/>
    <n v="1393"/>
    <n v="20"/>
    <n v="2"/>
    <n v="168.04"/>
    <n v="0"/>
    <n v="336.08"/>
    <s v="2026-03"/>
    <s v="SKU-0020"/>
    <x v="7"/>
  </r>
  <r>
    <n v="968"/>
    <n v="1393"/>
    <n v="55"/>
    <n v="1"/>
    <n v="110.06"/>
    <n v="10.39"/>
    <n v="99.67"/>
    <s v="2026-03"/>
    <s v="SKU-0055"/>
    <x v="7"/>
  </r>
  <r>
    <n v="969"/>
    <n v="1394"/>
    <n v="34"/>
    <n v="4"/>
    <n v="222.79"/>
    <n v="13.83"/>
    <n v="877.32999999999993"/>
    <s v="2026-04"/>
    <s v="SKU-0034"/>
    <x v="13"/>
  </r>
  <r>
    <n v="970"/>
    <n v="1395"/>
    <n v="38"/>
    <n v="8"/>
    <n v="256.88"/>
    <n v="0"/>
    <n v="2055.04"/>
    <s v="2026-02"/>
    <s v="SKU-0038"/>
    <x v="9"/>
  </r>
  <r>
    <n v="971"/>
    <n v="1396"/>
    <n v="111"/>
    <n v="4"/>
    <n v="39.4"/>
    <n v="3.11"/>
    <n v="154.48999999999998"/>
    <s v="2026-03"/>
    <s v="SKU0111"/>
    <x v="8"/>
  </r>
  <r>
    <n v="972"/>
    <n v="1396"/>
    <n v="131"/>
    <n v="6"/>
    <n v="57.46"/>
    <n v="0"/>
    <n v="344.76"/>
    <s v="2026-03"/>
    <s v="SKU-0131"/>
    <x v="8"/>
  </r>
  <r>
    <n v="973"/>
    <n v="1396"/>
    <n v="95"/>
    <n v="2"/>
    <n v="75.319999999999993"/>
    <n v="1.69"/>
    <n v="148.94999999999999"/>
    <s v="2026-03"/>
    <s v="SKU-0095"/>
    <x v="8"/>
  </r>
  <r>
    <n v="974"/>
    <n v="1397"/>
    <n v="29"/>
    <n v="4"/>
    <n v="33.25"/>
    <n v="0"/>
    <n v="133"/>
    <s v="2026-04"/>
    <s v="SKU-0029"/>
    <x v="11"/>
  </r>
  <r>
    <n v="975"/>
    <n v="1397"/>
    <n v="148"/>
    <n v="5"/>
    <n v="124.32"/>
    <n v="0"/>
    <n v="621.59999999999991"/>
    <s v="2026-04"/>
    <s v="SKU0148"/>
    <x v="11"/>
  </r>
  <r>
    <n v="976"/>
    <n v="1398"/>
    <n v="89"/>
    <n v="5"/>
    <n v="126"/>
    <n v="0"/>
    <n v="630"/>
    <s v="2026-03"/>
    <s v="SKU-0089"/>
    <x v="8"/>
  </r>
  <r>
    <n v="977"/>
    <n v="1398"/>
    <n v="1"/>
    <n v="2"/>
    <n v="84.79"/>
    <n v="3.59"/>
    <n v="165.99"/>
    <s v="2026-03"/>
    <s v="SKU-0001"/>
    <x v="8"/>
  </r>
  <r>
    <n v="978"/>
    <n v="1399"/>
    <n v="110"/>
    <n v="6"/>
    <n v="112"/>
    <n v="0"/>
    <n v="672"/>
    <s v="2026-04"/>
    <s v="SKU-0110"/>
    <x v="13"/>
  </r>
  <r>
    <n v="979"/>
    <n v="1399"/>
    <n v="20"/>
    <n v="3"/>
    <n v="168.04"/>
    <n v="0"/>
    <n v="504.12"/>
    <s v="2026-04"/>
    <s v="SKU-0020"/>
    <x v="13"/>
  </r>
  <r>
    <n v="980"/>
    <n v="1399"/>
    <n v="91"/>
    <n v="8"/>
    <n v="170.65"/>
    <n v="9.16"/>
    <n v="1356.04"/>
    <s v="2026-04"/>
    <s v="SKU-0091"/>
    <x v="13"/>
  </r>
  <r>
    <n v="981"/>
    <n v="1399"/>
    <n v="64"/>
    <n v="8"/>
    <n v="247.73"/>
    <n v="0"/>
    <n v="1981.84"/>
    <s v="2026-04"/>
    <s v="SKU-0064"/>
    <x v="13"/>
  </r>
  <r>
    <n v="982"/>
    <n v="1400"/>
    <n v="126"/>
    <n v="6"/>
    <n v="32.17"/>
    <n v="0"/>
    <n v="193.02"/>
    <s v="2026-01"/>
    <s v="SKU-0126"/>
    <x v="17"/>
  </r>
  <r>
    <n v="983"/>
    <n v="1400"/>
    <n v="125"/>
    <n v="5"/>
    <n v="273.92"/>
    <n v="0"/>
    <n v="1369.6000000000001"/>
    <s v="2026-01"/>
    <s v="SKU-0125"/>
    <x v="17"/>
  </r>
  <r>
    <n v="984"/>
    <n v="1400"/>
    <n v="91"/>
    <n v="5"/>
    <n v="170.65"/>
    <n v="10.94"/>
    <n v="842.31"/>
    <s v="2026-01"/>
    <s v="SKU-0091"/>
    <x v="17"/>
  </r>
  <r>
    <n v="985"/>
    <n v="1400"/>
    <n v="29"/>
    <n v="5"/>
    <n v="33.25"/>
    <n v="0"/>
    <n v="166.25"/>
    <s v="2026-01"/>
    <s v="SKU-0029"/>
    <x v="17"/>
  </r>
  <r>
    <n v="986"/>
    <n v="1401"/>
    <n v="28"/>
    <n v="5"/>
    <n v="206.43"/>
    <n v="13.28"/>
    <n v="1018.8700000000001"/>
    <s v="2026-02"/>
    <s v="SKU-0028"/>
    <x v="5"/>
  </r>
  <r>
    <n v="987"/>
    <n v="1401"/>
    <n v="135"/>
    <n v="3"/>
    <n v="41.03"/>
    <n v="0"/>
    <n v="123.09"/>
    <s v="2026-02"/>
    <s v="SKU-0135"/>
    <x v="5"/>
  </r>
  <r>
    <n v="988"/>
    <n v="1401"/>
    <n v="85"/>
    <n v="7"/>
    <n v="163.57"/>
    <n v="0"/>
    <n v="1144.99"/>
    <s v="2026-02"/>
    <s v="SKU-0085"/>
    <x v="5"/>
  </r>
  <r>
    <n v="989"/>
    <n v="1401"/>
    <n v="80"/>
    <n v="4"/>
    <n v="84.54"/>
    <n v="0"/>
    <n v="338.16"/>
    <s v="2026-02"/>
    <s v="SKU-0080"/>
    <x v="5"/>
  </r>
  <r>
    <n v="990"/>
    <n v="1402"/>
    <n v="39"/>
    <n v="5"/>
    <n v="129.30000000000001"/>
    <n v="0"/>
    <n v="646.5"/>
    <s v="2026-01"/>
    <s v="SKU-0039"/>
    <x v="19"/>
  </r>
  <r>
    <n v="991"/>
    <n v="1402"/>
    <n v="78"/>
    <n v="8"/>
    <n v="71.75"/>
    <n v="0"/>
    <n v="574"/>
    <s v="2026-01"/>
    <s v="SKU-0078"/>
    <x v="19"/>
  </r>
  <r>
    <n v="992"/>
    <n v="1402"/>
    <n v="4"/>
    <n v="8"/>
    <n v="94.28"/>
    <n v="0"/>
    <n v="754.24"/>
    <s v="2026-01"/>
    <s v="SKU-0004"/>
    <x v="19"/>
  </r>
  <r>
    <n v="993"/>
    <n v="1402"/>
    <n v="32"/>
    <n v="1"/>
    <n v="221.16"/>
    <n v="0"/>
    <n v="221.16"/>
    <s v="2026-01"/>
    <s v="SKU-0032"/>
    <x v="19"/>
  </r>
  <r>
    <n v="994"/>
    <n v="1403"/>
    <n v="150"/>
    <n v="2"/>
    <n v="100.09"/>
    <n v="0"/>
    <n v="200.18"/>
    <s v="2026-03"/>
    <s v="SKU-0150"/>
    <x v="8"/>
  </r>
  <r>
    <n v="995"/>
    <n v="1403"/>
    <n v="122"/>
    <n v="6"/>
    <n v="151.15"/>
    <n v="4.4800000000000004"/>
    <n v="902.42000000000007"/>
    <s v="2026-03"/>
    <s v="SKU-0122"/>
    <x v="8"/>
  </r>
  <r>
    <n v="996"/>
    <n v="1403"/>
    <n v="109"/>
    <n v="7"/>
    <n v="257.52"/>
    <n v="0"/>
    <n v="1802.6399999999999"/>
    <s v="2026-03"/>
    <s v="SKU-0109"/>
    <x v="8"/>
  </r>
  <r>
    <n v="997"/>
    <n v="1403"/>
    <n v="67"/>
    <n v="5"/>
    <n v="291.56"/>
    <n v="0"/>
    <n v="1457.8"/>
    <s v="2026-03"/>
    <s v="SKU-0067"/>
    <x v="8"/>
  </r>
  <r>
    <n v="998"/>
    <n v="1404"/>
    <n v="22"/>
    <n v="5"/>
    <n v="159.69"/>
    <n v="8.93"/>
    <n v="789.5200000000001"/>
    <s v="2026-04"/>
    <s v="SKU-0022"/>
    <x v="2"/>
  </r>
  <r>
    <n v="999"/>
    <n v="1404"/>
    <n v="140"/>
    <n v="3"/>
    <n v="86.93"/>
    <n v="6.26"/>
    <n v="254.53000000000003"/>
    <s v="2026-04"/>
    <s v="SKU-0140"/>
    <x v="2"/>
  </r>
  <r>
    <n v="1000"/>
    <n v="1404"/>
    <n v="25"/>
    <n v="3"/>
    <n v="265.23"/>
    <n v="0"/>
    <n v="795.69"/>
    <s v="2026-04"/>
    <s v="SKU-0025"/>
    <x v="2"/>
  </r>
  <r>
    <n v="1001"/>
    <n v="1405"/>
    <n v="36"/>
    <n v="5"/>
    <n v="94.39"/>
    <n v="0"/>
    <n v="471.95"/>
    <s v="2026-01"/>
    <s v="SKU-0036"/>
    <x v="18"/>
  </r>
  <r>
    <n v="1002"/>
    <n v="1406"/>
    <n v="14"/>
    <n v="2"/>
    <n v="33.86"/>
    <n v="0"/>
    <n v="67.72"/>
    <s v="2026-04"/>
    <s v="SKU-0014"/>
    <x v="2"/>
  </r>
  <r>
    <n v="1003"/>
    <n v="1406"/>
    <n v="86"/>
    <n v="2"/>
    <n v="81.83"/>
    <n v="12.51"/>
    <n v="151.15"/>
    <s v="2026-04"/>
    <s v="SKU-0086"/>
    <x v="2"/>
  </r>
  <r>
    <n v="1004"/>
    <n v="1406"/>
    <n v="85"/>
    <n v="1"/>
    <n v="163.57"/>
    <n v="0"/>
    <n v="163.57"/>
    <s v="2026-04"/>
    <s v="SKU-0085"/>
    <x v="2"/>
  </r>
  <r>
    <n v="1005"/>
    <n v="1406"/>
    <n v="53"/>
    <n v="3"/>
    <n v="73.03"/>
    <n v="8.8699999999999992"/>
    <n v="210.22"/>
    <s v="2026-04"/>
    <s v="SKU-0053"/>
    <x v="2"/>
  </r>
  <r>
    <n v="1006"/>
    <n v="1407"/>
    <n v="31"/>
    <n v="2"/>
    <n v="35.19"/>
    <n v="0"/>
    <n v="70.38"/>
    <s v="2026-02"/>
    <s v="SKU-0031"/>
    <x v="14"/>
  </r>
  <r>
    <n v="1007"/>
    <n v="1407"/>
    <n v="122"/>
    <n v="1"/>
    <n v="151.15"/>
    <n v="12.66"/>
    <n v="138.49"/>
    <s v="2026-02"/>
    <s v="SKU-0122"/>
    <x v="14"/>
  </r>
  <r>
    <n v="1008"/>
    <n v="1408"/>
    <n v="111"/>
    <n v="3"/>
    <n v="39.4"/>
    <n v="0"/>
    <n v="118.19999999999999"/>
    <s v="2026-03"/>
    <s v="SKU0111"/>
    <x v="8"/>
  </r>
  <r>
    <n v="1009"/>
    <n v="1409"/>
    <n v="127"/>
    <n v="6"/>
    <n v="38.14"/>
    <n v="10.35"/>
    <n v="218.49"/>
    <s v="2026-05"/>
    <s v="SKU-0127"/>
    <x v="15"/>
  </r>
  <r>
    <n v="1010"/>
    <n v="1410"/>
    <n v="8"/>
    <n v="5"/>
    <n v="118.07"/>
    <n v="7.4"/>
    <n v="582.94999999999993"/>
    <s v="2026-01"/>
    <s v="SKU-0008"/>
    <x v="17"/>
  </r>
  <r>
    <n v="1011"/>
    <n v="1410"/>
    <n v="3"/>
    <n v="5"/>
    <n v="22.56"/>
    <n v="1.48"/>
    <n v="111.32"/>
    <s v="2026-01"/>
    <s v="SKU-0003"/>
    <x v="17"/>
  </r>
  <r>
    <n v="1012"/>
    <n v="1411"/>
    <n v="135"/>
    <n v="7"/>
    <n v="41.03"/>
    <n v="0"/>
    <n v="287.21000000000004"/>
    <s v="2026-04"/>
    <s v="SKU-0135"/>
    <x v="12"/>
  </r>
  <r>
    <n v="1013"/>
    <n v="1411"/>
    <n v="39"/>
    <n v="6"/>
    <n v="129.30000000000001"/>
    <n v="0"/>
    <n v="775.80000000000007"/>
    <s v="2026-04"/>
    <s v="SKU-0039"/>
    <x v="12"/>
  </r>
  <r>
    <n v="1014"/>
    <n v="1411"/>
    <n v="118"/>
    <n v="3"/>
    <n v="84.02"/>
    <n v="0"/>
    <n v="252.06"/>
    <s v="2026-04"/>
    <s v="SKU-0118"/>
    <x v="12"/>
  </r>
  <r>
    <n v="1015"/>
    <n v="1412"/>
    <n v="83"/>
    <n v="6"/>
    <n v="269.23"/>
    <n v="9.18"/>
    <n v="1606.2"/>
    <s v="2026-05"/>
    <s v="SKU-0083"/>
    <x v="16"/>
  </r>
  <r>
    <n v="1016"/>
    <n v="1412"/>
    <n v="18"/>
    <n v="1"/>
    <n v="60.59"/>
    <n v="0"/>
    <n v="60.59"/>
    <s v="2026-05"/>
    <s v="SKU-0018"/>
    <x v="16"/>
  </r>
  <r>
    <n v="1017"/>
    <n v="1413"/>
    <n v="17"/>
    <n v="1"/>
    <n v="299.3"/>
    <n v="0"/>
    <n v="299.3"/>
    <s v="2026-01"/>
    <s v="SKU-0017"/>
    <x v="17"/>
  </r>
  <r>
    <n v="1018"/>
    <n v="1413"/>
    <n v="10"/>
    <n v="2"/>
    <n v="144.22"/>
    <n v="0"/>
    <n v="288.44"/>
    <s v="2026-01"/>
    <s v="SKU-0010"/>
    <x v="17"/>
  </r>
  <r>
    <n v="1019"/>
    <n v="1413"/>
    <n v="8"/>
    <n v="3"/>
    <n v="118.07"/>
    <n v="5.5"/>
    <n v="348.71"/>
    <s v="2026-01"/>
    <s v="SKU-0008"/>
    <x v="17"/>
  </r>
  <r>
    <n v="1020"/>
    <n v="1413"/>
    <n v="97"/>
    <n v="3"/>
    <n v="168.73"/>
    <n v="0"/>
    <n v="506.18999999999994"/>
    <s v="2026-01"/>
    <s v="SKU-0097"/>
    <x v="17"/>
  </r>
  <r>
    <n v="1021"/>
    <n v="1414"/>
    <n v="53"/>
    <n v="1"/>
    <n v="73.03"/>
    <n v="0"/>
    <n v="73.03"/>
    <s v="2026-02"/>
    <s v="SKU-0053"/>
    <x v="14"/>
  </r>
  <r>
    <n v="1022"/>
    <n v="1415"/>
    <n v="92"/>
    <n v="3"/>
    <n v="23.27"/>
    <n v="12.22"/>
    <n v="57.59"/>
    <s v="2026-02"/>
    <s v="SKU-0092"/>
    <x v="5"/>
  </r>
  <r>
    <n v="1023"/>
    <n v="1415"/>
    <n v="110"/>
    <n v="7"/>
    <n v="112"/>
    <n v="0"/>
    <n v="784"/>
    <s v="2026-02"/>
    <s v="SKU-0110"/>
    <x v="5"/>
  </r>
  <r>
    <n v="1024"/>
    <n v="1415"/>
    <n v="33"/>
    <n v="5"/>
    <n v="42.63"/>
    <n v="2.41"/>
    <n v="210.74"/>
    <s v="2026-02"/>
    <s v="SKU-0033"/>
    <x v="5"/>
  </r>
  <r>
    <n v="1025"/>
    <n v="1416"/>
    <n v="137"/>
    <n v="4"/>
    <n v="181.82"/>
    <n v="0"/>
    <n v="727.28"/>
    <s v="2026-04"/>
    <s v="SKU-0137"/>
    <x v="12"/>
  </r>
  <r>
    <n v="1026"/>
    <n v="1417"/>
    <n v="52"/>
    <n v="6"/>
    <n v="59.3"/>
    <n v="0"/>
    <n v="355.79999999999995"/>
    <s v="2026-01"/>
    <s v="SKU-0052"/>
    <x v="18"/>
  </r>
  <r>
    <n v="1027"/>
    <n v="1417"/>
    <n v="36"/>
    <n v="4"/>
    <n v="94.39"/>
    <n v="0"/>
    <n v="377.56"/>
    <s v="2026-01"/>
    <s v="SKU-0036"/>
    <x v="18"/>
  </r>
  <r>
    <n v="1028"/>
    <n v="1417"/>
    <n v="16"/>
    <n v="4"/>
    <n v="168.61"/>
    <n v="0"/>
    <n v="674.44"/>
    <s v="2026-01"/>
    <s v="SKU-0016"/>
    <x v="18"/>
  </r>
  <r>
    <n v="1029"/>
    <n v="1418"/>
    <n v="128"/>
    <n v="4"/>
    <n v="143.38999999999999"/>
    <n v="10.1"/>
    <n v="563.45999999999992"/>
    <s v="2026-03"/>
    <s v="SKU-0128"/>
    <x v="8"/>
  </r>
  <r>
    <n v="1030"/>
    <n v="1419"/>
    <n v="111"/>
    <n v="7"/>
    <n v="39.4"/>
    <n v="0"/>
    <n v="275.8"/>
    <s v="2026-05"/>
    <s v="SKU0111"/>
    <x v="15"/>
  </r>
  <r>
    <n v="1031"/>
    <n v="1419"/>
    <n v="113"/>
    <n v="2"/>
    <n v="84.34"/>
    <n v="0"/>
    <n v="168.68"/>
    <s v="2026-05"/>
    <s v="SKU-0113"/>
    <x v="15"/>
  </r>
  <r>
    <n v="1032"/>
    <n v="1420"/>
    <n v="4"/>
    <n v="4"/>
    <n v="94.28"/>
    <n v="0"/>
    <n v="377.12"/>
    <s v="2026-01"/>
    <s v="SKU-0004"/>
    <x v="19"/>
  </r>
  <r>
    <n v="1033"/>
    <n v="1421"/>
    <n v="20"/>
    <n v="2"/>
    <n v="168.04"/>
    <n v="0"/>
    <n v="336.08"/>
    <s v="2026-02"/>
    <s v="SKU-0020"/>
    <x v="10"/>
  </r>
  <r>
    <n v="1034"/>
    <n v="1422"/>
    <n v="82"/>
    <n v="2"/>
    <n v="243.4"/>
    <n v="1.76"/>
    <n v="485.04"/>
    <s v="2026-03"/>
    <s v="SKU-0082"/>
    <x v="1"/>
  </r>
  <r>
    <n v="1035"/>
    <n v="1422"/>
    <n v="125"/>
    <n v="5"/>
    <n v="273.92"/>
    <n v="0"/>
    <n v="1369.6000000000001"/>
    <s v="2026-03"/>
    <s v="SKU-0125"/>
    <x v="1"/>
  </r>
  <r>
    <n v="1036"/>
    <n v="1422"/>
    <n v="134"/>
    <n v="4"/>
    <n v="26.36"/>
    <n v="0"/>
    <n v="105.44"/>
    <s v="2026-03"/>
    <s v="SKU-0134"/>
    <x v="1"/>
  </r>
  <r>
    <n v="1037"/>
    <n v="1423"/>
    <n v="99"/>
    <n v="5"/>
    <n v="50.97"/>
    <n v="0"/>
    <n v="254.85"/>
    <s v="2026-01"/>
    <s v="SKU-0099"/>
    <x v="18"/>
  </r>
  <r>
    <n v="1038"/>
    <n v="1423"/>
    <n v="16"/>
    <n v="5"/>
    <n v="168.61"/>
    <n v="12.96"/>
    <n v="830.09"/>
    <s v="2026-01"/>
    <s v="SKU-0016"/>
    <x v="18"/>
  </r>
  <r>
    <n v="1039"/>
    <n v="1423"/>
    <n v="127"/>
    <n v="1"/>
    <n v="38.14"/>
    <n v="13.08"/>
    <n v="25.060000000000002"/>
    <s v="2026-01"/>
    <s v="SKU-0127"/>
    <x v="18"/>
  </r>
  <r>
    <n v="1040"/>
    <n v="1424"/>
    <n v="68"/>
    <n v="4"/>
    <n v="138.85"/>
    <n v="0"/>
    <n v="555.4"/>
    <s v="2026-01"/>
    <s v="SKU-0068"/>
    <x v="18"/>
  </r>
  <r>
    <n v="1041"/>
    <n v="1424"/>
    <n v="112"/>
    <n v="7"/>
    <n v="154.88"/>
    <n v="0"/>
    <n v="1084.1599999999999"/>
    <s v="2026-01"/>
    <s v="SKU-0112"/>
    <x v="18"/>
  </r>
  <r>
    <n v="1042"/>
    <n v="1424"/>
    <n v="28"/>
    <n v="7"/>
    <n v="206.43"/>
    <n v="0"/>
    <n v="1445.01"/>
    <s v="2026-01"/>
    <s v="SKU-0028"/>
    <x v="18"/>
  </r>
  <r>
    <n v="1043"/>
    <n v="1425"/>
    <n v="4"/>
    <n v="5"/>
    <n v="94.28"/>
    <n v="0"/>
    <n v="471.4"/>
    <s v="2026-04"/>
    <s v="SKU-0004"/>
    <x v="4"/>
  </r>
  <r>
    <n v="1044"/>
    <n v="1425"/>
    <n v="22"/>
    <n v="4"/>
    <n v="159.69"/>
    <n v="0"/>
    <n v="638.76"/>
    <s v="2026-04"/>
    <s v="SKU-0022"/>
    <x v="4"/>
  </r>
  <r>
    <n v="1045"/>
    <n v="1426"/>
    <n v="68"/>
    <n v="3"/>
    <n v="138.85"/>
    <n v="0"/>
    <n v="416.54999999999995"/>
    <s v="2026-01"/>
    <s v="SKU-0068"/>
    <x v="18"/>
  </r>
  <r>
    <n v="1046"/>
    <n v="1426"/>
    <n v="113"/>
    <n v="1"/>
    <n v="84.34"/>
    <n v="0"/>
    <n v="84.34"/>
    <s v="2026-01"/>
    <s v="SKU-0113"/>
    <x v="18"/>
  </r>
  <r>
    <n v="1047"/>
    <n v="1426"/>
    <n v="123"/>
    <n v="4"/>
    <n v="210.64"/>
    <n v="0"/>
    <n v="842.56"/>
    <s v="2026-01"/>
    <s v="SKU-0123"/>
    <x v="18"/>
  </r>
  <r>
    <n v="1048"/>
    <n v="1427"/>
    <n v="38"/>
    <n v="1"/>
    <n v="256.88"/>
    <n v="0"/>
    <n v="256.88"/>
    <s v="2026-03"/>
    <s v="SKU-0038"/>
    <x v="8"/>
  </r>
  <r>
    <n v="1049"/>
    <n v="1427"/>
    <n v="48"/>
    <n v="8"/>
    <n v="299.56"/>
    <n v="0"/>
    <n v="2396.48"/>
    <s v="2026-03"/>
    <s v="SKU-0048"/>
    <x v="8"/>
  </r>
  <r>
    <n v="1050"/>
    <n v="1428"/>
    <n v="90"/>
    <n v="2"/>
    <n v="115.25"/>
    <n v="2.08"/>
    <n v="228.42"/>
    <s v="2026-04"/>
    <s v="SKU-0090"/>
    <x v="12"/>
  </r>
  <r>
    <n v="1051"/>
    <n v="1428"/>
    <n v="29"/>
    <n v="2"/>
    <n v="33.25"/>
    <n v="0"/>
    <n v="66.5"/>
    <s v="2026-04"/>
    <s v="SKU-0029"/>
    <x v="12"/>
  </r>
  <r>
    <n v="1052"/>
    <n v="1429"/>
    <n v="96"/>
    <n v="8"/>
    <n v="252.1"/>
    <n v="0"/>
    <n v="2016.8"/>
    <s v="2026-03"/>
    <s v="SKU-0096"/>
    <x v="6"/>
  </r>
  <r>
    <n v="1053"/>
    <n v="1429"/>
    <n v="8"/>
    <n v="3"/>
    <n v="118.07"/>
    <n v="0"/>
    <n v="354.21"/>
    <s v="2026-03"/>
    <s v="SKU-0008"/>
    <x v="6"/>
  </r>
  <r>
    <n v="1054"/>
    <n v="1429"/>
    <n v="39"/>
    <n v="1"/>
    <n v="129.30000000000001"/>
    <n v="0"/>
    <n v="129.30000000000001"/>
    <s v="2026-03"/>
    <s v="SKU-0039"/>
    <x v="6"/>
  </r>
  <r>
    <n v="1055"/>
    <n v="1429"/>
    <n v="81"/>
    <n v="6"/>
    <n v="244.17"/>
    <n v="14.16"/>
    <n v="1450.86"/>
    <s v="2026-03"/>
    <s v="SKU-0081"/>
    <x v="6"/>
  </r>
  <r>
    <n v="1056"/>
    <n v="1430"/>
    <n v="138"/>
    <n v="2"/>
    <n v="106.5"/>
    <n v="0"/>
    <n v="213"/>
    <s v="2026-05"/>
    <s v="SKU-0138"/>
    <x v="15"/>
  </r>
  <r>
    <n v="1057"/>
    <n v="1430"/>
    <n v="121"/>
    <n v="8"/>
    <n v="151.43"/>
    <n v="0"/>
    <n v="1211.44"/>
    <s v="2026-05"/>
    <s v="SKU-0121"/>
    <x v="15"/>
  </r>
  <r>
    <n v="1058"/>
    <n v="1430"/>
    <n v="148"/>
    <n v="5"/>
    <n v="124.32"/>
    <n v="0"/>
    <n v="621.59999999999991"/>
    <s v="2026-05"/>
    <s v="SKU0148"/>
    <x v="15"/>
  </r>
  <r>
    <n v="1059"/>
    <n v="1430"/>
    <n v="63"/>
    <n v="6"/>
    <n v="214.86"/>
    <n v="0"/>
    <n v="1289.1600000000001"/>
    <s v="2026-05"/>
    <s v="SKU-0063"/>
    <x v="15"/>
  </r>
  <r>
    <n v="1060"/>
    <n v="1431"/>
    <n v="124"/>
    <n v="4"/>
    <n v="48.76"/>
    <n v="7.29"/>
    <n v="187.75"/>
    <s v="2026-04"/>
    <s v="SKU-0124"/>
    <x v="12"/>
  </r>
  <r>
    <n v="1061"/>
    <n v="1431"/>
    <n v="59"/>
    <n v="3"/>
    <n v="232.91"/>
    <n v="4.43"/>
    <n v="694.30000000000007"/>
    <s v="2026-04"/>
    <s v="SKU-0059"/>
    <x v="12"/>
  </r>
  <r>
    <n v="1062"/>
    <n v="1431"/>
    <n v="150"/>
    <n v="3"/>
    <n v="100.09"/>
    <n v="0"/>
    <n v="300.27"/>
    <s v="2026-04"/>
    <s v="SKU-0150"/>
    <x v="12"/>
  </r>
  <r>
    <n v="1063"/>
    <n v="1432"/>
    <n v="108"/>
    <n v="5"/>
    <n v="143.47999999999999"/>
    <n v="11.72"/>
    <n v="705.68"/>
    <s v="2026-02"/>
    <s v="SKU-0108"/>
    <x v="14"/>
  </r>
  <r>
    <n v="1064"/>
    <n v="1433"/>
    <n v="143"/>
    <n v="4"/>
    <n v="171.53"/>
    <n v="0"/>
    <n v="686.12"/>
    <s v="2026-04"/>
    <s v="SKU-0143"/>
    <x v="4"/>
  </r>
  <r>
    <n v="1065"/>
    <n v="1433"/>
    <n v="87"/>
    <n v="6"/>
    <n v="124.17"/>
    <n v="0"/>
    <n v="745.02"/>
    <s v="2026-04"/>
    <s v="SKU-0087"/>
    <x v="4"/>
  </r>
  <r>
    <n v="1066"/>
    <n v="1433"/>
    <n v="12"/>
    <n v="2"/>
    <n v="61.57"/>
    <n v="0"/>
    <n v="123.14"/>
    <s v="2026-04"/>
    <s v="SKU-0012"/>
    <x v="4"/>
  </r>
  <r>
    <n v="1067"/>
    <n v="1433"/>
    <n v="115"/>
    <n v="7"/>
    <n v="80.7"/>
    <n v="9.83"/>
    <n v="555.06999999999994"/>
    <s v="2026-04"/>
    <s v="SKU-0115"/>
    <x v="4"/>
  </r>
  <r>
    <n v="1068"/>
    <n v="1434"/>
    <n v="98"/>
    <n v="6"/>
    <n v="285.64"/>
    <n v="0"/>
    <n v="1713.84"/>
    <s v="2026-01"/>
    <s v="SKU-0098"/>
    <x v="19"/>
  </r>
  <r>
    <n v="1069"/>
    <n v="1434"/>
    <n v="25"/>
    <n v="4"/>
    <n v="265.23"/>
    <n v="0"/>
    <n v="1060.92"/>
    <s v="2026-01"/>
    <s v="SKU-0025"/>
    <x v="19"/>
  </r>
  <r>
    <n v="1070"/>
    <n v="1434"/>
    <n v="13"/>
    <n v="7"/>
    <n v="236.16"/>
    <n v="4.99"/>
    <n v="1648.1299999999999"/>
    <s v="2026-01"/>
    <s v="SKU-0013"/>
    <x v="19"/>
  </r>
  <r>
    <n v="1071"/>
    <n v="1434"/>
    <n v="82"/>
    <n v="3"/>
    <n v="243.4"/>
    <n v="0"/>
    <n v="730.2"/>
    <s v="2026-01"/>
    <s v="SKU-0082"/>
    <x v="19"/>
  </r>
  <r>
    <n v="1072"/>
    <n v="1435"/>
    <n v="125"/>
    <n v="8"/>
    <n v="273.92"/>
    <n v="0"/>
    <n v="2191.36"/>
    <s v="2026-03"/>
    <s v="SKU-0125"/>
    <x v="8"/>
  </r>
  <r>
    <n v="1073"/>
    <n v="1435"/>
    <n v="74"/>
    <n v="5"/>
    <n v="130.72999999999999"/>
    <n v="0"/>
    <n v="653.65"/>
    <s v="2026-03"/>
    <s v="SKU0074"/>
    <x v="8"/>
  </r>
  <r>
    <n v="1074"/>
    <n v="1435"/>
    <n v="60"/>
    <n v="5"/>
    <n v="115.8"/>
    <n v="0"/>
    <n v="579"/>
    <s v="2026-03"/>
    <s v="SKU-0060"/>
    <x v="8"/>
  </r>
  <r>
    <n v="1075"/>
    <n v="1436"/>
    <n v="147"/>
    <n v="7"/>
    <n v="133.41"/>
    <n v="0"/>
    <n v="933.87"/>
    <s v="2026-05"/>
    <s v="SKU-0147"/>
    <x v="15"/>
  </r>
  <r>
    <n v="1076"/>
    <n v="1436"/>
    <n v="117"/>
    <n v="5"/>
    <n v="293.33"/>
    <n v="0"/>
    <n v="1466.6499999999999"/>
    <s v="2026-05"/>
    <s v="SKU-0117"/>
    <x v="15"/>
  </r>
  <r>
    <n v="1077"/>
    <n v="1436"/>
    <n v="114"/>
    <n v="7"/>
    <n v="171.86"/>
    <n v="0"/>
    <n v="1203.02"/>
    <s v="2026-05"/>
    <s v="SKU-0114"/>
    <x v="15"/>
  </r>
  <r>
    <n v="1078"/>
    <n v="1437"/>
    <n v="117"/>
    <n v="2"/>
    <n v="293.33"/>
    <n v="0"/>
    <n v="586.66"/>
    <s v="2026-03"/>
    <s v="SKU-0117"/>
    <x v="6"/>
  </r>
  <r>
    <n v="1079"/>
    <n v="1437"/>
    <n v="10"/>
    <n v="7"/>
    <n v="144.22"/>
    <n v="0"/>
    <n v="1009.54"/>
    <s v="2026-03"/>
    <s v="SKU-0010"/>
    <x v="6"/>
  </r>
  <r>
    <n v="1080"/>
    <n v="1437"/>
    <n v="49"/>
    <n v="1"/>
    <n v="280.98"/>
    <n v="0"/>
    <n v="280.98"/>
    <s v="2026-03"/>
    <s v="SKU-0049"/>
    <x v="6"/>
  </r>
  <r>
    <n v="1081"/>
    <n v="1438"/>
    <n v="73"/>
    <n v="3"/>
    <n v="134.83000000000001"/>
    <n v="0"/>
    <n v="404.49"/>
    <s v="2026-05"/>
    <s v="SKU-0073"/>
    <x v="13"/>
  </r>
  <r>
    <n v="1082"/>
    <n v="1438"/>
    <n v="133"/>
    <n v="4"/>
    <n v="214.42"/>
    <n v="0"/>
    <n v="857.68"/>
    <s v="2026-05"/>
    <s v="SKU-0133"/>
    <x v="13"/>
  </r>
  <r>
    <n v="1083"/>
    <n v="1438"/>
    <n v="126"/>
    <n v="4"/>
    <n v="32.17"/>
    <n v="0"/>
    <n v="128.68"/>
    <s v="2026-05"/>
    <s v="SKU-0126"/>
    <x v="13"/>
  </r>
  <r>
    <n v="1084"/>
    <n v="1438"/>
    <n v="108"/>
    <n v="5"/>
    <n v="143.47999999999999"/>
    <n v="0"/>
    <n v="717.4"/>
    <s v="2026-05"/>
    <s v="SKU-0108"/>
    <x v="13"/>
  </r>
  <r>
    <n v="1085"/>
    <n v="1439"/>
    <n v="140"/>
    <n v="8"/>
    <n v="86.93"/>
    <n v="0"/>
    <n v="695.44"/>
    <s v="2026-05"/>
    <s v="SKU-0140"/>
    <x v="15"/>
  </r>
  <r>
    <n v="1086"/>
    <n v="1439"/>
    <n v="29"/>
    <n v="5"/>
    <n v="33.25"/>
    <n v="6.87"/>
    <n v="159.38"/>
    <s v="2026-05"/>
    <s v="SKU-0029"/>
    <x v="15"/>
  </r>
  <r>
    <n v="1087"/>
    <n v="1439"/>
    <n v="84"/>
    <n v="4"/>
    <n v="150.28"/>
    <n v="0"/>
    <n v="601.12"/>
    <s v="2026-05"/>
    <s v="SKU-0084"/>
    <x v="15"/>
  </r>
  <r>
    <n v="1088"/>
    <n v="1440"/>
    <n v="8"/>
    <n v="5"/>
    <n v="118.07"/>
    <n v="0"/>
    <n v="590.34999999999991"/>
    <s v="2026-05"/>
    <s v="SKU-0008"/>
    <x v="15"/>
  </r>
  <r>
    <n v="1089"/>
    <n v="1440"/>
    <n v="105"/>
    <n v="1"/>
    <n v="288.82"/>
    <n v="0"/>
    <n v="288.82"/>
    <s v="2026-05"/>
    <s v="SKU-0105"/>
    <x v="15"/>
  </r>
  <r>
    <n v="1090"/>
    <n v="1441"/>
    <n v="87"/>
    <n v="1"/>
    <n v="124.17"/>
    <n v="5.32"/>
    <n v="118.85"/>
    <s v="2026-01"/>
    <s v="SKU-0087"/>
    <x v="3"/>
  </r>
  <r>
    <n v="1091"/>
    <n v="1441"/>
    <n v="57"/>
    <n v="3"/>
    <n v="266.69"/>
    <n v="0"/>
    <n v="800.06999999999994"/>
    <s v="2026-01"/>
    <s v="SKU-0057"/>
    <x v="3"/>
  </r>
  <r>
    <n v="1092"/>
    <n v="1442"/>
    <n v="6"/>
    <n v="7"/>
    <n v="256.54000000000002"/>
    <n v="0"/>
    <n v="1795.7800000000002"/>
    <s v="2026-03"/>
    <s v="SKU-0006"/>
    <x v="6"/>
  </r>
  <r>
    <n v="1093"/>
    <n v="1443"/>
    <n v="96"/>
    <n v="6"/>
    <n v="252.1"/>
    <n v="0"/>
    <n v="1512.6"/>
    <s v="2026-04"/>
    <s v="SKU-0096"/>
    <x v="2"/>
  </r>
  <r>
    <n v="1094"/>
    <n v="1443"/>
    <n v="4"/>
    <n v="1"/>
    <n v="94.28"/>
    <n v="0"/>
    <n v="94.28"/>
    <s v="2026-04"/>
    <s v="SKU-0004"/>
    <x v="2"/>
  </r>
  <r>
    <n v="1095"/>
    <n v="1444"/>
    <n v="103"/>
    <n v="3"/>
    <n v="241.92"/>
    <n v="0"/>
    <n v="725.76"/>
    <s v="2026-01"/>
    <s v="SKU-0103"/>
    <x v="18"/>
  </r>
  <r>
    <n v="1096"/>
    <n v="1444"/>
    <n v="22"/>
    <n v="2"/>
    <n v="159.69"/>
    <n v="2.0299999999999998"/>
    <n v="317.35000000000002"/>
    <s v="2026-01"/>
    <s v="SKU-0022"/>
    <x v="18"/>
  </r>
  <r>
    <n v="1097"/>
    <n v="1444"/>
    <n v="6"/>
    <n v="1"/>
    <n v="256.54000000000002"/>
    <n v="0"/>
    <n v="256.54000000000002"/>
    <s v="2026-01"/>
    <s v="SKU-0006"/>
    <x v="18"/>
  </r>
  <r>
    <n v="1098"/>
    <n v="1444"/>
    <n v="25"/>
    <n v="7"/>
    <n v="265.23"/>
    <n v="0"/>
    <n v="1856.6100000000001"/>
    <s v="2026-01"/>
    <s v="SKU-0025"/>
    <x v="18"/>
  </r>
  <r>
    <n v="1099"/>
    <n v="1445"/>
    <n v="71"/>
    <n v="8"/>
    <n v="277.42"/>
    <n v="0"/>
    <n v="2219.36"/>
    <s v="2026-04"/>
    <s v="SKU-0071"/>
    <x v="11"/>
  </r>
  <r>
    <n v="1100"/>
    <n v="1445"/>
    <n v="148"/>
    <n v="8"/>
    <n v="124.32"/>
    <n v="6.27"/>
    <n v="988.29"/>
    <s v="2026-04"/>
    <s v="SKU0148"/>
    <x v="11"/>
  </r>
  <r>
    <n v="1101"/>
    <n v="1445"/>
    <n v="24"/>
    <n v="4"/>
    <n v="20.55"/>
    <n v="0"/>
    <n v="82.2"/>
    <s v="2026-04"/>
    <s v="SKU-0024"/>
    <x v="11"/>
  </r>
  <r>
    <n v="1102"/>
    <n v="1446"/>
    <n v="102"/>
    <n v="4"/>
    <n v="71.52"/>
    <n v="7.26"/>
    <n v="278.82"/>
    <s v="2026-01"/>
    <s v="SKU-0102"/>
    <x v="17"/>
  </r>
  <r>
    <n v="1103"/>
    <n v="1447"/>
    <n v="22"/>
    <n v="3"/>
    <n v="159.69"/>
    <n v="6.64"/>
    <n v="472.43"/>
    <s v="2026-02"/>
    <s v="SKU-0022"/>
    <x v="9"/>
  </r>
  <r>
    <n v="1104"/>
    <n v="1447"/>
    <n v="134"/>
    <n v="4"/>
    <n v="26.36"/>
    <n v="1.83"/>
    <n v="103.61"/>
    <s v="2026-02"/>
    <s v="SKU-0134"/>
    <x v="9"/>
  </r>
  <r>
    <n v="1105"/>
    <n v="1448"/>
    <n v="144"/>
    <n v="8"/>
    <n v="194.56"/>
    <n v="0"/>
    <n v="1556.48"/>
    <s v="2026-04"/>
    <s v="SKU-0144"/>
    <x v="2"/>
  </r>
  <r>
    <n v="1106"/>
    <n v="1448"/>
    <n v="61"/>
    <n v="6"/>
    <n v="293.22000000000003"/>
    <n v="7.46"/>
    <n v="1751.8600000000001"/>
    <s v="2026-04"/>
    <s v="SKU-0061"/>
    <x v="2"/>
  </r>
  <r>
    <n v="1107"/>
    <n v="1449"/>
    <n v="43"/>
    <n v="4"/>
    <n v="277.02999999999997"/>
    <n v="0"/>
    <n v="1108.1199999999999"/>
    <s v="2026-01"/>
    <s v="SKU-0043"/>
    <x v="18"/>
  </r>
  <r>
    <n v="1108"/>
    <n v="1450"/>
    <n v="112"/>
    <n v="5"/>
    <n v="154.88"/>
    <n v="0"/>
    <n v="774.4"/>
    <s v="2026-04"/>
    <s v="SKU-011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2">
  <r>
    <n v="1"/>
    <n v="1"/>
    <x v="0"/>
    <n v="22"/>
    <d v="2026-04-01T00:00:00"/>
  </r>
  <r>
    <n v="2"/>
    <n v="2"/>
    <x v="0"/>
    <n v="405"/>
    <d v="2026-04-22T00:00:00"/>
  </r>
  <r>
    <n v="3"/>
    <n v="2"/>
    <x v="1"/>
    <n v="253"/>
    <d v="2026-04-23T00:00:00"/>
  </r>
  <r>
    <n v="4"/>
    <n v="2"/>
    <x v="2"/>
    <n v="257"/>
    <d v="2026-04-10T00:00:00"/>
  </r>
  <r>
    <n v="5"/>
    <n v="3"/>
    <x v="0"/>
    <n v="51"/>
    <d v="2026-04-02T00:00:00"/>
  </r>
  <r>
    <n v="6"/>
    <n v="4"/>
    <x v="3"/>
    <n v="209"/>
    <d v="2026-04-22T00:00:00"/>
  </r>
  <r>
    <n v="7"/>
    <n v="5"/>
    <x v="0"/>
    <n v="400"/>
    <d v="2026-04-10T00:00:00"/>
  </r>
  <r>
    <n v="8"/>
    <n v="6"/>
    <x v="0"/>
    <n v="168"/>
    <d v="2026-03-08T00:00:00"/>
  </r>
  <r>
    <n v="9"/>
    <n v="6"/>
    <x v="4"/>
    <n v="273"/>
    <d v="2026-04-11T00:00:00"/>
  </r>
  <r>
    <n v="10"/>
    <n v="6"/>
    <x v="1"/>
    <n v="320"/>
    <d v="2026-03-14T00:00:00"/>
  </r>
  <r>
    <n v="11"/>
    <n v="7"/>
    <x v="1"/>
    <n v="316"/>
    <d v="2026-03-22T00:00:00"/>
  </r>
  <r>
    <n v="12"/>
    <n v="7"/>
    <x v="4"/>
    <n v="350"/>
    <d v="2026-04-17T00:00:00"/>
  </r>
  <r>
    <n v="13"/>
    <n v="8"/>
    <x v="4"/>
    <n v="389"/>
    <d v="2026-03-07T00:00:00"/>
  </r>
  <r>
    <n v="14"/>
    <n v="8"/>
    <x v="0"/>
    <n v="51"/>
    <d v="2026-03-18T00:00:00"/>
  </r>
  <r>
    <n v="15"/>
    <n v="8"/>
    <x v="4"/>
    <n v="153"/>
    <d v="2026-04-29T00:00:00"/>
  </r>
  <r>
    <n v="16"/>
    <n v="9"/>
    <x v="4"/>
    <n v="183"/>
    <d v="2026-04-22T00:00:00"/>
  </r>
  <r>
    <n v="17"/>
    <n v="9"/>
    <x v="5"/>
    <n v="125"/>
    <d v="2026-03-26T00:00:00"/>
  </r>
  <r>
    <n v="18"/>
    <n v="10"/>
    <x v="3"/>
    <n v="40"/>
    <d v="2026-04-07T00:00:00"/>
  </r>
  <r>
    <n v="19"/>
    <n v="10"/>
    <x v="1"/>
    <n v="317"/>
    <d v="2026-03-31T00:00:00"/>
  </r>
  <r>
    <n v="20"/>
    <n v="10"/>
    <x v="4"/>
    <n v="467"/>
    <d v="2026-04-17T00:00:00"/>
  </r>
  <r>
    <n v="21"/>
    <n v="11"/>
    <x v="5"/>
    <n v="130"/>
    <d v="2026-03-05T00:00:00"/>
  </r>
  <r>
    <n v="22"/>
    <n v="11"/>
    <x v="0"/>
    <n v="411"/>
    <d v="2026-04-13T00:00:00"/>
  </r>
  <r>
    <n v="23"/>
    <n v="12"/>
    <x v="1"/>
    <n v="226"/>
    <d v="2026-03-25T00:00:00"/>
  </r>
  <r>
    <n v="24"/>
    <n v="12"/>
    <x v="3"/>
    <n v="153"/>
    <d v="2026-04-04T00:00:00"/>
  </r>
  <r>
    <n v="25"/>
    <n v="12"/>
    <x v="4"/>
    <n v="353"/>
    <d v="2026-03-08T00:00:00"/>
  </r>
  <r>
    <n v="26"/>
    <n v="13"/>
    <x v="3"/>
    <n v="436"/>
    <d v="2026-04-16T00:00:00"/>
  </r>
  <r>
    <n v="27"/>
    <n v="13"/>
    <x v="0"/>
    <n v="195"/>
    <d v="2026-03-26T00:00:00"/>
  </r>
  <r>
    <n v="28"/>
    <n v="14"/>
    <x v="5"/>
    <n v="500"/>
    <d v="2026-04-06T00:00:00"/>
  </r>
  <r>
    <n v="29"/>
    <n v="14"/>
    <x v="4"/>
    <n v="0"/>
    <d v="2026-03-04T00:00:00"/>
  </r>
  <r>
    <n v="30"/>
    <n v="15"/>
    <x v="0"/>
    <n v="409"/>
    <d v="2026-03-11T00:00:00"/>
  </r>
  <r>
    <n v="31"/>
    <n v="15"/>
    <x v="5"/>
    <n v="180"/>
    <d v="2026-04-19T00:00:00"/>
  </r>
  <r>
    <n v="32"/>
    <n v="15"/>
    <x v="0"/>
    <n v="317"/>
    <d v="2026-03-14T00:00:00"/>
  </r>
  <r>
    <n v="33"/>
    <n v="16"/>
    <x v="3"/>
    <n v="330"/>
    <d v="2026-03-12T00:00:00"/>
  </r>
  <r>
    <n v="34"/>
    <n v="16"/>
    <x v="4"/>
    <n v="225"/>
    <d v="2026-04-08T00:00:00"/>
  </r>
  <r>
    <n v="35"/>
    <n v="16"/>
    <x v="2"/>
    <n v="374"/>
    <d v="2026-03-04T00:00:00"/>
  </r>
  <r>
    <n v="36"/>
    <n v="17"/>
    <x v="2"/>
    <n v="89"/>
    <d v="2026-03-12T00:00:00"/>
  </r>
  <r>
    <n v="37"/>
    <n v="17"/>
    <x v="0"/>
    <n v="276"/>
    <d v="2026-04-08T00:00:00"/>
  </r>
  <r>
    <n v="38"/>
    <n v="18"/>
    <x v="1"/>
    <n v="84"/>
    <d v="2026-03-10T00:00:00"/>
  </r>
  <r>
    <n v="39"/>
    <n v="18"/>
    <x v="5"/>
    <n v="483"/>
    <d v="2026-03-11T00:00:00"/>
  </r>
  <r>
    <n v="40"/>
    <n v="18"/>
    <x v="0"/>
    <n v="151"/>
    <d v="2026-04-10T00:00:00"/>
  </r>
  <r>
    <n v="41"/>
    <n v="19"/>
    <x v="0"/>
    <n v="493"/>
    <d v="2026-03-14T00:00:00"/>
  </r>
  <r>
    <n v="42"/>
    <n v="20"/>
    <x v="0"/>
    <n v="495"/>
    <d v="2026-03-27T00:00:00"/>
  </r>
  <r>
    <n v="43"/>
    <n v="21"/>
    <x v="4"/>
    <n v="7"/>
    <d v="2026-04-24T00:00:00"/>
  </r>
  <r>
    <n v="44"/>
    <n v="21"/>
    <x v="0"/>
    <n v="232"/>
    <d v="2026-03-15T00:00:00"/>
  </r>
  <r>
    <n v="45"/>
    <n v="22"/>
    <x v="5"/>
    <n v="326"/>
    <d v="2026-04-25T00:00:00"/>
  </r>
  <r>
    <n v="46"/>
    <n v="22"/>
    <x v="0"/>
    <n v="345"/>
    <d v="2026-04-30T00:00:00"/>
  </r>
  <r>
    <n v="47"/>
    <n v="22"/>
    <x v="0"/>
    <n v="317"/>
    <d v="2026-03-27T00:00:00"/>
  </r>
  <r>
    <n v="48"/>
    <n v="23"/>
    <x v="3"/>
    <n v="325"/>
    <d v="2026-03-04T00:00:00"/>
  </r>
  <r>
    <n v="49"/>
    <n v="23"/>
    <x v="4"/>
    <n v="358"/>
    <d v="2026-04-05T00:00:00"/>
  </r>
  <r>
    <n v="50"/>
    <n v="24"/>
    <x v="3"/>
    <n v="23"/>
    <d v="2026-04-12T00:00:00"/>
  </r>
  <r>
    <n v="51"/>
    <n v="25"/>
    <x v="4"/>
    <n v="120"/>
    <d v="2026-04-23T00:00:00"/>
  </r>
  <r>
    <n v="52"/>
    <n v="25"/>
    <x v="1"/>
    <n v="198"/>
    <d v="2026-03-20T00:00:00"/>
  </r>
  <r>
    <n v="53"/>
    <n v="26"/>
    <x v="1"/>
    <n v="380"/>
    <d v="2026-03-06T00:00:00"/>
  </r>
  <r>
    <n v="54"/>
    <n v="26"/>
    <x v="0"/>
    <n v="212"/>
    <d v="2026-03-09T00:00:00"/>
  </r>
  <r>
    <n v="55"/>
    <n v="26"/>
    <x v="5"/>
    <n v="250"/>
    <d v="2026-03-02T00:00:00"/>
  </r>
  <r>
    <n v="56"/>
    <n v="27"/>
    <x v="4"/>
    <n v="111"/>
    <d v="2026-03-02T00:00:00"/>
  </r>
  <r>
    <n v="57"/>
    <n v="27"/>
    <x v="2"/>
    <n v="120"/>
    <d v="2026-04-25T00:00:00"/>
  </r>
  <r>
    <n v="58"/>
    <n v="28"/>
    <x v="2"/>
    <n v="203"/>
    <d v="2026-04-24T00:00:00"/>
  </r>
  <r>
    <n v="59"/>
    <n v="28"/>
    <x v="1"/>
    <n v="485"/>
    <d v="2026-04-02T00:00:00"/>
  </r>
  <r>
    <n v="60"/>
    <n v="28"/>
    <x v="4"/>
    <n v="46"/>
    <d v="2026-03-21T00:00:00"/>
  </r>
  <r>
    <n v="61"/>
    <n v="29"/>
    <x v="4"/>
    <n v="170"/>
    <d v="2026-04-23T00:00:00"/>
  </r>
  <r>
    <n v="62"/>
    <n v="29"/>
    <x v="1"/>
    <n v="402"/>
    <d v="2026-04-27T00:00:00"/>
  </r>
  <r>
    <n v="63"/>
    <n v="29"/>
    <x v="0"/>
    <n v="424"/>
    <d v="2026-04-18T00:00:00"/>
  </r>
  <r>
    <n v="64"/>
    <n v="30"/>
    <x v="3"/>
    <n v="396"/>
    <d v="2026-03-05T00:00:00"/>
  </r>
  <r>
    <n v="65"/>
    <n v="30"/>
    <x v="1"/>
    <n v="0"/>
    <d v="2026-04-23T00:00:00"/>
  </r>
  <r>
    <n v="66"/>
    <n v="30"/>
    <x v="3"/>
    <n v="276"/>
    <d v="2026-04-20T00:00:00"/>
  </r>
  <r>
    <n v="67"/>
    <n v="31"/>
    <x v="4"/>
    <n v="0"/>
    <d v="2026-03-25T00:00:00"/>
  </r>
  <r>
    <n v="68"/>
    <n v="32"/>
    <x v="4"/>
    <n v="135"/>
    <d v="2026-03-15T00:00:00"/>
  </r>
  <r>
    <n v="69"/>
    <n v="32"/>
    <x v="3"/>
    <n v="215"/>
    <d v="2026-03-15T00:00:00"/>
  </r>
  <r>
    <n v="70"/>
    <n v="33"/>
    <x v="0"/>
    <n v="229"/>
    <d v="2026-03-30T00:00:00"/>
  </r>
  <r>
    <n v="71"/>
    <n v="34"/>
    <x v="4"/>
    <n v="113"/>
    <d v="2026-04-29T00:00:00"/>
  </r>
  <r>
    <n v="72"/>
    <n v="34"/>
    <x v="0"/>
    <n v="372"/>
    <d v="2026-03-07T00:00:00"/>
  </r>
  <r>
    <n v="73"/>
    <n v="34"/>
    <x v="5"/>
    <n v="337"/>
    <d v="2026-04-02T00:00:00"/>
  </r>
  <r>
    <n v="74"/>
    <n v="35"/>
    <x v="4"/>
    <n v="433"/>
    <d v="2026-03-19T00:00:00"/>
  </r>
  <r>
    <n v="75"/>
    <n v="35"/>
    <x v="1"/>
    <n v="55"/>
    <d v="2026-03-04T00:00:00"/>
  </r>
  <r>
    <n v="76"/>
    <n v="35"/>
    <x v="3"/>
    <n v="227"/>
    <d v="2026-04-26T00:00:00"/>
  </r>
  <r>
    <n v="77"/>
    <n v="36"/>
    <x v="3"/>
    <n v="64"/>
    <d v="2026-03-22T00:00:00"/>
  </r>
  <r>
    <n v="78"/>
    <n v="36"/>
    <x v="4"/>
    <n v="299"/>
    <d v="2026-04-11T00:00:00"/>
  </r>
  <r>
    <n v="79"/>
    <n v="37"/>
    <x v="1"/>
    <n v="232"/>
    <d v="2026-04-04T00:00:00"/>
  </r>
  <r>
    <n v="80"/>
    <n v="37"/>
    <x v="5"/>
    <n v="50"/>
    <d v="2026-04-24T00:00:00"/>
  </r>
  <r>
    <n v="81"/>
    <n v="38"/>
    <x v="1"/>
    <n v="231"/>
    <d v="2026-04-05T00:00:00"/>
  </r>
  <r>
    <n v="82"/>
    <n v="38"/>
    <x v="3"/>
    <n v="173"/>
    <d v="2026-04-06T00:00:00"/>
  </r>
  <r>
    <n v="83"/>
    <n v="38"/>
    <x v="0"/>
    <n v="212"/>
    <d v="2026-04-11T00:00:00"/>
  </r>
  <r>
    <n v="84"/>
    <n v="39"/>
    <x v="2"/>
    <n v="191"/>
    <d v="2026-03-19T00:00:00"/>
  </r>
  <r>
    <n v="85"/>
    <n v="39"/>
    <x v="5"/>
    <n v="472"/>
    <d v="2026-04-26T00:00:00"/>
  </r>
  <r>
    <n v="86"/>
    <n v="40"/>
    <x v="4"/>
    <n v="221"/>
    <d v="2026-03-15T00:00:00"/>
  </r>
  <r>
    <n v="87"/>
    <n v="41"/>
    <x v="3"/>
    <n v="300"/>
    <d v="2026-03-27T00:00:00"/>
  </r>
  <r>
    <n v="88"/>
    <n v="41"/>
    <x v="4"/>
    <n v="168"/>
    <d v="2026-04-05T00:00:00"/>
  </r>
  <r>
    <n v="89"/>
    <n v="42"/>
    <x v="0"/>
    <n v="495"/>
    <d v="2026-04-12T00:00:00"/>
  </r>
  <r>
    <n v="90"/>
    <n v="42"/>
    <x v="4"/>
    <n v="180"/>
    <d v="2026-03-30T00:00:00"/>
  </r>
  <r>
    <n v="91"/>
    <n v="43"/>
    <x v="3"/>
    <n v="336"/>
    <d v="2026-03-08T00:00:00"/>
  </r>
  <r>
    <n v="92"/>
    <n v="44"/>
    <x v="2"/>
    <n v="432"/>
    <d v="2026-04-24T00:00:00"/>
  </r>
  <r>
    <n v="93"/>
    <n v="45"/>
    <x v="3"/>
    <n v="432"/>
    <d v="2026-03-13T00:00:00"/>
  </r>
  <r>
    <n v="94"/>
    <n v="45"/>
    <x v="0"/>
    <n v="419"/>
    <d v="2026-03-19T00:00:00"/>
  </r>
  <r>
    <n v="95"/>
    <n v="46"/>
    <x v="1"/>
    <n v="475"/>
    <d v="2026-03-18T00:00:00"/>
  </r>
  <r>
    <n v="96"/>
    <n v="46"/>
    <x v="4"/>
    <n v="0"/>
    <d v="2026-03-18T00:00:00"/>
  </r>
  <r>
    <n v="97"/>
    <n v="46"/>
    <x v="5"/>
    <n v="390"/>
    <d v="2026-04-10T00:00:00"/>
  </r>
  <r>
    <n v="98"/>
    <n v="47"/>
    <x v="4"/>
    <n v="445"/>
    <d v="2026-03-20T00:00:00"/>
  </r>
  <r>
    <n v="99"/>
    <n v="47"/>
    <x v="3"/>
    <n v="205"/>
    <d v="2026-03-15T00:00:00"/>
  </r>
  <r>
    <n v="100"/>
    <n v="48"/>
    <x v="4"/>
    <n v="271"/>
    <d v="2026-04-05T00:00:00"/>
  </r>
  <r>
    <n v="101"/>
    <n v="48"/>
    <x v="4"/>
    <n v="232"/>
    <d v="2026-04-08T00:00:00"/>
  </r>
  <r>
    <n v="102"/>
    <n v="48"/>
    <x v="2"/>
    <n v="159"/>
    <d v="2026-03-13T00:00:00"/>
  </r>
  <r>
    <n v="103"/>
    <n v="49"/>
    <x v="4"/>
    <n v="80"/>
    <d v="2026-04-28T00:00:00"/>
  </r>
  <r>
    <n v="104"/>
    <n v="49"/>
    <x v="4"/>
    <n v="345"/>
    <d v="2026-04-03T00:00:00"/>
  </r>
  <r>
    <n v="105"/>
    <n v="49"/>
    <x v="1"/>
    <n v="338"/>
    <d v="2026-03-24T00:00:00"/>
  </r>
  <r>
    <n v="106"/>
    <n v="50"/>
    <x v="0"/>
    <n v="110"/>
    <d v="2026-04-24T00:00:00"/>
  </r>
  <r>
    <n v="107"/>
    <n v="50"/>
    <x v="5"/>
    <n v="176"/>
    <d v="2026-04-13T00:00:00"/>
  </r>
  <r>
    <n v="108"/>
    <n v="51"/>
    <x v="0"/>
    <n v="112"/>
    <d v="2026-03-24T00:00:00"/>
  </r>
  <r>
    <n v="109"/>
    <n v="51"/>
    <x v="5"/>
    <n v="0"/>
    <d v="2026-03-02T00:00:00"/>
  </r>
  <r>
    <n v="110"/>
    <n v="51"/>
    <x v="4"/>
    <n v="108"/>
    <d v="2026-03-14T00:00:00"/>
  </r>
  <r>
    <n v="111"/>
    <n v="52"/>
    <x v="5"/>
    <n v="0"/>
    <d v="2026-04-20T00:00:00"/>
  </r>
  <r>
    <n v="112"/>
    <n v="52"/>
    <x v="2"/>
    <n v="66"/>
    <d v="2026-03-17T00:00:00"/>
  </r>
  <r>
    <n v="113"/>
    <n v="53"/>
    <x v="1"/>
    <n v="286"/>
    <d v="2026-03-11T00:00:00"/>
  </r>
  <r>
    <n v="114"/>
    <n v="54"/>
    <x v="4"/>
    <n v="441"/>
    <d v="2026-04-04T00:00:00"/>
  </r>
  <r>
    <n v="115"/>
    <n v="54"/>
    <x v="0"/>
    <n v="9"/>
    <d v="2026-04-27T00:00:00"/>
  </r>
  <r>
    <n v="116"/>
    <n v="55"/>
    <x v="0"/>
    <n v="363"/>
    <d v="2026-04-13T00:00:00"/>
  </r>
  <r>
    <n v="117"/>
    <n v="55"/>
    <x v="1"/>
    <n v="58"/>
    <d v="2026-04-11T00:00:00"/>
  </r>
  <r>
    <n v="118"/>
    <n v="56"/>
    <x v="0"/>
    <n v="425"/>
    <d v="2026-04-08T00:00:00"/>
  </r>
  <r>
    <n v="119"/>
    <n v="57"/>
    <x v="0"/>
    <n v="432"/>
    <d v="2026-04-04T00:00:00"/>
  </r>
  <r>
    <n v="120"/>
    <n v="58"/>
    <x v="0"/>
    <n v="445"/>
    <d v="2026-04-10T00:00:00"/>
  </r>
  <r>
    <n v="121"/>
    <n v="58"/>
    <x v="4"/>
    <n v="113"/>
    <d v="2026-04-21T00:00:00"/>
  </r>
  <r>
    <n v="122"/>
    <n v="58"/>
    <x v="3"/>
    <n v="39"/>
    <d v="2026-04-24T00:00:00"/>
  </r>
  <r>
    <n v="123"/>
    <n v="59"/>
    <x v="1"/>
    <n v="178"/>
    <d v="2026-03-10T00:00:00"/>
  </r>
  <r>
    <n v="124"/>
    <n v="59"/>
    <x v="3"/>
    <n v="330"/>
    <d v="2026-04-16T00:00:00"/>
  </r>
  <r>
    <n v="125"/>
    <n v="59"/>
    <x v="0"/>
    <n v="52"/>
    <d v="2026-04-19T00:00:00"/>
  </r>
  <r>
    <n v="126"/>
    <n v="60"/>
    <x v="3"/>
    <n v="389"/>
    <d v="2026-04-27T00:00:00"/>
  </r>
  <r>
    <n v="127"/>
    <n v="61"/>
    <x v="0"/>
    <n v="237"/>
    <d v="2026-03-14T00:00:00"/>
  </r>
  <r>
    <n v="128"/>
    <n v="62"/>
    <x v="0"/>
    <n v="497"/>
    <d v="2026-04-22T00:00:00"/>
  </r>
  <r>
    <n v="129"/>
    <n v="62"/>
    <x v="2"/>
    <n v="225"/>
    <d v="2026-04-03T00:00:00"/>
  </r>
  <r>
    <n v="130"/>
    <n v="62"/>
    <x v="0"/>
    <n v="323"/>
    <d v="2026-04-14T00:00:00"/>
  </r>
  <r>
    <n v="131"/>
    <n v="63"/>
    <x v="4"/>
    <n v="37"/>
    <d v="2026-04-03T00:00:00"/>
  </r>
  <r>
    <n v="132"/>
    <n v="63"/>
    <x v="2"/>
    <n v="19"/>
    <d v="2026-03-09T00:00:00"/>
  </r>
  <r>
    <n v="133"/>
    <n v="63"/>
    <x v="5"/>
    <n v="146"/>
    <d v="2026-03-07T00:00:00"/>
  </r>
  <r>
    <n v="134"/>
    <n v="64"/>
    <x v="1"/>
    <n v="196"/>
    <d v="2026-03-27T00:00:00"/>
  </r>
  <r>
    <n v="135"/>
    <n v="65"/>
    <x v="4"/>
    <n v="292"/>
    <d v="2026-04-11T00:00:00"/>
  </r>
  <r>
    <n v="136"/>
    <n v="65"/>
    <x v="0"/>
    <n v="309"/>
    <d v="2026-04-22T00:00:00"/>
  </r>
  <r>
    <n v="137"/>
    <n v="65"/>
    <x v="0"/>
    <n v="490"/>
    <d v="2026-04-25T00:00:00"/>
  </r>
  <r>
    <n v="138"/>
    <n v="66"/>
    <x v="4"/>
    <n v="20"/>
    <d v="2026-04-03T00:00:00"/>
  </r>
  <r>
    <n v="139"/>
    <n v="66"/>
    <x v="3"/>
    <n v="224"/>
    <d v="2026-03-23T00:00:00"/>
  </r>
  <r>
    <n v="140"/>
    <n v="67"/>
    <x v="2"/>
    <n v="190"/>
    <d v="2026-04-07T00:00:00"/>
  </r>
  <r>
    <n v="141"/>
    <n v="68"/>
    <x v="2"/>
    <n v="404"/>
    <d v="2026-04-10T00:00:00"/>
  </r>
  <r>
    <n v="142"/>
    <n v="68"/>
    <x v="4"/>
    <n v="33"/>
    <d v="2026-03-27T00:00:00"/>
  </r>
  <r>
    <n v="143"/>
    <n v="69"/>
    <x v="0"/>
    <n v="370"/>
    <d v="2026-03-04T00:00:00"/>
  </r>
  <r>
    <n v="144"/>
    <n v="69"/>
    <x v="5"/>
    <n v="308"/>
    <d v="2026-04-10T00:00:00"/>
  </r>
  <r>
    <n v="145"/>
    <n v="69"/>
    <x v="3"/>
    <n v="41"/>
    <d v="2026-04-22T00:00:00"/>
  </r>
  <r>
    <n v="146"/>
    <n v="70"/>
    <x v="5"/>
    <n v="66"/>
    <d v="2026-03-02T00:00:00"/>
  </r>
  <r>
    <n v="147"/>
    <n v="70"/>
    <x v="0"/>
    <n v="43"/>
    <d v="2026-04-07T00:00:00"/>
  </r>
  <r>
    <n v="148"/>
    <n v="71"/>
    <x v="2"/>
    <n v="359"/>
    <d v="2026-03-15T00:00:00"/>
  </r>
  <r>
    <n v="149"/>
    <n v="71"/>
    <x v="3"/>
    <n v="350"/>
    <d v="2026-04-26T00:00:00"/>
  </r>
  <r>
    <n v="150"/>
    <n v="71"/>
    <x v="1"/>
    <n v="330"/>
    <d v="2026-03-30T00:00:00"/>
  </r>
  <r>
    <n v="151"/>
    <n v="72"/>
    <x v="4"/>
    <n v="158"/>
    <d v="2026-04-18T00:00:00"/>
  </r>
  <r>
    <n v="152"/>
    <n v="72"/>
    <x v="2"/>
    <n v="174"/>
    <d v="2026-03-31T00:00:00"/>
  </r>
  <r>
    <n v="153"/>
    <n v="73"/>
    <x v="3"/>
    <n v="70"/>
    <d v="2026-04-13T00:00:00"/>
  </r>
  <r>
    <n v="154"/>
    <n v="74"/>
    <x v="1"/>
    <n v="394"/>
    <d v="2026-03-15T00:00:00"/>
  </r>
  <r>
    <n v="155"/>
    <n v="75"/>
    <x v="4"/>
    <n v="316"/>
    <d v="2026-04-07T00:00:00"/>
  </r>
  <r>
    <n v="156"/>
    <n v="75"/>
    <x v="2"/>
    <n v="78"/>
    <d v="2026-03-09T00:00:00"/>
  </r>
  <r>
    <n v="157"/>
    <n v="75"/>
    <x v="0"/>
    <n v="354"/>
    <d v="2026-03-11T00:00:00"/>
  </r>
  <r>
    <n v="158"/>
    <n v="76"/>
    <x v="0"/>
    <n v="22"/>
    <d v="2026-03-19T00:00:00"/>
  </r>
  <r>
    <n v="159"/>
    <n v="77"/>
    <x v="3"/>
    <n v="145"/>
    <d v="2026-03-12T00:00:00"/>
  </r>
  <r>
    <n v="160"/>
    <n v="77"/>
    <x v="0"/>
    <n v="229"/>
    <d v="2026-04-16T00:00:00"/>
  </r>
  <r>
    <n v="161"/>
    <n v="77"/>
    <x v="5"/>
    <n v="158"/>
    <d v="2026-03-12T00:00:00"/>
  </r>
  <r>
    <n v="162"/>
    <n v="78"/>
    <x v="3"/>
    <n v="347"/>
    <d v="2026-04-03T00:00:00"/>
  </r>
  <r>
    <n v="163"/>
    <n v="78"/>
    <x v="2"/>
    <n v="236"/>
    <d v="2026-03-13T00:00:00"/>
  </r>
  <r>
    <n v="164"/>
    <n v="79"/>
    <x v="1"/>
    <n v="494"/>
    <d v="2026-04-19T00:00:00"/>
  </r>
  <r>
    <n v="165"/>
    <n v="79"/>
    <x v="0"/>
    <n v="410"/>
    <d v="2026-03-07T00:00:00"/>
  </r>
  <r>
    <n v="166"/>
    <n v="80"/>
    <x v="4"/>
    <n v="447"/>
    <d v="2026-03-03T00:00:00"/>
  </r>
  <r>
    <n v="167"/>
    <n v="80"/>
    <x v="0"/>
    <n v="52"/>
    <d v="2026-03-29T00:00:00"/>
  </r>
  <r>
    <n v="168"/>
    <n v="81"/>
    <x v="5"/>
    <n v="42"/>
    <d v="2026-04-14T00:00:00"/>
  </r>
  <r>
    <n v="169"/>
    <n v="82"/>
    <x v="1"/>
    <n v="425"/>
    <d v="2026-03-02T00:00:00"/>
  </r>
  <r>
    <n v="170"/>
    <n v="82"/>
    <x v="3"/>
    <n v="466"/>
    <d v="2026-04-03T00:00:00"/>
  </r>
  <r>
    <n v="171"/>
    <n v="83"/>
    <x v="4"/>
    <n v="27"/>
    <d v="2026-04-08T00:00:00"/>
  </r>
  <r>
    <n v="172"/>
    <n v="83"/>
    <x v="0"/>
    <n v="120"/>
    <d v="2026-04-26T00:00:00"/>
  </r>
  <r>
    <n v="173"/>
    <n v="84"/>
    <x v="3"/>
    <n v="163"/>
    <d v="2026-03-09T00:00:00"/>
  </r>
  <r>
    <n v="174"/>
    <n v="84"/>
    <x v="4"/>
    <n v="365"/>
    <d v="2026-03-12T00:00:00"/>
  </r>
  <r>
    <n v="175"/>
    <n v="85"/>
    <x v="3"/>
    <n v="19"/>
    <d v="2026-03-09T00:00:00"/>
  </r>
  <r>
    <n v="176"/>
    <n v="86"/>
    <x v="3"/>
    <n v="229"/>
    <d v="2026-03-05T00:00:00"/>
  </r>
  <r>
    <n v="177"/>
    <n v="86"/>
    <x v="0"/>
    <n v="0"/>
    <d v="2026-03-09T00:00:00"/>
  </r>
  <r>
    <n v="178"/>
    <n v="87"/>
    <x v="1"/>
    <n v="481"/>
    <d v="2026-03-29T00:00:00"/>
  </r>
  <r>
    <n v="179"/>
    <n v="88"/>
    <x v="4"/>
    <n v="121"/>
    <d v="2026-04-28T00:00:00"/>
  </r>
  <r>
    <n v="180"/>
    <n v="88"/>
    <x v="5"/>
    <n v="122"/>
    <d v="2026-03-12T00:00:00"/>
  </r>
  <r>
    <n v="181"/>
    <n v="89"/>
    <x v="0"/>
    <n v="428"/>
    <d v="2026-03-24T00:00:00"/>
  </r>
  <r>
    <n v="182"/>
    <n v="89"/>
    <x v="4"/>
    <n v="0"/>
    <d v="2026-03-26T00:00:00"/>
  </r>
  <r>
    <n v="183"/>
    <n v="89"/>
    <x v="4"/>
    <n v="123"/>
    <d v="2026-04-13T00:00:00"/>
  </r>
  <r>
    <n v="184"/>
    <n v="90"/>
    <x v="4"/>
    <n v="123"/>
    <d v="2026-04-20T00:00:00"/>
  </r>
  <r>
    <n v="185"/>
    <n v="90"/>
    <x v="2"/>
    <n v="340"/>
    <d v="2026-03-29T00:00:00"/>
  </r>
  <r>
    <n v="186"/>
    <n v="91"/>
    <x v="4"/>
    <n v="199"/>
    <d v="2026-04-29T00:00:00"/>
  </r>
  <r>
    <n v="187"/>
    <n v="91"/>
    <x v="4"/>
    <n v="325"/>
    <d v="2026-04-08T00:00:00"/>
  </r>
  <r>
    <n v="188"/>
    <n v="92"/>
    <x v="4"/>
    <n v="403"/>
    <d v="2026-04-16T00:00:00"/>
  </r>
  <r>
    <n v="189"/>
    <n v="92"/>
    <x v="2"/>
    <n v="375"/>
    <d v="2026-04-25T00:00:00"/>
  </r>
  <r>
    <n v="190"/>
    <n v="93"/>
    <x v="2"/>
    <n v="180"/>
    <d v="2026-03-10T00:00:00"/>
  </r>
  <r>
    <n v="191"/>
    <n v="93"/>
    <x v="3"/>
    <n v="329"/>
    <d v="2026-03-13T00:00:00"/>
  </r>
  <r>
    <n v="192"/>
    <n v="93"/>
    <x v="4"/>
    <n v="350"/>
    <d v="2026-03-18T00:00:00"/>
  </r>
  <r>
    <n v="193"/>
    <n v="94"/>
    <x v="3"/>
    <n v="32"/>
    <d v="2026-03-02T00:00:00"/>
  </r>
  <r>
    <n v="194"/>
    <n v="94"/>
    <x v="1"/>
    <n v="234"/>
    <d v="2026-04-19T00:00:00"/>
  </r>
  <r>
    <n v="195"/>
    <n v="95"/>
    <x v="3"/>
    <n v="453"/>
    <d v="2026-03-03T00:00:00"/>
  </r>
  <r>
    <n v="196"/>
    <n v="96"/>
    <x v="1"/>
    <n v="417"/>
    <d v="2026-04-15T00:00:00"/>
  </r>
  <r>
    <n v="197"/>
    <n v="96"/>
    <x v="0"/>
    <n v="18"/>
    <d v="2026-04-19T00:00:00"/>
  </r>
  <r>
    <n v="198"/>
    <n v="97"/>
    <x v="2"/>
    <n v="443"/>
    <d v="2026-04-14T00:00:00"/>
  </r>
  <r>
    <n v="199"/>
    <n v="97"/>
    <x v="4"/>
    <n v="63"/>
    <d v="2026-04-04T00:00:00"/>
  </r>
  <r>
    <n v="200"/>
    <n v="98"/>
    <x v="0"/>
    <n v="173"/>
    <d v="2026-03-31T00:00:00"/>
  </r>
  <r>
    <n v="201"/>
    <n v="98"/>
    <x v="0"/>
    <n v="354"/>
    <d v="2026-03-03T00:00:00"/>
  </r>
  <r>
    <n v="202"/>
    <n v="99"/>
    <x v="5"/>
    <n v="217"/>
    <d v="2026-03-24T00:00:00"/>
  </r>
  <r>
    <n v="203"/>
    <n v="99"/>
    <x v="4"/>
    <n v="421"/>
    <d v="2026-04-13T00:00:00"/>
  </r>
  <r>
    <n v="204"/>
    <n v="99"/>
    <x v="2"/>
    <n v="164"/>
    <d v="2026-04-11T00:00:00"/>
  </r>
  <r>
    <n v="205"/>
    <n v="100"/>
    <x v="5"/>
    <n v="308"/>
    <d v="2026-04-21T00:00:00"/>
  </r>
  <r>
    <n v="206"/>
    <n v="100"/>
    <x v="1"/>
    <n v="353"/>
    <d v="2026-04-03T00:00:00"/>
  </r>
  <r>
    <n v="207"/>
    <n v="100"/>
    <x v="3"/>
    <n v="21"/>
    <d v="2026-03-04T00:00:00"/>
  </r>
  <r>
    <n v="208"/>
    <n v="101"/>
    <x v="0"/>
    <n v="327"/>
    <d v="2026-03-02T00:00:00"/>
  </r>
  <r>
    <n v="209"/>
    <n v="101"/>
    <x v="5"/>
    <n v="29"/>
    <d v="2026-03-22T00:00:00"/>
  </r>
  <r>
    <n v="210"/>
    <n v="102"/>
    <x v="2"/>
    <n v="487"/>
    <d v="2026-03-08T00:00:00"/>
  </r>
  <r>
    <n v="211"/>
    <n v="102"/>
    <x v="3"/>
    <n v="311"/>
    <d v="2026-04-03T00:00:00"/>
  </r>
  <r>
    <n v="212"/>
    <n v="103"/>
    <x v="3"/>
    <n v="34"/>
    <d v="2026-03-21T00:00:00"/>
  </r>
  <r>
    <n v="213"/>
    <n v="104"/>
    <x v="2"/>
    <n v="486"/>
    <d v="2026-03-24T00:00:00"/>
  </r>
  <r>
    <n v="214"/>
    <n v="104"/>
    <x v="0"/>
    <n v="78"/>
    <d v="2026-03-02T00:00:00"/>
  </r>
  <r>
    <n v="215"/>
    <n v="105"/>
    <x v="2"/>
    <n v="390"/>
    <d v="2026-04-23T00:00:00"/>
  </r>
  <r>
    <n v="216"/>
    <n v="105"/>
    <x v="0"/>
    <n v="271"/>
    <d v="2026-04-11T00:00:00"/>
  </r>
  <r>
    <n v="217"/>
    <n v="106"/>
    <x v="5"/>
    <n v="13"/>
    <d v="2026-03-31T00:00:00"/>
  </r>
  <r>
    <n v="218"/>
    <n v="106"/>
    <x v="3"/>
    <n v="265"/>
    <d v="2026-03-27T00:00:00"/>
  </r>
  <r>
    <n v="219"/>
    <n v="106"/>
    <x v="4"/>
    <n v="60"/>
    <d v="2026-04-15T00:00:00"/>
  </r>
  <r>
    <n v="220"/>
    <n v="107"/>
    <x v="0"/>
    <n v="146"/>
    <d v="2026-03-31T00:00:00"/>
  </r>
  <r>
    <n v="221"/>
    <n v="107"/>
    <x v="3"/>
    <n v="102"/>
    <d v="2026-03-08T00:00:00"/>
  </r>
  <r>
    <n v="222"/>
    <n v="107"/>
    <x v="5"/>
    <n v="37"/>
    <d v="2026-03-05T00:00:00"/>
  </r>
  <r>
    <n v="223"/>
    <n v="108"/>
    <x v="0"/>
    <n v="349"/>
    <d v="2026-04-11T00:00:00"/>
  </r>
  <r>
    <n v="224"/>
    <n v="108"/>
    <x v="4"/>
    <n v="341"/>
    <d v="2026-04-27T00:00:00"/>
  </r>
  <r>
    <n v="225"/>
    <n v="108"/>
    <x v="0"/>
    <n v="281"/>
    <d v="2026-03-05T00:00:00"/>
  </r>
  <r>
    <n v="226"/>
    <n v="109"/>
    <x v="3"/>
    <n v="406"/>
    <d v="2026-04-17T00:00:00"/>
  </r>
  <r>
    <n v="227"/>
    <n v="109"/>
    <x v="1"/>
    <n v="62"/>
    <d v="2026-03-12T00:00:00"/>
  </r>
  <r>
    <n v="228"/>
    <n v="110"/>
    <x v="3"/>
    <n v="404"/>
    <d v="2026-04-08T00:00:00"/>
  </r>
  <r>
    <n v="229"/>
    <n v="111"/>
    <x v="2"/>
    <n v="282"/>
    <d v="2026-03-06T00:00:00"/>
  </r>
  <r>
    <n v="230"/>
    <n v="111"/>
    <x v="0"/>
    <n v="44"/>
    <d v="2026-04-06T00:00:00"/>
  </r>
  <r>
    <n v="231"/>
    <n v="111"/>
    <x v="0"/>
    <n v="367"/>
    <d v="2026-03-29T00:00:00"/>
  </r>
  <r>
    <n v="232"/>
    <n v="112"/>
    <x v="0"/>
    <n v="64"/>
    <d v="2026-03-21T00:00:00"/>
  </r>
  <r>
    <n v="233"/>
    <n v="112"/>
    <x v="4"/>
    <n v="37"/>
    <d v="2026-03-19T00:00:00"/>
  </r>
  <r>
    <n v="234"/>
    <n v="113"/>
    <x v="2"/>
    <n v="399"/>
    <d v="2026-03-25T00:00:00"/>
  </r>
  <r>
    <n v="235"/>
    <n v="113"/>
    <x v="3"/>
    <n v="93"/>
    <d v="2026-04-23T00:00:00"/>
  </r>
  <r>
    <n v="236"/>
    <n v="113"/>
    <x v="0"/>
    <n v="221"/>
    <d v="2026-03-07T00:00:00"/>
  </r>
  <r>
    <n v="237"/>
    <n v="114"/>
    <x v="4"/>
    <n v="265"/>
    <d v="2026-04-21T00:00:00"/>
  </r>
  <r>
    <n v="238"/>
    <n v="115"/>
    <x v="2"/>
    <n v="478"/>
    <d v="2026-04-09T00:00:00"/>
  </r>
  <r>
    <n v="239"/>
    <n v="116"/>
    <x v="5"/>
    <n v="100"/>
    <d v="2026-03-27T00:00:00"/>
  </r>
  <r>
    <n v="240"/>
    <n v="116"/>
    <x v="4"/>
    <n v="140"/>
    <d v="2026-04-12T00:00:00"/>
  </r>
  <r>
    <n v="241"/>
    <n v="116"/>
    <x v="3"/>
    <n v="314"/>
    <d v="2026-03-30T00:00:00"/>
  </r>
  <r>
    <n v="242"/>
    <n v="117"/>
    <x v="3"/>
    <n v="337"/>
    <d v="2026-03-05T00:00:00"/>
  </r>
  <r>
    <n v="243"/>
    <n v="117"/>
    <x v="1"/>
    <n v="309"/>
    <d v="2026-03-03T00:00:00"/>
  </r>
  <r>
    <n v="244"/>
    <n v="117"/>
    <x v="4"/>
    <n v="288"/>
    <d v="2026-03-07T00:00:00"/>
  </r>
  <r>
    <n v="245"/>
    <n v="118"/>
    <x v="4"/>
    <n v="23"/>
    <d v="2026-03-13T00:00:00"/>
  </r>
  <r>
    <n v="246"/>
    <n v="119"/>
    <x v="5"/>
    <n v="292"/>
    <d v="2026-03-22T00:00:00"/>
  </r>
  <r>
    <n v="247"/>
    <n v="119"/>
    <x v="3"/>
    <n v="15"/>
    <d v="2026-03-22T00:00:00"/>
  </r>
  <r>
    <n v="248"/>
    <n v="119"/>
    <x v="0"/>
    <n v="279"/>
    <d v="2026-04-12T00:00:00"/>
  </r>
  <r>
    <n v="249"/>
    <n v="120"/>
    <x v="3"/>
    <n v="152"/>
    <d v="2026-03-18T00:00:00"/>
  </r>
  <r>
    <n v="250"/>
    <n v="120"/>
    <x v="0"/>
    <n v="30"/>
    <d v="2026-04-05T00:00:00"/>
  </r>
  <r>
    <n v="251"/>
    <n v="121"/>
    <x v="0"/>
    <n v="174"/>
    <d v="2026-04-11T00:00:00"/>
  </r>
  <r>
    <n v="252"/>
    <n v="121"/>
    <x v="3"/>
    <n v="441"/>
    <d v="2026-03-16T00:00:00"/>
  </r>
  <r>
    <n v="253"/>
    <n v="122"/>
    <x v="0"/>
    <n v="389"/>
    <d v="2026-03-27T00:00:00"/>
  </r>
  <r>
    <n v="254"/>
    <n v="122"/>
    <x v="3"/>
    <n v="54"/>
    <d v="2026-04-02T00:00:00"/>
  </r>
  <r>
    <n v="255"/>
    <n v="123"/>
    <x v="5"/>
    <n v="230"/>
    <d v="2026-04-25T00:00:00"/>
  </r>
  <r>
    <n v="256"/>
    <n v="124"/>
    <x v="5"/>
    <n v="484"/>
    <d v="2026-03-23T00:00:00"/>
  </r>
  <r>
    <n v="257"/>
    <n v="125"/>
    <x v="3"/>
    <n v="416"/>
    <d v="2026-03-26T00:00:00"/>
  </r>
  <r>
    <n v="258"/>
    <n v="125"/>
    <x v="3"/>
    <n v="369"/>
    <d v="2026-03-14T00:00:00"/>
  </r>
  <r>
    <n v="259"/>
    <n v="126"/>
    <x v="0"/>
    <n v="263"/>
    <d v="2026-03-06T00:00:00"/>
  </r>
  <r>
    <n v="260"/>
    <n v="127"/>
    <x v="0"/>
    <n v="46"/>
    <d v="2026-03-30T00:00:00"/>
  </r>
  <r>
    <n v="261"/>
    <n v="127"/>
    <x v="4"/>
    <n v="234"/>
    <d v="2026-04-18T00:00:00"/>
  </r>
  <r>
    <n v="262"/>
    <n v="128"/>
    <x v="2"/>
    <n v="144"/>
    <d v="2026-03-06T00:00:00"/>
  </r>
  <r>
    <n v="263"/>
    <n v="128"/>
    <x v="4"/>
    <n v="431"/>
    <d v="2026-04-01T00:00:00"/>
  </r>
  <r>
    <n v="264"/>
    <n v="128"/>
    <x v="0"/>
    <n v="146"/>
    <d v="2026-03-08T00:00:00"/>
  </r>
  <r>
    <n v="265"/>
    <n v="129"/>
    <x v="0"/>
    <n v="68"/>
    <d v="2026-03-16T00:00:00"/>
  </r>
  <r>
    <n v="266"/>
    <n v="130"/>
    <x v="0"/>
    <n v="23"/>
    <d v="2026-03-26T00:00:00"/>
  </r>
  <r>
    <n v="267"/>
    <n v="130"/>
    <x v="2"/>
    <n v="287"/>
    <d v="2026-03-27T00:00:00"/>
  </r>
  <r>
    <n v="268"/>
    <n v="131"/>
    <x v="4"/>
    <n v="258"/>
    <d v="2026-03-27T00:00:00"/>
  </r>
  <r>
    <n v="269"/>
    <n v="131"/>
    <x v="0"/>
    <n v="143"/>
    <d v="2026-03-23T00:00:00"/>
  </r>
  <r>
    <n v="270"/>
    <n v="132"/>
    <x v="4"/>
    <n v="201"/>
    <d v="2026-04-10T00:00:00"/>
  </r>
  <r>
    <n v="271"/>
    <n v="132"/>
    <x v="3"/>
    <n v="285"/>
    <d v="2026-03-14T00:00:00"/>
  </r>
  <r>
    <n v="272"/>
    <n v="132"/>
    <x v="4"/>
    <n v="73"/>
    <d v="2026-03-30T00:00:00"/>
  </r>
  <r>
    <n v="273"/>
    <n v="133"/>
    <x v="1"/>
    <n v="23"/>
    <d v="2026-03-17T00:00:00"/>
  </r>
  <r>
    <n v="274"/>
    <n v="133"/>
    <x v="4"/>
    <n v="170"/>
    <d v="2026-03-29T00:00:00"/>
  </r>
  <r>
    <n v="275"/>
    <n v="134"/>
    <x v="3"/>
    <n v="167"/>
    <d v="2026-04-11T00:00:00"/>
  </r>
  <r>
    <n v="276"/>
    <n v="134"/>
    <x v="1"/>
    <n v="83"/>
    <d v="2026-03-23T00:00:00"/>
  </r>
  <r>
    <n v="277"/>
    <n v="135"/>
    <x v="5"/>
    <n v="424"/>
    <d v="2026-03-31T00:00:00"/>
  </r>
  <r>
    <n v="278"/>
    <n v="135"/>
    <x v="2"/>
    <n v="362"/>
    <d v="2026-04-01T00:00:00"/>
  </r>
  <r>
    <n v="279"/>
    <n v="135"/>
    <x v="1"/>
    <n v="0"/>
    <d v="2026-03-19T00:00:00"/>
  </r>
  <r>
    <n v="280"/>
    <n v="136"/>
    <x v="0"/>
    <n v="298"/>
    <d v="2026-03-05T00:00:00"/>
  </r>
  <r>
    <n v="281"/>
    <n v="137"/>
    <x v="4"/>
    <n v="495"/>
    <d v="2026-03-13T00:00:00"/>
  </r>
  <r>
    <n v="282"/>
    <n v="137"/>
    <x v="0"/>
    <n v="296"/>
    <d v="2026-03-16T00:00:00"/>
  </r>
  <r>
    <n v="283"/>
    <n v="137"/>
    <x v="3"/>
    <n v="26"/>
    <d v="2026-04-21T00:00:00"/>
  </r>
  <r>
    <n v="284"/>
    <n v="138"/>
    <x v="0"/>
    <n v="348"/>
    <d v="2026-03-26T00:00:00"/>
  </r>
  <r>
    <n v="285"/>
    <n v="138"/>
    <x v="3"/>
    <n v="485"/>
    <d v="2026-04-19T00:00:00"/>
  </r>
  <r>
    <n v="286"/>
    <n v="138"/>
    <x v="1"/>
    <n v="9"/>
    <d v="2026-04-05T00:00:00"/>
  </r>
  <r>
    <n v="287"/>
    <n v="139"/>
    <x v="0"/>
    <n v="353"/>
    <d v="2026-03-30T00:00:00"/>
  </r>
  <r>
    <n v="288"/>
    <n v="140"/>
    <x v="0"/>
    <n v="70"/>
    <d v="2026-03-27T00:00:00"/>
  </r>
  <r>
    <n v="289"/>
    <n v="140"/>
    <x v="4"/>
    <n v="166"/>
    <d v="2026-04-01T00:00:00"/>
  </r>
  <r>
    <n v="290"/>
    <n v="140"/>
    <x v="2"/>
    <n v="269"/>
    <d v="2026-04-20T00:00:00"/>
  </r>
  <r>
    <n v="291"/>
    <n v="141"/>
    <x v="1"/>
    <n v="279"/>
    <d v="2026-03-13T00:00:00"/>
  </r>
  <r>
    <n v="292"/>
    <n v="141"/>
    <x v="2"/>
    <n v="444"/>
    <d v="2026-03-21T00:00:00"/>
  </r>
  <r>
    <n v="293"/>
    <n v="142"/>
    <x v="5"/>
    <n v="490"/>
    <d v="2026-03-27T00:00:00"/>
  </r>
  <r>
    <n v="294"/>
    <n v="142"/>
    <x v="0"/>
    <n v="152"/>
    <d v="2026-04-12T00:00:00"/>
  </r>
  <r>
    <n v="295"/>
    <n v="142"/>
    <x v="4"/>
    <n v="394"/>
    <d v="2026-04-18T00:00:00"/>
  </r>
  <r>
    <n v="296"/>
    <n v="143"/>
    <x v="0"/>
    <n v="178"/>
    <d v="2026-03-03T00:00:00"/>
  </r>
  <r>
    <n v="297"/>
    <n v="143"/>
    <x v="2"/>
    <n v="407"/>
    <d v="2026-04-13T00:00:00"/>
  </r>
  <r>
    <n v="298"/>
    <n v="143"/>
    <x v="3"/>
    <n v="62"/>
    <d v="2026-03-28T00:00:00"/>
  </r>
  <r>
    <n v="299"/>
    <n v="144"/>
    <x v="0"/>
    <n v="488"/>
    <d v="2026-04-22T00:00:00"/>
  </r>
  <r>
    <n v="300"/>
    <n v="144"/>
    <x v="2"/>
    <n v="148"/>
    <d v="2026-03-17T00:00:00"/>
  </r>
  <r>
    <n v="301"/>
    <n v="145"/>
    <x v="2"/>
    <n v="473"/>
    <d v="2026-04-15T00:00:00"/>
  </r>
  <r>
    <n v="302"/>
    <n v="146"/>
    <x v="0"/>
    <n v="423"/>
    <d v="2026-03-03T00:00:00"/>
  </r>
  <r>
    <n v="303"/>
    <n v="146"/>
    <x v="3"/>
    <n v="287"/>
    <d v="2026-04-23T00:00:00"/>
  </r>
  <r>
    <n v="304"/>
    <n v="146"/>
    <x v="4"/>
    <n v="55"/>
    <d v="2026-03-25T00:00:00"/>
  </r>
  <r>
    <n v="305"/>
    <n v="147"/>
    <x v="3"/>
    <n v="25"/>
    <d v="2026-03-29T00:00:00"/>
  </r>
  <r>
    <n v="306"/>
    <n v="148"/>
    <x v="3"/>
    <n v="26"/>
    <d v="2026-04-10T00:00:00"/>
  </r>
  <r>
    <n v="307"/>
    <n v="149"/>
    <x v="0"/>
    <n v="394"/>
    <d v="2026-03-27T00:00:00"/>
  </r>
  <r>
    <n v="308"/>
    <n v="149"/>
    <x v="4"/>
    <n v="500"/>
    <d v="2026-04-05T00:00:00"/>
  </r>
  <r>
    <n v="309"/>
    <n v="149"/>
    <x v="2"/>
    <n v="334"/>
    <d v="2026-03-06T00:00:00"/>
  </r>
  <r>
    <n v="310"/>
    <n v="150"/>
    <x v="0"/>
    <n v="387"/>
    <d v="2026-04-11T00:00:00"/>
  </r>
  <r>
    <n v="311"/>
    <n v="150"/>
    <x v="3"/>
    <n v="146"/>
    <d v="2026-03-04T00:00:00"/>
  </r>
  <r>
    <n v="312"/>
    <n v="9999"/>
    <x v="4"/>
    <n v="50"/>
    <d v="2026-05-01T00: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8">
  <r>
    <n v="1"/>
    <n v="1001"/>
    <n v="45"/>
    <n v="7"/>
    <n v="184.44"/>
    <n v="0"/>
    <x v="0"/>
    <x v="0"/>
    <x v="0"/>
    <x v="0"/>
    <n v="25.61"/>
    <n v="0.02"/>
    <x v="0"/>
    <x v="0"/>
    <n v="48.09"/>
    <n v="1242.99"/>
    <x v="0"/>
  </r>
  <r>
    <n v="2"/>
    <n v="1002"/>
    <n v="73"/>
    <n v="8"/>
    <n v="134.83000000000001"/>
    <n v="14.85"/>
    <x v="1"/>
    <x v="1"/>
    <x v="1"/>
    <x v="1"/>
    <n v="95.73"/>
    <n v="0.09"/>
    <x v="0"/>
    <x v="0"/>
    <n v="27.28"/>
    <n v="1036.5100000000002"/>
    <x v="1"/>
  </r>
  <r>
    <n v="3"/>
    <n v="1002"/>
    <n v="35"/>
    <n v="8"/>
    <n v="46.14"/>
    <n v="0"/>
    <x v="2"/>
    <x v="1"/>
    <x v="2"/>
    <x v="1"/>
    <n v="95.73"/>
    <n v="0.26"/>
    <x v="0"/>
    <x v="1"/>
    <n v="145.1"/>
    <n v="224.02"/>
    <x v="2"/>
  </r>
  <r>
    <n v="4"/>
    <n v="1002"/>
    <n v="85"/>
    <n v="3"/>
    <n v="163.57"/>
    <n v="0"/>
    <x v="3"/>
    <x v="1"/>
    <x v="3"/>
    <x v="1"/>
    <n v="95.73"/>
    <n v="0.2"/>
    <x v="0"/>
    <x v="0"/>
    <n v="139.02000000000001"/>
    <n v="351.68999999999994"/>
    <x v="3"/>
  </r>
  <r>
    <n v="5"/>
    <n v="1003"/>
    <n v="103"/>
    <n v="2"/>
    <n v="241.92"/>
    <n v="0"/>
    <x v="4"/>
    <x v="2"/>
    <x v="4"/>
    <x v="2"/>
    <n v="4.79"/>
    <n v="0.01"/>
    <x v="0"/>
    <x v="0"/>
    <n v="145.97"/>
    <n v="337.87"/>
    <x v="1"/>
  </r>
  <r>
    <n v="6"/>
    <n v="1004"/>
    <n v="67"/>
    <n v="6"/>
    <n v="291.56"/>
    <n v="0"/>
    <x v="5"/>
    <x v="1"/>
    <x v="5"/>
    <x v="1"/>
    <n v="39.590000000000003"/>
    <n v="0.02"/>
    <x v="1"/>
    <x v="2"/>
    <n v="25.18"/>
    <n v="1724.18"/>
    <x v="4"/>
  </r>
  <r>
    <n v="7"/>
    <n v="1005"/>
    <n v="35"/>
    <n v="8"/>
    <n v="46.14"/>
    <n v="0"/>
    <x v="2"/>
    <x v="1"/>
    <x v="2"/>
    <x v="1"/>
    <n v="0"/>
    <n v="0"/>
    <x v="0"/>
    <x v="1"/>
    <n v="145.1"/>
    <n v="224.02"/>
    <x v="2"/>
  </r>
  <r>
    <n v="8"/>
    <n v="1005"/>
    <n v="107"/>
    <n v="8"/>
    <n v="223.34"/>
    <n v="0"/>
    <x v="6"/>
    <x v="1"/>
    <x v="6"/>
    <x v="1"/>
    <n v="0"/>
    <n v="0"/>
    <x v="0"/>
    <x v="3"/>
    <n v="81.23"/>
    <n v="1705.49"/>
    <x v="5"/>
  </r>
  <r>
    <n v="9"/>
    <n v="1006"/>
    <n v="20"/>
    <n v="2"/>
    <n v="168.04"/>
    <n v="0"/>
    <x v="7"/>
    <x v="0"/>
    <x v="7"/>
    <x v="0"/>
    <n v="97.81"/>
    <n v="0.28999999999999998"/>
    <x v="2"/>
    <x v="3"/>
    <n v="124.3"/>
    <n v="211.77999999999997"/>
    <x v="6"/>
  </r>
  <r>
    <n v="10"/>
    <n v="1006"/>
    <n v="147"/>
    <n v="3"/>
    <n v="133.41"/>
    <n v="3.3"/>
    <x v="8"/>
    <x v="0"/>
    <x v="8"/>
    <x v="0"/>
    <n v="97.81"/>
    <n v="0.25"/>
    <x v="2"/>
    <x v="0"/>
    <n v="128.44999999999999"/>
    <n v="268.48"/>
    <x v="1"/>
  </r>
  <r>
    <n v="11"/>
    <n v="1006"/>
    <n v="30"/>
    <n v="4"/>
    <n v="35.229999999999997"/>
    <n v="11.04"/>
    <x v="9"/>
    <x v="0"/>
    <x v="9"/>
    <x v="0"/>
    <n v="97.81"/>
    <n v="0.75"/>
    <x v="2"/>
    <x v="0"/>
    <n v="43.54"/>
    <n v="86.34"/>
    <x v="3"/>
  </r>
  <r>
    <n v="12"/>
    <n v="1007"/>
    <n v="6"/>
    <n v="7"/>
    <n v="256.54000000000002"/>
    <n v="0"/>
    <x v="10"/>
    <x v="0"/>
    <x v="10"/>
    <x v="3"/>
    <n v="51.43"/>
    <n v="0.03"/>
    <x v="2"/>
    <x v="3"/>
    <n v="21.93"/>
    <n v="1773.8500000000001"/>
    <x v="0"/>
  </r>
  <r>
    <n v="13"/>
    <n v="1007"/>
    <n v="56"/>
    <n v="2"/>
    <n v="172.23"/>
    <n v="0"/>
    <x v="11"/>
    <x v="0"/>
    <x v="11"/>
    <x v="3"/>
    <n v="51.43"/>
    <n v="0.15"/>
    <x v="2"/>
    <x v="3"/>
    <n v="134.72"/>
    <n v="209.73999999999998"/>
    <x v="1"/>
  </r>
  <r>
    <n v="14"/>
    <n v="1007"/>
    <n v="17"/>
    <n v="1"/>
    <n v="299.3"/>
    <n v="0"/>
    <x v="12"/>
    <x v="0"/>
    <x v="12"/>
    <x v="3"/>
    <n v="51.43"/>
    <n v="0.17"/>
    <x v="2"/>
    <x v="2"/>
    <n v="43.38"/>
    <n v="255.92000000000002"/>
    <x v="2"/>
  </r>
  <r>
    <n v="15"/>
    <n v="1008"/>
    <n v="139"/>
    <n v="3"/>
    <n v="156.21"/>
    <n v="0"/>
    <x v="13"/>
    <x v="2"/>
    <x v="13"/>
    <x v="4"/>
    <n v="49.59"/>
    <n v="0.11"/>
    <x v="2"/>
    <x v="3"/>
    <n v="77.040000000000006"/>
    <n v="391.59"/>
    <x v="7"/>
  </r>
  <r>
    <n v="16"/>
    <n v="1009"/>
    <n v="137"/>
    <n v="7"/>
    <n v="181.82"/>
    <n v="0"/>
    <x v="14"/>
    <x v="1"/>
    <x v="14"/>
    <x v="1"/>
    <n v="32.39"/>
    <n v="0.03"/>
    <x v="1"/>
    <x v="1"/>
    <n v="36.76"/>
    <n v="1235.98"/>
    <x v="5"/>
  </r>
  <r>
    <n v="17"/>
    <n v="1009"/>
    <n v="118"/>
    <n v="6"/>
    <n v="55.68"/>
    <n v="0"/>
    <x v="15"/>
    <x v="1"/>
    <x v="15"/>
    <x v="1"/>
    <n v="32.39"/>
    <n v="0.1"/>
    <x v="1"/>
    <x v="1"/>
    <n v="44.81"/>
    <n v="289.27"/>
    <x v="3"/>
  </r>
  <r>
    <n v="18"/>
    <n v="1009"/>
    <n v="9"/>
    <n v="7"/>
    <n v="235.32"/>
    <n v="0"/>
    <x v="16"/>
    <x v="1"/>
    <x v="16"/>
    <x v="1"/>
    <n v="32.39"/>
    <n v="0.02"/>
    <x v="1"/>
    <x v="1"/>
    <n v="120.72"/>
    <n v="1526.52"/>
    <x v="0"/>
  </r>
  <r>
    <n v="19"/>
    <n v="1009"/>
    <n v="62"/>
    <n v="4"/>
    <n v="109.67"/>
    <n v="0"/>
    <x v="17"/>
    <x v="1"/>
    <x v="17"/>
    <x v="1"/>
    <n v="32.39"/>
    <n v="7.0000000000000007E-2"/>
    <x v="1"/>
    <x v="3"/>
    <n v="133.9"/>
    <n v="304.77999999999997"/>
    <x v="6"/>
  </r>
  <r>
    <n v="20"/>
    <n v="1010"/>
    <n v="60"/>
    <n v="6"/>
    <n v="115.8"/>
    <n v="0"/>
    <x v="18"/>
    <x v="3"/>
    <x v="18"/>
    <x v="5"/>
    <n v="68.48"/>
    <n v="0.1"/>
    <x v="1"/>
    <x v="0"/>
    <n v="121.71"/>
    <n v="573.08999999999992"/>
    <x v="3"/>
  </r>
  <r>
    <n v="21"/>
    <n v="1010"/>
    <n v="61"/>
    <n v="5"/>
    <n v="293.22000000000003"/>
    <n v="0"/>
    <x v="19"/>
    <x v="3"/>
    <x v="19"/>
    <x v="5"/>
    <n v="68.48"/>
    <n v="0.05"/>
    <x v="1"/>
    <x v="3"/>
    <n v="156.31"/>
    <n v="1309.7900000000002"/>
    <x v="7"/>
  </r>
  <r>
    <n v="22"/>
    <n v="1010"/>
    <n v="106"/>
    <n v="5"/>
    <n v="65.2"/>
    <n v="0"/>
    <x v="20"/>
    <x v="3"/>
    <x v="20"/>
    <x v="5"/>
    <n v="68.48"/>
    <n v="0.21"/>
    <x v="1"/>
    <x v="4"/>
    <n v="0"/>
    <n v="326"/>
    <x v="7"/>
  </r>
  <r>
    <n v="23"/>
    <n v="1011"/>
    <n v="77"/>
    <n v="7"/>
    <n v="195.39"/>
    <n v="3.57"/>
    <x v="21"/>
    <x v="1"/>
    <x v="21"/>
    <x v="6"/>
    <n v="51.87"/>
    <n v="0.04"/>
    <x v="2"/>
    <x v="0"/>
    <n v="95.2"/>
    <n v="1268.96"/>
    <x v="0"/>
  </r>
  <r>
    <n v="24"/>
    <n v="1011"/>
    <n v="62"/>
    <n v="4"/>
    <n v="109.67"/>
    <n v="0"/>
    <x v="17"/>
    <x v="1"/>
    <x v="17"/>
    <x v="6"/>
    <n v="51.87"/>
    <n v="0.12"/>
    <x v="2"/>
    <x v="3"/>
    <n v="133.9"/>
    <n v="304.77999999999997"/>
    <x v="6"/>
  </r>
  <r>
    <n v="25"/>
    <n v="1012"/>
    <n v="116"/>
    <n v="6"/>
    <n v="211.7"/>
    <n v="0"/>
    <x v="22"/>
    <x v="1"/>
    <x v="22"/>
    <x v="7"/>
    <n v="73.94"/>
    <n v="0.06"/>
    <x v="1"/>
    <x v="4"/>
    <n v="171.4"/>
    <n v="1098.7999999999997"/>
    <x v="0"/>
  </r>
  <r>
    <n v="26"/>
    <n v="1013"/>
    <n v="49"/>
    <n v="2"/>
    <n v="280.98"/>
    <n v="11.46"/>
    <x v="23"/>
    <x v="3"/>
    <x v="23"/>
    <x v="5"/>
    <n v="0"/>
    <n v="0"/>
    <x v="3"/>
    <x v="1"/>
    <n v="51.41"/>
    <n v="499.09000000000003"/>
    <x v="3"/>
  </r>
  <r>
    <n v="27"/>
    <n v="1013"/>
    <n v="63"/>
    <n v="4"/>
    <n v="214.86"/>
    <n v="0"/>
    <x v="24"/>
    <x v="3"/>
    <x v="24"/>
    <x v="5"/>
    <n v="0"/>
    <n v="0"/>
    <x v="3"/>
    <x v="1"/>
    <n v="32.86"/>
    <n v="826.58"/>
    <x v="3"/>
  </r>
  <r>
    <n v="28"/>
    <n v="1014"/>
    <n v="79"/>
    <n v="5"/>
    <n v="234.02"/>
    <n v="6.04"/>
    <x v="25"/>
    <x v="1"/>
    <x v="25"/>
    <x v="8"/>
    <n v="604.32000000000005"/>
    <n v="0.52"/>
    <x v="2"/>
    <x v="5"/>
    <n v="111.97"/>
    <n v="1052.0900000000001"/>
    <x v="3"/>
  </r>
  <r>
    <n v="29"/>
    <n v="1014"/>
    <n v="120"/>
    <n v="2"/>
    <n v="229.55"/>
    <n v="12.24"/>
    <x v="26"/>
    <x v="1"/>
    <x v="26"/>
    <x v="8"/>
    <n v="604.32000000000005"/>
    <n v="1.35"/>
    <x v="2"/>
    <x v="0"/>
    <n v="116.63"/>
    <n v="330.23"/>
    <x v="1"/>
  </r>
  <r>
    <n v="30"/>
    <n v="1014"/>
    <n v="82"/>
    <n v="4"/>
    <n v="243.4"/>
    <n v="6.19"/>
    <x v="27"/>
    <x v="1"/>
    <x v="27"/>
    <x v="8"/>
    <n v="604.32000000000005"/>
    <n v="0.62"/>
    <x v="2"/>
    <x v="5"/>
    <n v="84.88"/>
    <n v="882.53"/>
    <x v="3"/>
  </r>
  <r>
    <n v="31"/>
    <n v="1015"/>
    <n v="146"/>
    <n v="4"/>
    <n v="199.6"/>
    <n v="0"/>
    <x v="28"/>
    <x v="3"/>
    <x v="28"/>
    <x v="9"/>
    <n v="113.64"/>
    <n v="0.14000000000000001"/>
    <x v="3"/>
    <x v="3"/>
    <n v="170.74"/>
    <n v="627.66"/>
    <x v="0"/>
  </r>
  <r>
    <n v="32"/>
    <n v="1015"/>
    <n v="66"/>
    <n v="8"/>
    <n v="94.55"/>
    <n v="14.53"/>
    <x v="29"/>
    <x v="3"/>
    <x v="29"/>
    <x v="9"/>
    <n v="113.64"/>
    <n v="0.15"/>
    <x v="3"/>
    <x v="1"/>
    <n v="174.21"/>
    <n v="567.66"/>
    <x v="1"/>
  </r>
  <r>
    <n v="33"/>
    <n v="1015"/>
    <n v="118"/>
    <n v="3"/>
    <n v="188.54"/>
    <n v="0"/>
    <x v="30"/>
    <x v="3"/>
    <x v="15"/>
    <x v="9"/>
    <n v="113.64"/>
    <n v="0.2"/>
    <x v="3"/>
    <x v="1"/>
    <n v="44.81"/>
    <n v="520.80999999999995"/>
    <x v="3"/>
  </r>
  <r>
    <n v="34"/>
    <n v="1015"/>
    <n v="140"/>
    <n v="8"/>
    <n v="86.93"/>
    <n v="0"/>
    <x v="31"/>
    <x v="3"/>
    <x v="30"/>
    <x v="9"/>
    <n v="113.64"/>
    <n v="0.16"/>
    <x v="3"/>
    <x v="3"/>
    <n v="20.41"/>
    <n v="675.03000000000009"/>
    <x v="6"/>
  </r>
  <r>
    <n v="35"/>
    <n v="1016"/>
    <n v="56"/>
    <n v="8"/>
    <n v="172.23"/>
    <n v="6.22"/>
    <x v="32"/>
    <x v="1"/>
    <x v="11"/>
    <x v="7"/>
    <n v="4.7699999999999996"/>
    <n v="0"/>
    <x v="1"/>
    <x v="3"/>
    <n v="134.72"/>
    <n v="1236.8999999999999"/>
    <x v="1"/>
  </r>
  <r>
    <n v="36"/>
    <n v="1017"/>
    <n v="46"/>
    <n v="2"/>
    <n v="219.11"/>
    <n v="0"/>
    <x v="33"/>
    <x v="1"/>
    <x v="31"/>
    <x v="8"/>
    <n v="79.83"/>
    <n v="0.18"/>
    <x v="3"/>
    <x v="5"/>
    <n v="40.75"/>
    <n v="397.47"/>
    <x v="4"/>
  </r>
  <r>
    <n v="37"/>
    <n v="1017"/>
    <n v="62"/>
    <n v="4"/>
    <n v="109.67"/>
    <n v="0"/>
    <x v="17"/>
    <x v="1"/>
    <x v="17"/>
    <x v="8"/>
    <n v="79.83"/>
    <n v="0.18"/>
    <x v="3"/>
    <x v="3"/>
    <n v="133.9"/>
    <n v="304.77999999999997"/>
    <x v="6"/>
  </r>
  <r>
    <n v="38"/>
    <n v="1017"/>
    <n v="91"/>
    <n v="5"/>
    <n v="170.65"/>
    <n v="0"/>
    <x v="34"/>
    <x v="1"/>
    <x v="32"/>
    <x v="8"/>
    <n v="79.83"/>
    <n v="0.09"/>
    <x v="3"/>
    <x v="1"/>
    <n v="135.82"/>
    <n v="717.43000000000006"/>
    <x v="2"/>
  </r>
  <r>
    <n v="39"/>
    <n v="1017"/>
    <n v="96"/>
    <n v="7"/>
    <n v="252.1"/>
    <n v="0"/>
    <x v="35"/>
    <x v="1"/>
    <x v="33"/>
    <x v="8"/>
    <n v="79.83"/>
    <n v="0.05"/>
    <x v="3"/>
    <x v="5"/>
    <n v="136.6"/>
    <n v="1628.1000000000001"/>
    <x v="2"/>
  </r>
  <r>
    <n v="40"/>
    <n v="1018"/>
    <n v="3"/>
    <n v="3"/>
    <n v="22.56"/>
    <n v="2.16"/>
    <x v="36"/>
    <x v="2"/>
    <x v="34"/>
    <x v="4"/>
    <n v="117.37"/>
    <n v="1.79"/>
    <x v="0"/>
    <x v="3"/>
    <n v="93.44"/>
    <n v="-27.92"/>
    <x v="3"/>
  </r>
  <r>
    <n v="41"/>
    <n v="1019"/>
    <n v="12"/>
    <n v="2"/>
    <n v="61.57"/>
    <n v="0"/>
    <x v="37"/>
    <x v="3"/>
    <x v="35"/>
    <x v="5"/>
    <n v="69.42"/>
    <n v="0.56000000000000005"/>
    <x v="0"/>
    <x v="5"/>
    <n v="132.6"/>
    <n v="-9.4599999999999937"/>
    <x v="7"/>
  </r>
  <r>
    <n v="42"/>
    <n v="1019"/>
    <n v="140"/>
    <n v="1"/>
    <n v="86.93"/>
    <n v="0"/>
    <x v="38"/>
    <x v="3"/>
    <x v="30"/>
    <x v="5"/>
    <n v="69.42"/>
    <n v="0.8"/>
    <x v="0"/>
    <x v="3"/>
    <n v="20.41"/>
    <n v="66.52000000000001"/>
    <x v="6"/>
  </r>
  <r>
    <n v="43"/>
    <n v="1019"/>
    <n v="5"/>
    <n v="4"/>
    <n v="59.31"/>
    <n v="9.2200000000000006"/>
    <x v="39"/>
    <x v="3"/>
    <x v="36"/>
    <x v="5"/>
    <n v="69.42"/>
    <n v="0.3"/>
    <x v="0"/>
    <x v="3"/>
    <n v="64.540000000000006"/>
    <n v="163.48000000000002"/>
    <x v="7"/>
  </r>
  <r>
    <n v="44"/>
    <n v="1020"/>
    <n v="14"/>
    <n v="2"/>
    <n v="33.86"/>
    <n v="0"/>
    <x v="40"/>
    <x v="3"/>
    <x v="37"/>
    <x v="10"/>
    <n v="68.150000000000006"/>
    <n v="1.01"/>
    <x v="1"/>
    <x v="4"/>
    <n v="75.2"/>
    <n v="-7.480000000000004"/>
    <x v="6"/>
  </r>
  <r>
    <n v="45"/>
    <n v="1020"/>
    <n v="88"/>
    <n v="7"/>
    <n v="109.3"/>
    <n v="0"/>
    <x v="41"/>
    <x v="3"/>
    <x v="38"/>
    <x v="10"/>
    <n v="68.150000000000006"/>
    <n v="0.09"/>
    <x v="1"/>
    <x v="1"/>
    <n v="77.599999999999994"/>
    <n v="687.5"/>
    <x v="3"/>
  </r>
  <r>
    <n v="46"/>
    <n v="1020"/>
    <n v="8"/>
    <n v="5"/>
    <n v="118.07"/>
    <n v="11.97"/>
    <x v="42"/>
    <x v="3"/>
    <x v="39"/>
    <x v="10"/>
    <n v="68.150000000000006"/>
    <n v="0.12"/>
    <x v="1"/>
    <x v="1"/>
    <n v="159.94999999999999"/>
    <n v="418.42999999999989"/>
    <x v="1"/>
  </r>
  <r>
    <n v="47"/>
    <n v="1021"/>
    <n v="69"/>
    <n v="3"/>
    <n v="69.17"/>
    <n v="0"/>
    <x v="43"/>
    <x v="1"/>
    <x v="40"/>
    <x v="1"/>
    <n v="469.55"/>
    <n v="2.2599999999999998"/>
    <x v="1"/>
    <x v="3"/>
    <n v="162.41"/>
    <n v="45.099999999999994"/>
    <x v="0"/>
  </r>
  <r>
    <n v="48"/>
    <n v="1022"/>
    <n v="143"/>
    <n v="7"/>
    <n v="171.53"/>
    <n v="0"/>
    <x v="44"/>
    <x v="3"/>
    <x v="41"/>
    <x v="10"/>
    <n v="20.11"/>
    <n v="0.02"/>
    <x v="1"/>
    <x v="3"/>
    <n v="40.619999999999997"/>
    <n v="1160.0900000000001"/>
    <x v="5"/>
  </r>
  <r>
    <n v="49"/>
    <n v="1022"/>
    <n v="91"/>
    <n v="2"/>
    <n v="170.65"/>
    <n v="0"/>
    <x v="45"/>
    <x v="3"/>
    <x v="32"/>
    <x v="10"/>
    <n v="20.11"/>
    <n v="0.06"/>
    <x v="1"/>
    <x v="1"/>
    <n v="135.82"/>
    <n v="205.48000000000002"/>
    <x v="2"/>
  </r>
  <r>
    <n v="50"/>
    <n v="1022"/>
    <n v="99"/>
    <n v="1"/>
    <n v="50.97"/>
    <n v="5.09"/>
    <x v="46"/>
    <x v="3"/>
    <x v="42"/>
    <x v="10"/>
    <n v="20.11"/>
    <n v="0.44"/>
    <x v="1"/>
    <x v="4"/>
    <n v="31.67"/>
    <n v="14.209999999999994"/>
    <x v="6"/>
  </r>
  <r>
    <n v="51"/>
    <n v="1022"/>
    <n v="22"/>
    <n v="4"/>
    <n v="159.69"/>
    <n v="0"/>
    <x v="47"/>
    <x v="3"/>
    <x v="43"/>
    <x v="10"/>
    <n v="20.11"/>
    <n v="0.03"/>
    <x v="1"/>
    <x v="4"/>
    <n v="138.34"/>
    <n v="500.41999999999996"/>
    <x v="1"/>
  </r>
  <r>
    <n v="52"/>
    <n v="1023"/>
    <n v="124"/>
    <n v="2"/>
    <n v="48.76"/>
    <n v="0"/>
    <x v="48"/>
    <x v="3"/>
    <x v="44"/>
    <x v="9"/>
    <n v="55.07"/>
    <n v="0.56000000000000005"/>
    <x v="3"/>
    <x v="4"/>
    <n v="178.94"/>
    <n v="-81.42"/>
    <x v="1"/>
  </r>
  <r>
    <n v="53"/>
    <n v="1023"/>
    <n v="127"/>
    <n v="4"/>
    <n v="38.14"/>
    <n v="0"/>
    <x v="49"/>
    <x v="3"/>
    <x v="45"/>
    <x v="9"/>
    <n v="55.07"/>
    <n v="0.36"/>
    <x v="3"/>
    <x v="3"/>
    <n v="51.31"/>
    <n v="101.25"/>
    <x v="3"/>
  </r>
  <r>
    <n v="54"/>
    <n v="1023"/>
    <n v="78"/>
    <n v="1"/>
    <n v="71.75"/>
    <n v="0"/>
    <x v="50"/>
    <x v="3"/>
    <x v="46"/>
    <x v="9"/>
    <n v="55.07"/>
    <n v="0.77"/>
    <x v="3"/>
    <x v="0"/>
    <n v="44.31"/>
    <n v="27.439999999999998"/>
    <x v="3"/>
  </r>
  <r>
    <n v="55"/>
    <n v="1024"/>
    <n v="81"/>
    <n v="3"/>
    <n v="244.17"/>
    <n v="0"/>
    <x v="51"/>
    <x v="1"/>
    <x v="47"/>
    <x v="6"/>
    <n v="83.08"/>
    <n v="0.11"/>
    <x v="1"/>
    <x v="4"/>
    <n v="43.3"/>
    <n v="689.21"/>
    <x v="0"/>
  </r>
  <r>
    <n v="56"/>
    <n v="1024"/>
    <n v="75"/>
    <n v="8"/>
    <n v="180.3"/>
    <n v="0"/>
    <x v="52"/>
    <x v="1"/>
    <x v="48"/>
    <x v="6"/>
    <n v="83.08"/>
    <n v="0.06"/>
    <x v="1"/>
    <x v="1"/>
    <n v="80.23"/>
    <n v="1362.17"/>
    <x v="1"/>
  </r>
  <r>
    <n v="57"/>
    <n v="1024"/>
    <n v="84"/>
    <n v="7"/>
    <n v="150.28"/>
    <n v="4.92"/>
    <x v="53"/>
    <x v="1"/>
    <x v="49"/>
    <x v="6"/>
    <n v="83.08"/>
    <n v="0.08"/>
    <x v="1"/>
    <x v="0"/>
    <n v="135.13999999999999"/>
    <n v="911.9"/>
    <x v="5"/>
  </r>
  <r>
    <n v="58"/>
    <n v="1024"/>
    <n v="94"/>
    <n v="2"/>
    <n v="53.67"/>
    <n v="0"/>
    <x v="54"/>
    <x v="1"/>
    <x v="50"/>
    <x v="6"/>
    <n v="83.08"/>
    <n v="0.77"/>
    <x v="1"/>
    <x v="0"/>
    <n v="117.48"/>
    <n v="-10.14"/>
    <x v="6"/>
  </r>
  <r>
    <n v="59"/>
    <n v="1025"/>
    <n v="128"/>
    <n v="3"/>
    <n v="143.38999999999999"/>
    <n v="0"/>
    <x v="55"/>
    <x v="2"/>
    <x v="51"/>
    <x v="11"/>
    <n v="0"/>
    <n v="0"/>
    <x v="1"/>
    <x v="2"/>
    <n v="5.47"/>
    <n v="424.69999999999993"/>
    <x v="0"/>
  </r>
  <r>
    <n v="60"/>
    <n v="1025"/>
    <n v="65"/>
    <n v="3"/>
    <n v="203.11"/>
    <n v="11.01"/>
    <x v="56"/>
    <x v="2"/>
    <x v="52"/>
    <x v="11"/>
    <n v="0"/>
    <n v="0"/>
    <x v="1"/>
    <x v="1"/>
    <n v="44.01"/>
    <n v="554.31000000000006"/>
    <x v="1"/>
  </r>
  <r>
    <n v="61"/>
    <n v="1025"/>
    <n v="19"/>
    <n v="8"/>
    <n v="298.89"/>
    <n v="14.87"/>
    <x v="57"/>
    <x v="2"/>
    <x v="53"/>
    <x v="11"/>
    <n v="0"/>
    <n v="0"/>
    <x v="1"/>
    <x v="3"/>
    <n v="71.78"/>
    <n v="2304.4699999999998"/>
    <x v="0"/>
  </r>
  <r>
    <n v="62"/>
    <n v="1025"/>
    <n v="150"/>
    <n v="7"/>
    <n v="100.09"/>
    <n v="8.48"/>
    <x v="58"/>
    <x v="2"/>
    <x v="54"/>
    <x v="11"/>
    <n v="0"/>
    <n v="0"/>
    <x v="1"/>
    <x v="3"/>
    <n v="54.5"/>
    <n v="637.65"/>
    <x v="1"/>
  </r>
  <r>
    <n v="63"/>
    <n v="1026"/>
    <n v="28"/>
    <n v="4"/>
    <n v="206.43"/>
    <n v="0"/>
    <x v="59"/>
    <x v="2"/>
    <x v="55"/>
    <x v="12"/>
    <n v="9.14"/>
    <n v="0.01"/>
    <x v="0"/>
    <x v="2"/>
    <n v="74.819999999999993"/>
    <n v="750.90000000000009"/>
    <x v="3"/>
  </r>
  <r>
    <n v="64"/>
    <n v="1027"/>
    <n v="57"/>
    <n v="4"/>
    <n v="266.69"/>
    <n v="7.24"/>
    <x v="60"/>
    <x v="2"/>
    <x v="56"/>
    <x v="11"/>
    <n v="44.41"/>
    <n v="0.04"/>
    <x v="0"/>
    <x v="3"/>
    <n v="18.170000000000002"/>
    <n v="1041.3499999999999"/>
    <x v="6"/>
  </r>
  <r>
    <n v="65"/>
    <n v="1027"/>
    <n v="119"/>
    <n v="3"/>
    <n v="27.97"/>
    <n v="0"/>
    <x v="61"/>
    <x v="2"/>
    <x v="57"/>
    <x v="11"/>
    <n v="44.41"/>
    <n v="0.53"/>
    <x v="0"/>
    <x v="4"/>
    <n v="27.15"/>
    <n v="56.76"/>
    <x v="6"/>
  </r>
  <r>
    <n v="66"/>
    <n v="1027"/>
    <n v="124"/>
    <n v="2"/>
    <n v="48.76"/>
    <n v="0"/>
    <x v="48"/>
    <x v="2"/>
    <x v="44"/>
    <x v="11"/>
    <n v="44.41"/>
    <n v="0.46"/>
    <x v="0"/>
    <x v="4"/>
    <n v="178.94"/>
    <n v="-81.42"/>
    <x v="1"/>
  </r>
  <r>
    <n v="67"/>
    <n v="1028"/>
    <n v="82"/>
    <n v="2"/>
    <n v="243.4"/>
    <n v="0"/>
    <x v="62"/>
    <x v="4"/>
    <x v="27"/>
    <x v="13"/>
    <n v="25.62"/>
    <n v="0.05"/>
    <x v="2"/>
    <x v="5"/>
    <n v="84.88"/>
    <n v="401.92"/>
    <x v="3"/>
  </r>
  <r>
    <n v="68"/>
    <n v="1028"/>
    <n v="6"/>
    <n v="6"/>
    <n v="256.54000000000002"/>
    <n v="0"/>
    <x v="63"/>
    <x v="4"/>
    <x v="10"/>
    <x v="13"/>
    <n v="25.62"/>
    <n v="0.02"/>
    <x v="2"/>
    <x v="3"/>
    <n v="21.93"/>
    <n v="1517.3100000000002"/>
    <x v="0"/>
  </r>
  <r>
    <n v="69"/>
    <n v="1028"/>
    <n v="63"/>
    <n v="3"/>
    <n v="214.86"/>
    <n v="0"/>
    <x v="64"/>
    <x v="4"/>
    <x v="24"/>
    <x v="13"/>
    <n v="25.62"/>
    <n v="0.04"/>
    <x v="2"/>
    <x v="1"/>
    <n v="32.86"/>
    <n v="611.72"/>
    <x v="3"/>
  </r>
  <r>
    <n v="70"/>
    <n v="1028"/>
    <n v="144"/>
    <n v="7"/>
    <n v="194.56"/>
    <n v="0"/>
    <x v="65"/>
    <x v="4"/>
    <x v="58"/>
    <x v="13"/>
    <n v="25.62"/>
    <n v="0.02"/>
    <x v="2"/>
    <x v="3"/>
    <n v="10.050000000000001"/>
    <n v="1351.8700000000001"/>
    <x v="5"/>
  </r>
  <r>
    <n v="71"/>
    <n v="1029"/>
    <n v="2"/>
    <n v="4"/>
    <n v="135.25"/>
    <n v="0"/>
    <x v="66"/>
    <x v="3"/>
    <x v="59"/>
    <x v="14"/>
    <n v="49.54"/>
    <n v="0.09"/>
    <x v="0"/>
    <x v="3"/>
    <n v="20.21"/>
    <n v="520.79"/>
    <x v="0"/>
  </r>
  <r>
    <n v="72"/>
    <n v="1029"/>
    <n v="148"/>
    <n v="2"/>
    <n v="124.32"/>
    <n v="0"/>
    <x v="67"/>
    <x v="3"/>
    <x v="60"/>
    <x v="14"/>
    <n v="49.54"/>
    <n v="0.2"/>
    <x v="0"/>
    <x v="0"/>
    <n v="101.47"/>
    <n v="147.16999999999999"/>
    <x v="3"/>
  </r>
  <r>
    <n v="73"/>
    <n v="1029"/>
    <n v="94"/>
    <n v="6"/>
    <n v="53.67"/>
    <n v="0"/>
    <x v="68"/>
    <x v="3"/>
    <x v="50"/>
    <x v="14"/>
    <n v="49.54"/>
    <n v="0.15"/>
    <x v="0"/>
    <x v="0"/>
    <n v="117.48"/>
    <n v="204.53999999999996"/>
    <x v="6"/>
  </r>
  <r>
    <n v="74"/>
    <n v="1029"/>
    <n v="68"/>
    <n v="8"/>
    <n v="138.85"/>
    <n v="0"/>
    <x v="69"/>
    <x v="3"/>
    <x v="61"/>
    <x v="14"/>
    <n v="49.54"/>
    <n v="0.04"/>
    <x v="0"/>
    <x v="2"/>
    <n v="23.97"/>
    <n v="1086.83"/>
    <x v="1"/>
  </r>
  <r>
    <n v="75"/>
    <n v="1030"/>
    <n v="35"/>
    <n v="6"/>
    <n v="46.14"/>
    <n v="0"/>
    <x v="70"/>
    <x v="3"/>
    <x v="2"/>
    <x v="9"/>
    <n v="84.44"/>
    <n v="0.31"/>
    <x v="1"/>
    <x v="1"/>
    <n v="145.1"/>
    <n v="131.74000000000004"/>
    <x v="2"/>
  </r>
  <r>
    <n v="76"/>
    <n v="1031"/>
    <n v="143"/>
    <n v="3"/>
    <n v="171.53"/>
    <n v="0"/>
    <x v="71"/>
    <x v="2"/>
    <x v="41"/>
    <x v="4"/>
    <n v="19.84"/>
    <n v="0.04"/>
    <x v="1"/>
    <x v="3"/>
    <n v="40.619999999999997"/>
    <n v="473.97"/>
    <x v="5"/>
  </r>
  <r>
    <n v="77"/>
    <n v="1031"/>
    <n v="48"/>
    <n v="6"/>
    <n v="299.56"/>
    <n v="0"/>
    <x v="72"/>
    <x v="2"/>
    <x v="62"/>
    <x v="4"/>
    <n v="19.84"/>
    <n v="0.01"/>
    <x v="1"/>
    <x v="1"/>
    <n v="85.2"/>
    <n v="1712.16"/>
    <x v="0"/>
  </r>
  <r>
    <n v="78"/>
    <n v="1032"/>
    <n v="43"/>
    <n v="2"/>
    <n v="277.02999999999997"/>
    <n v="0"/>
    <x v="73"/>
    <x v="4"/>
    <x v="63"/>
    <x v="15"/>
    <n v="99.42"/>
    <n v="0.18"/>
    <x v="1"/>
    <x v="0"/>
    <n v="88.44"/>
    <n v="465.61999999999995"/>
    <x v="6"/>
  </r>
  <r>
    <n v="79"/>
    <n v="1032"/>
    <n v="75"/>
    <n v="1"/>
    <n v="180.3"/>
    <n v="0"/>
    <x v="74"/>
    <x v="4"/>
    <x v="48"/>
    <x v="15"/>
    <n v="99.42"/>
    <n v="0.55000000000000004"/>
    <x v="1"/>
    <x v="1"/>
    <n v="80.23"/>
    <n v="100.07000000000001"/>
    <x v="1"/>
  </r>
  <r>
    <n v="80"/>
    <n v="1032"/>
    <n v="44"/>
    <n v="8"/>
    <n v="34.369999999999997"/>
    <n v="8.92"/>
    <x v="75"/>
    <x v="4"/>
    <x v="64"/>
    <x v="15"/>
    <n v="99.42"/>
    <n v="0.37"/>
    <x v="1"/>
    <x v="2"/>
    <n v="16.989999999999998"/>
    <n v="249.04999999999995"/>
    <x v="0"/>
  </r>
  <r>
    <n v="81"/>
    <n v="1032"/>
    <n v="141"/>
    <n v="2"/>
    <n v="15.33"/>
    <n v="0"/>
    <x v="76"/>
    <x v="4"/>
    <x v="65"/>
    <x v="15"/>
    <n v="99.42"/>
    <n v="3.24"/>
    <x v="1"/>
    <x v="5"/>
    <n v="149.36000000000001"/>
    <n v="-118.70000000000002"/>
    <x v="2"/>
  </r>
  <r>
    <n v="82"/>
    <n v="1033"/>
    <n v="77"/>
    <n v="1"/>
    <n v="195.39"/>
    <n v="0"/>
    <x v="77"/>
    <x v="3"/>
    <x v="21"/>
    <x v="5"/>
    <n v="83.94"/>
    <n v="0.43"/>
    <x v="0"/>
    <x v="0"/>
    <n v="95.2"/>
    <n v="100.18999999999998"/>
    <x v="0"/>
  </r>
  <r>
    <n v="83"/>
    <n v="1033"/>
    <n v="23"/>
    <n v="8"/>
    <n v="58.56"/>
    <n v="0"/>
    <x v="78"/>
    <x v="3"/>
    <x v="66"/>
    <x v="5"/>
    <n v="83.94"/>
    <n v="0.18"/>
    <x v="0"/>
    <x v="0"/>
    <n v="111.57"/>
    <n v="356.91"/>
    <x v="1"/>
  </r>
  <r>
    <n v="84"/>
    <n v="1034"/>
    <n v="137"/>
    <n v="5"/>
    <n v="181.82"/>
    <n v="0"/>
    <x v="79"/>
    <x v="3"/>
    <x v="14"/>
    <x v="10"/>
    <n v="85.37"/>
    <n v="0.09"/>
    <x v="1"/>
    <x v="1"/>
    <n v="36.76"/>
    <n v="872.33999999999992"/>
    <x v="5"/>
  </r>
  <r>
    <n v="85"/>
    <n v="1034"/>
    <n v="83"/>
    <n v="5"/>
    <n v="269.23"/>
    <n v="0"/>
    <x v="80"/>
    <x v="3"/>
    <x v="67"/>
    <x v="10"/>
    <n v="85.37"/>
    <n v="0.06"/>
    <x v="1"/>
    <x v="1"/>
    <n v="147.63"/>
    <n v="1198.52"/>
    <x v="5"/>
  </r>
  <r>
    <n v="86"/>
    <n v="1034"/>
    <n v="132"/>
    <n v="2"/>
    <n v="240.9"/>
    <n v="2.9"/>
    <x v="81"/>
    <x v="3"/>
    <x v="68"/>
    <x v="10"/>
    <n v="85.37"/>
    <n v="0.18"/>
    <x v="1"/>
    <x v="1"/>
    <n v="15.44"/>
    <n v="463.46000000000004"/>
    <x v="7"/>
  </r>
  <r>
    <n v="87"/>
    <n v="1035"/>
    <n v="107"/>
    <n v="7"/>
    <n v="223.34"/>
    <n v="0"/>
    <x v="82"/>
    <x v="2"/>
    <x v="6"/>
    <x v="4"/>
    <n v="77.64"/>
    <n v="0.05"/>
    <x v="1"/>
    <x v="3"/>
    <n v="81.23"/>
    <n v="1482.15"/>
    <x v="5"/>
  </r>
  <r>
    <n v="88"/>
    <n v="1035"/>
    <n v="104"/>
    <n v="5"/>
    <n v="199.55"/>
    <n v="0"/>
    <x v="83"/>
    <x v="2"/>
    <x v="69"/>
    <x v="4"/>
    <n v="77.64"/>
    <n v="0.08"/>
    <x v="1"/>
    <x v="2"/>
    <n v="17.07"/>
    <n v="980.68"/>
    <x v="2"/>
  </r>
  <r>
    <n v="89"/>
    <n v="1035"/>
    <n v="117"/>
    <n v="8"/>
    <n v="293.33"/>
    <n v="0"/>
    <x v="84"/>
    <x v="2"/>
    <x v="70"/>
    <x v="4"/>
    <n v="77.64"/>
    <n v="0.03"/>
    <x v="1"/>
    <x v="0"/>
    <n v="131.80000000000001"/>
    <n v="2214.8399999999997"/>
    <x v="5"/>
  </r>
  <r>
    <n v="90"/>
    <n v="1036"/>
    <n v="73"/>
    <n v="6"/>
    <n v="134.83000000000001"/>
    <n v="0"/>
    <x v="85"/>
    <x v="2"/>
    <x v="1"/>
    <x v="11"/>
    <n v="826.92"/>
    <n v="1.02"/>
    <x v="2"/>
    <x v="0"/>
    <n v="27.28"/>
    <n v="781.7"/>
    <x v="1"/>
  </r>
  <r>
    <n v="91"/>
    <n v="1036"/>
    <n v="145"/>
    <n v="8"/>
    <n v="172.39"/>
    <n v="0"/>
    <x v="86"/>
    <x v="2"/>
    <x v="71"/>
    <x v="11"/>
    <n v="826.92"/>
    <n v="0.6"/>
    <x v="2"/>
    <x v="2"/>
    <n v="101.4"/>
    <n v="1277.7199999999998"/>
    <x v="7"/>
  </r>
  <r>
    <n v="92"/>
    <n v="1036"/>
    <n v="12"/>
    <n v="2"/>
    <n v="61.57"/>
    <n v="9.77"/>
    <x v="87"/>
    <x v="2"/>
    <x v="35"/>
    <x v="11"/>
    <n v="826.92"/>
    <n v="7.29"/>
    <x v="2"/>
    <x v="5"/>
    <n v="132.6"/>
    <n v="-19.22999999999999"/>
    <x v="7"/>
  </r>
  <r>
    <n v="93"/>
    <n v="1037"/>
    <n v="65"/>
    <n v="2"/>
    <n v="203.11"/>
    <n v="0"/>
    <x v="88"/>
    <x v="3"/>
    <x v="52"/>
    <x v="9"/>
    <n v="0"/>
    <n v="0"/>
    <x v="0"/>
    <x v="1"/>
    <n v="44.01"/>
    <n v="362.21000000000004"/>
    <x v="1"/>
  </r>
  <r>
    <n v="94"/>
    <n v="1037"/>
    <n v="14"/>
    <n v="7"/>
    <n v="33.86"/>
    <n v="0"/>
    <x v="89"/>
    <x v="3"/>
    <x v="37"/>
    <x v="9"/>
    <n v="0"/>
    <n v="0"/>
    <x v="0"/>
    <x v="4"/>
    <n v="75.2"/>
    <n v="161.82"/>
    <x v="6"/>
  </r>
  <r>
    <n v="95"/>
    <n v="1037"/>
    <n v="110"/>
    <n v="2"/>
    <n v="112"/>
    <n v="0"/>
    <x v="90"/>
    <x v="3"/>
    <x v="72"/>
    <x v="9"/>
    <n v="0"/>
    <n v="0"/>
    <x v="0"/>
    <x v="0"/>
    <n v="144.62"/>
    <n v="79.38"/>
    <x v="3"/>
  </r>
  <r>
    <n v="96"/>
    <n v="1038"/>
    <n v="3"/>
    <n v="1"/>
    <n v="22.56"/>
    <n v="0"/>
    <x v="91"/>
    <x v="0"/>
    <x v="34"/>
    <x v="0"/>
    <n v="78.42"/>
    <n v="3.48"/>
    <x v="0"/>
    <x v="3"/>
    <n v="93.44"/>
    <n v="-70.88"/>
    <x v="3"/>
  </r>
  <r>
    <n v="97"/>
    <n v="1038"/>
    <n v="109"/>
    <n v="3"/>
    <n v="257.52"/>
    <n v="0"/>
    <x v="92"/>
    <x v="0"/>
    <x v="73"/>
    <x v="0"/>
    <n v="78.42"/>
    <n v="0.1"/>
    <x v="0"/>
    <x v="0"/>
    <n v="10.02"/>
    <n v="762.54"/>
    <x v="2"/>
  </r>
  <r>
    <n v="98"/>
    <n v="1038"/>
    <n v="99"/>
    <n v="2"/>
    <n v="50.97"/>
    <n v="0"/>
    <x v="93"/>
    <x v="0"/>
    <x v="42"/>
    <x v="0"/>
    <n v="78.42"/>
    <n v="0.77"/>
    <x v="0"/>
    <x v="4"/>
    <n v="31.67"/>
    <n v="70.27"/>
    <x v="6"/>
  </r>
  <r>
    <n v="99"/>
    <n v="1038"/>
    <n v="27"/>
    <n v="6"/>
    <n v="165.39"/>
    <n v="0"/>
    <x v="94"/>
    <x v="0"/>
    <x v="74"/>
    <x v="0"/>
    <n v="78.42"/>
    <n v="0.08"/>
    <x v="0"/>
    <x v="1"/>
    <n v="33.9"/>
    <n v="958.43999999999994"/>
    <x v="5"/>
  </r>
  <r>
    <n v="100"/>
    <n v="1039"/>
    <n v="39"/>
    <n v="7"/>
    <n v="129.30000000000001"/>
    <n v="9.6300000000000008"/>
    <x v="95"/>
    <x v="3"/>
    <x v="75"/>
    <x v="9"/>
    <n v="44.78"/>
    <n v="0.05"/>
    <x v="3"/>
    <x v="2"/>
    <n v="42.41"/>
    <n v="853.06000000000017"/>
    <x v="5"/>
  </r>
  <r>
    <n v="101"/>
    <n v="1039"/>
    <n v="56"/>
    <n v="2"/>
    <n v="172.23"/>
    <n v="0"/>
    <x v="11"/>
    <x v="3"/>
    <x v="11"/>
    <x v="9"/>
    <n v="44.78"/>
    <n v="0.13"/>
    <x v="3"/>
    <x v="3"/>
    <n v="134.72"/>
    <n v="209.73999999999998"/>
    <x v="1"/>
  </r>
  <r>
    <n v="102"/>
    <n v="1040"/>
    <n v="7"/>
    <n v="5"/>
    <n v="292.33999999999997"/>
    <n v="0"/>
    <x v="96"/>
    <x v="0"/>
    <x v="76"/>
    <x v="0"/>
    <n v="65.28"/>
    <n v="0.04"/>
    <x v="0"/>
    <x v="5"/>
    <n v="98.84"/>
    <n v="1362.86"/>
    <x v="6"/>
  </r>
  <r>
    <n v="103"/>
    <n v="1040"/>
    <n v="101"/>
    <n v="5"/>
    <n v="45.81"/>
    <n v="0"/>
    <x v="97"/>
    <x v="0"/>
    <x v="77"/>
    <x v="0"/>
    <n v="65.28"/>
    <n v="0.28999999999999998"/>
    <x v="0"/>
    <x v="3"/>
    <n v="173.83"/>
    <n v="55.22"/>
    <x v="0"/>
  </r>
  <r>
    <n v="104"/>
    <n v="1040"/>
    <n v="127"/>
    <n v="7"/>
    <n v="38.14"/>
    <n v="2.58"/>
    <x v="98"/>
    <x v="0"/>
    <x v="45"/>
    <x v="0"/>
    <n v="65.28"/>
    <n v="0.25"/>
    <x v="0"/>
    <x v="3"/>
    <n v="51.31"/>
    <n v="213.09000000000003"/>
    <x v="3"/>
  </r>
  <r>
    <n v="105"/>
    <n v="1041"/>
    <n v="121"/>
    <n v="2"/>
    <n v="151.43"/>
    <n v="0"/>
    <x v="99"/>
    <x v="2"/>
    <x v="78"/>
    <x v="4"/>
    <n v="76.91"/>
    <n v="0.25"/>
    <x v="2"/>
    <x v="3"/>
    <n v="54.76"/>
    <n v="248.10000000000002"/>
    <x v="6"/>
  </r>
  <r>
    <n v="106"/>
    <n v="1041"/>
    <n v="4"/>
    <n v="5"/>
    <n v="94.28"/>
    <n v="0"/>
    <x v="100"/>
    <x v="2"/>
    <x v="79"/>
    <x v="4"/>
    <n v="76.91"/>
    <n v="0.16"/>
    <x v="2"/>
    <x v="0"/>
    <n v="83.61"/>
    <n v="387.78999999999996"/>
    <x v="2"/>
  </r>
  <r>
    <n v="107"/>
    <n v="1042"/>
    <n v="72"/>
    <n v="2"/>
    <n v="205.06"/>
    <n v="0"/>
    <x v="101"/>
    <x v="0"/>
    <x v="80"/>
    <x v="0"/>
    <n v="88.68"/>
    <n v="0.22"/>
    <x v="0"/>
    <x v="1"/>
    <n v="93.75"/>
    <n v="316.37"/>
    <x v="0"/>
  </r>
  <r>
    <n v="108"/>
    <n v="1042"/>
    <n v="40"/>
    <n v="6"/>
    <n v="90.58"/>
    <n v="0"/>
    <x v="102"/>
    <x v="0"/>
    <x v="81"/>
    <x v="0"/>
    <n v="88.68"/>
    <n v="0.16"/>
    <x v="0"/>
    <x v="1"/>
    <n v="177.43"/>
    <n v="366.05"/>
    <x v="2"/>
  </r>
  <r>
    <n v="109"/>
    <n v="1043"/>
    <n v="80"/>
    <n v="3"/>
    <n v="84.54"/>
    <n v="0"/>
    <x v="103"/>
    <x v="2"/>
    <x v="82"/>
    <x v="11"/>
    <n v="114.55"/>
    <n v="0.45"/>
    <x v="2"/>
    <x v="1"/>
    <n v="91.52"/>
    <n v="162.10000000000002"/>
    <x v="3"/>
  </r>
  <r>
    <n v="110"/>
    <n v="1044"/>
    <n v="8"/>
    <n v="6"/>
    <n v="118.07"/>
    <n v="0"/>
    <x v="104"/>
    <x v="2"/>
    <x v="39"/>
    <x v="4"/>
    <n v="86.63"/>
    <n v="0.12"/>
    <x v="1"/>
    <x v="1"/>
    <n v="159.94999999999999"/>
    <n v="548.47"/>
    <x v="1"/>
  </r>
  <r>
    <n v="111"/>
    <n v="1045"/>
    <n v="95"/>
    <n v="3"/>
    <n v="75.319999999999993"/>
    <n v="0"/>
    <x v="105"/>
    <x v="4"/>
    <x v="83"/>
    <x v="16"/>
    <n v="58.72"/>
    <n v="0.26"/>
    <x v="0"/>
    <x v="0"/>
    <n v="71.34"/>
    <n v="154.61999999999998"/>
    <x v="6"/>
  </r>
  <r>
    <n v="112"/>
    <n v="1045"/>
    <n v="147"/>
    <n v="2"/>
    <n v="133.41"/>
    <n v="0"/>
    <x v="106"/>
    <x v="4"/>
    <x v="8"/>
    <x v="16"/>
    <n v="58.72"/>
    <n v="0.22"/>
    <x v="0"/>
    <x v="0"/>
    <n v="128.44999999999999"/>
    <n v="138.37"/>
    <x v="1"/>
  </r>
  <r>
    <n v="113"/>
    <n v="1046"/>
    <n v="82"/>
    <n v="5"/>
    <n v="243.4"/>
    <n v="0"/>
    <x v="107"/>
    <x v="2"/>
    <x v="27"/>
    <x v="2"/>
    <n v="37.83"/>
    <n v="0.03"/>
    <x v="3"/>
    <x v="5"/>
    <n v="84.88"/>
    <n v="1132.1199999999999"/>
    <x v="3"/>
  </r>
  <r>
    <n v="114"/>
    <n v="1046"/>
    <n v="31"/>
    <n v="1"/>
    <n v="35.19"/>
    <n v="0"/>
    <x v="108"/>
    <x v="2"/>
    <x v="84"/>
    <x v="2"/>
    <n v="37.83"/>
    <n v="1.08"/>
    <x v="3"/>
    <x v="1"/>
    <n v="155.44"/>
    <n v="-120.25"/>
    <x v="0"/>
  </r>
  <r>
    <n v="115"/>
    <n v="1046"/>
    <n v="103"/>
    <n v="2"/>
    <n v="241.92"/>
    <n v="0"/>
    <x v="4"/>
    <x v="2"/>
    <x v="4"/>
    <x v="2"/>
    <n v="37.83"/>
    <n v="0.08"/>
    <x v="3"/>
    <x v="0"/>
    <n v="145.97"/>
    <n v="337.87"/>
    <x v="1"/>
  </r>
  <r>
    <n v="116"/>
    <n v="1046"/>
    <n v="80"/>
    <n v="6"/>
    <n v="84.54"/>
    <n v="2.21"/>
    <x v="109"/>
    <x v="2"/>
    <x v="82"/>
    <x v="2"/>
    <n v="37.83"/>
    <n v="7.0000000000000007E-2"/>
    <x v="3"/>
    <x v="1"/>
    <n v="91.52"/>
    <n v="413.51000000000005"/>
    <x v="3"/>
  </r>
  <r>
    <n v="117"/>
    <n v="1047"/>
    <n v="39"/>
    <n v="1"/>
    <n v="129.30000000000001"/>
    <n v="0"/>
    <x v="110"/>
    <x v="2"/>
    <x v="75"/>
    <x v="4"/>
    <n v="102.48"/>
    <n v="0.79"/>
    <x v="2"/>
    <x v="2"/>
    <n v="42.41"/>
    <n v="86.890000000000015"/>
    <x v="5"/>
  </r>
  <r>
    <n v="118"/>
    <n v="1047"/>
    <n v="60"/>
    <n v="6"/>
    <n v="115.8"/>
    <n v="0"/>
    <x v="18"/>
    <x v="2"/>
    <x v="18"/>
    <x v="4"/>
    <n v="102.48"/>
    <n v="0.15"/>
    <x v="2"/>
    <x v="0"/>
    <n v="121.71"/>
    <n v="573.08999999999992"/>
    <x v="3"/>
  </r>
  <r>
    <n v="119"/>
    <n v="1048"/>
    <n v="72"/>
    <n v="2"/>
    <n v="205.06"/>
    <n v="0"/>
    <x v="101"/>
    <x v="1"/>
    <x v="80"/>
    <x v="7"/>
    <n v="71.37"/>
    <n v="0.17"/>
    <x v="2"/>
    <x v="1"/>
    <n v="93.75"/>
    <n v="316.37"/>
    <x v="0"/>
  </r>
  <r>
    <n v="120"/>
    <n v="1048"/>
    <n v="134"/>
    <n v="7"/>
    <n v="26.36"/>
    <n v="0"/>
    <x v="111"/>
    <x v="1"/>
    <x v="85"/>
    <x v="7"/>
    <n v="71.37"/>
    <n v="0.39"/>
    <x v="2"/>
    <x v="0"/>
    <n v="19.079999999999998"/>
    <n v="165.44"/>
    <x v="5"/>
  </r>
  <r>
    <n v="121"/>
    <n v="1049"/>
    <n v="75"/>
    <n v="5"/>
    <n v="180.3"/>
    <n v="12.91"/>
    <x v="112"/>
    <x v="0"/>
    <x v="48"/>
    <x v="3"/>
    <n v="94.47"/>
    <n v="0.11"/>
    <x v="1"/>
    <x v="1"/>
    <n v="80.23"/>
    <n v="808.36"/>
    <x v="1"/>
  </r>
  <r>
    <n v="122"/>
    <n v="1049"/>
    <n v="84"/>
    <n v="6"/>
    <n v="150.28"/>
    <n v="0"/>
    <x v="113"/>
    <x v="0"/>
    <x v="49"/>
    <x v="3"/>
    <n v="94.47"/>
    <n v="0.1"/>
    <x v="1"/>
    <x v="0"/>
    <n v="135.13999999999999"/>
    <n v="766.54000000000008"/>
    <x v="5"/>
  </r>
  <r>
    <n v="123"/>
    <n v="1050"/>
    <n v="138"/>
    <n v="6"/>
    <n v="106.5"/>
    <n v="0"/>
    <x v="114"/>
    <x v="2"/>
    <x v="86"/>
    <x v="13"/>
    <n v="34.74"/>
    <n v="0.05"/>
    <x v="3"/>
    <x v="3"/>
    <n v="76.459999999999994"/>
    <n v="562.54"/>
    <x v="5"/>
  </r>
  <r>
    <n v="124"/>
    <n v="1051"/>
    <n v="64"/>
    <n v="6"/>
    <n v="247.73"/>
    <n v="0"/>
    <x v="115"/>
    <x v="0"/>
    <x v="87"/>
    <x v="3"/>
    <n v="99.13"/>
    <n v="7.0000000000000007E-2"/>
    <x v="3"/>
    <x v="5"/>
    <n v="43.93"/>
    <n v="1442.4499999999998"/>
    <x v="6"/>
  </r>
  <r>
    <n v="125"/>
    <n v="1052"/>
    <n v="32"/>
    <n v="1"/>
    <n v="221.16"/>
    <n v="0"/>
    <x v="116"/>
    <x v="1"/>
    <x v="88"/>
    <x v="7"/>
    <n v="71.55"/>
    <n v="0.32"/>
    <x v="2"/>
    <x v="1"/>
    <n v="99.37"/>
    <n v="121.78999999999999"/>
    <x v="5"/>
  </r>
  <r>
    <n v="126"/>
    <n v="1052"/>
    <n v="34"/>
    <n v="4"/>
    <n v="222.79"/>
    <n v="0"/>
    <x v="117"/>
    <x v="1"/>
    <x v="89"/>
    <x v="7"/>
    <n v="71.55"/>
    <n v="0.08"/>
    <x v="2"/>
    <x v="1"/>
    <n v="86.73"/>
    <n v="804.43"/>
    <x v="2"/>
  </r>
  <r>
    <n v="127"/>
    <n v="1053"/>
    <n v="85"/>
    <n v="2"/>
    <n v="163.57"/>
    <n v="1.6"/>
    <x v="118"/>
    <x v="3"/>
    <x v="3"/>
    <x v="14"/>
    <n v="54.25"/>
    <n v="0.17"/>
    <x v="2"/>
    <x v="0"/>
    <n v="139.02000000000001"/>
    <n v="186.51999999999995"/>
    <x v="3"/>
  </r>
  <r>
    <n v="128"/>
    <n v="1054"/>
    <n v="71"/>
    <n v="5"/>
    <n v="277.42"/>
    <n v="0"/>
    <x v="119"/>
    <x v="2"/>
    <x v="90"/>
    <x v="11"/>
    <n v="11.07"/>
    <n v="0.01"/>
    <x v="3"/>
    <x v="2"/>
    <n v="171.05"/>
    <n v="1216.0500000000002"/>
    <x v="2"/>
  </r>
  <r>
    <n v="129"/>
    <n v="1054"/>
    <n v="9"/>
    <n v="4"/>
    <n v="235.32"/>
    <n v="10.06"/>
    <x v="120"/>
    <x v="2"/>
    <x v="16"/>
    <x v="11"/>
    <n v="11.07"/>
    <n v="0.01"/>
    <x v="3"/>
    <x v="1"/>
    <n v="120.72"/>
    <n v="810.5"/>
    <x v="0"/>
  </r>
  <r>
    <n v="130"/>
    <n v="1055"/>
    <n v="92"/>
    <n v="8"/>
    <n v="23.27"/>
    <n v="8.6199999999999992"/>
    <x v="121"/>
    <x v="1"/>
    <x v="91"/>
    <x v="7"/>
    <n v="119.95"/>
    <n v="0.68"/>
    <x v="0"/>
    <x v="1"/>
    <n v="81.27"/>
    <n v="96.27"/>
    <x v="3"/>
  </r>
  <r>
    <n v="131"/>
    <n v="1055"/>
    <n v="89"/>
    <n v="6"/>
    <n v="126"/>
    <n v="0"/>
    <x v="122"/>
    <x v="1"/>
    <x v="92"/>
    <x v="7"/>
    <n v="119.95"/>
    <n v="0.16"/>
    <x v="0"/>
    <x v="3"/>
    <n v="150.76"/>
    <n v="605.24"/>
    <x v="6"/>
  </r>
  <r>
    <n v="132"/>
    <n v="1055"/>
    <n v="7"/>
    <n v="6"/>
    <n v="292.33999999999997"/>
    <n v="0"/>
    <x v="123"/>
    <x v="1"/>
    <x v="76"/>
    <x v="7"/>
    <n v="119.95"/>
    <n v="7.0000000000000007E-2"/>
    <x v="0"/>
    <x v="5"/>
    <n v="98.84"/>
    <n v="1655.2"/>
    <x v="6"/>
  </r>
  <r>
    <n v="133"/>
    <n v="1055"/>
    <n v="72"/>
    <n v="1"/>
    <n v="205.06"/>
    <n v="12.32"/>
    <x v="124"/>
    <x v="1"/>
    <x v="80"/>
    <x v="7"/>
    <n v="119.95"/>
    <n v="0.62"/>
    <x v="0"/>
    <x v="1"/>
    <n v="93.75"/>
    <n v="98.990000000000009"/>
    <x v="0"/>
  </r>
  <r>
    <n v="134"/>
    <n v="1056"/>
    <n v="148"/>
    <n v="7"/>
    <n v="124.32"/>
    <n v="0"/>
    <x v="125"/>
    <x v="1"/>
    <x v="60"/>
    <x v="8"/>
    <n v="113.92"/>
    <n v="0.13"/>
    <x v="1"/>
    <x v="0"/>
    <n v="101.47"/>
    <n v="768.77"/>
    <x v="3"/>
  </r>
  <r>
    <n v="135"/>
    <n v="1056"/>
    <n v="46"/>
    <n v="4"/>
    <n v="219.11"/>
    <n v="0"/>
    <x v="126"/>
    <x v="1"/>
    <x v="31"/>
    <x v="8"/>
    <n v="113.92"/>
    <n v="0.13"/>
    <x v="1"/>
    <x v="5"/>
    <n v="40.75"/>
    <n v="835.69"/>
    <x v="4"/>
  </r>
  <r>
    <n v="136"/>
    <n v="1057"/>
    <n v="15"/>
    <n v="4"/>
    <n v="198.21"/>
    <n v="0"/>
    <x v="127"/>
    <x v="1"/>
    <x v="93"/>
    <x v="1"/>
    <n v="42.48"/>
    <n v="0.05"/>
    <x v="2"/>
    <x v="3"/>
    <n v="159.82"/>
    <n v="633.02"/>
    <x v="5"/>
  </r>
  <r>
    <n v="137"/>
    <n v="1058"/>
    <n v="29"/>
    <n v="6"/>
    <n v="33.25"/>
    <n v="0"/>
    <x v="128"/>
    <x v="1"/>
    <x v="94"/>
    <x v="6"/>
    <n v="95.85"/>
    <n v="0.48"/>
    <x v="0"/>
    <x v="1"/>
    <n v="48.38"/>
    <n v="151.12"/>
    <x v="5"/>
  </r>
  <r>
    <n v="138"/>
    <n v="1058"/>
    <n v="102"/>
    <n v="2"/>
    <n v="71.52"/>
    <n v="0"/>
    <x v="129"/>
    <x v="1"/>
    <x v="95"/>
    <x v="6"/>
    <n v="95.85"/>
    <n v="0.67"/>
    <x v="0"/>
    <x v="2"/>
    <n v="169.76"/>
    <n v="-26.72"/>
    <x v="2"/>
  </r>
  <r>
    <n v="139"/>
    <n v="1059"/>
    <n v="97"/>
    <n v="5"/>
    <n v="168.73"/>
    <n v="0"/>
    <x v="130"/>
    <x v="2"/>
    <x v="96"/>
    <x v="12"/>
    <n v="73.88"/>
    <n v="0.09"/>
    <x v="1"/>
    <x v="2"/>
    <n v="8.39"/>
    <n v="835.26"/>
    <x v="0"/>
  </r>
  <r>
    <n v="140"/>
    <n v="1059"/>
    <n v="33"/>
    <n v="3"/>
    <n v="42.63"/>
    <n v="11.2"/>
    <x v="131"/>
    <x v="2"/>
    <x v="97"/>
    <x v="12"/>
    <n v="73.88"/>
    <n v="0.63"/>
    <x v="1"/>
    <x v="3"/>
    <n v="38.32"/>
    <n v="78.37"/>
    <x v="5"/>
  </r>
  <r>
    <n v="141"/>
    <n v="1060"/>
    <n v="61"/>
    <n v="6"/>
    <n v="293.22000000000003"/>
    <n v="0"/>
    <x v="132"/>
    <x v="0"/>
    <x v="19"/>
    <x v="17"/>
    <n v="55.81"/>
    <n v="0.03"/>
    <x v="1"/>
    <x v="3"/>
    <n v="156.31"/>
    <n v="1603.0100000000002"/>
    <x v="7"/>
  </r>
  <r>
    <n v="142"/>
    <n v="1061"/>
    <n v="99"/>
    <n v="8"/>
    <n v="50.97"/>
    <n v="0"/>
    <x v="133"/>
    <x v="1"/>
    <x v="42"/>
    <x v="7"/>
    <n v="44.74"/>
    <n v="0.11"/>
    <x v="1"/>
    <x v="4"/>
    <n v="31.67"/>
    <n v="376.09"/>
    <x v="6"/>
  </r>
  <r>
    <n v="143"/>
    <n v="1062"/>
    <n v="82"/>
    <n v="5"/>
    <n v="243.4"/>
    <n v="0"/>
    <x v="107"/>
    <x v="2"/>
    <x v="27"/>
    <x v="13"/>
    <n v="22.66"/>
    <n v="0.02"/>
    <x v="0"/>
    <x v="5"/>
    <n v="84.88"/>
    <n v="1132.1199999999999"/>
    <x v="3"/>
  </r>
  <r>
    <n v="144"/>
    <n v="1063"/>
    <n v="112"/>
    <n v="3"/>
    <n v="154.88"/>
    <n v="0"/>
    <x v="134"/>
    <x v="4"/>
    <x v="98"/>
    <x v="15"/>
    <n v="31.56"/>
    <n v="7.0000000000000007E-2"/>
    <x v="0"/>
    <x v="3"/>
    <n v="118.03"/>
    <n v="346.61"/>
    <x v="3"/>
  </r>
  <r>
    <n v="145"/>
    <n v="1063"/>
    <n v="53"/>
    <n v="4"/>
    <n v="73.03"/>
    <n v="0"/>
    <x v="135"/>
    <x v="4"/>
    <x v="99"/>
    <x v="15"/>
    <n v="31.56"/>
    <n v="0.11"/>
    <x v="0"/>
    <x v="5"/>
    <n v="0"/>
    <n v="292.12"/>
    <x v="3"/>
  </r>
  <r>
    <n v="146"/>
    <n v="1064"/>
    <n v="76"/>
    <n v="8"/>
    <n v="160.68"/>
    <n v="0"/>
    <x v="136"/>
    <x v="0"/>
    <x v="100"/>
    <x v="3"/>
    <n v="0"/>
    <n v="0"/>
    <x v="0"/>
    <x v="3"/>
    <n v="123.23"/>
    <n v="1162.21"/>
    <x v="5"/>
  </r>
  <r>
    <n v="147"/>
    <n v="1065"/>
    <n v="102"/>
    <n v="8"/>
    <n v="71.52"/>
    <n v="0"/>
    <x v="137"/>
    <x v="1"/>
    <x v="95"/>
    <x v="1"/>
    <n v="30.24"/>
    <n v="0.05"/>
    <x v="2"/>
    <x v="2"/>
    <n v="169.76"/>
    <n v="402.4"/>
    <x v="2"/>
  </r>
  <r>
    <n v="148"/>
    <n v="1065"/>
    <n v="24"/>
    <n v="7"/>
    <n v="20.55"/>
    <n v="3.59"/>
    <x v="138"/>
    <x v="1"/>
    <x v="101"/>
    <x v="1"/>
    <n v="30.24"/>
    <n v="0.22"/>
    <x v="2"/>
    <x v="0"/>
    <n v="61.73"/>
    <n v="78.53"/>
    <x v="6"/>
  </r>
  <r>
    <n v="149"/>
    <n v="1065"/>
    <n v="95"/>
    <n v="3"/>
    <n v="75.319999999999993"/>
    <n v="0"/>
    <x v="105"/>
    <x v="1"/>
    <x v="83"/>
    <x v="1"/>
    <n v="30.24"/>
    <n v="0.13"/>
    <x v="2"/>
    <x v="0"/>
    <n v="71.34"/>
    <n v="154.61999999999998"/>
    <x v="6"/>
  </r>
  <r>
    <n v="150"/>
    <n v="1066"/>
    <n v="59"/>
    <n v="1"/>
    <n v="213.38"/>
    <n v="12.46"/>
    <x v="139"/>
    <x v="0"/>
    <x v="102"/>
    <x v="0"/>
    <n v="97.78"/>
    <n v="0.49"/>
    <x v="3"/>
    <x v="5"/>
    <n v="162.32"/>
    <n v="38.599999999999994"/>
    <x v="1"/>
  </r>
  <r>
    <n v="151"/>
    <n v="1066"/>
    <n v="138"/>
    <n v="8"/>
    <n v="106.5"/>
    <n v="0"/>
    <x v="140"/>
    <x v="0"/>
    <x v="86"/>
    <x v="0"/>
    <n v="97.78"/>
    <n v="0.11"/>
    <x v="3"/>
    <x v="3"/>
    <n v="76.459999999999994"/>
    <n v="775.54"/>
    <x v="5"/>
  </r>
  <r>
    <n v="152"/>
    <n v="1066"/>
    <n v="122"/>
    <n v="5"/>
    <n v="151.15"/>
    <n v="0"/>
    <x v="141"/>
    <x v="0"/>
    <x v="103"/>
    <x v="0"/>
    <n v="97.78"/>
    <n v="0.13"/>
    <x v="3"/>
    <x v="3"/>
    <n v="169.69"/>
    <n v="586.05999999999995"/>
    <x v="6"/>
  </r>
  <r>
    <n v="153"/>
    <n v="1066"/>
    <n v="129"/>
    <n v="3"/>
    <n v="95.57"/>
    <n v="2.68"/>
    <x v="142"/>
    <x v="0"/>
    <x v="104"/>
    <x v="0"/>
    <n v="97.78"/>
    <n v="0.34"/>
    <x v="3"/>
    <x v="3"/>
    <n v="55.42"/>
    <n v="228.60999999999996"/>
    <x v="6"/>
  </r>
  <r>
    <n v="154"/>
    <n v="1067"/>
    <n v="82"/>
    <n v="2"/>
    <n v="243.4"/>
    <n v="2.2200000000000002"/>
    <x v="143"/>
    <x v="3"/>
    <x v="27"/>
    <x v="14"/>
    <n v="71.59"/>
    <n v="0.15"/>
    <x v="1"/>
    <x v="5"/>
    <n v="84.88"/>
    <n v="399.7"/>
    <x v="3"/>
  </r>
  <r>
    <n v="155"/>
    <n v="1067"/>
    <n v="142"/>
    <n v="6"/>
    <n v="192.45"/>
    <n v="12.99"/>
    <x v="144"/>
    <x v="3"/>
    <x v="105"/>
    <x v="14"/>
    <n v="71.59"/>
    <n v="0.06"/>
    <x v="1"/>
    <x v="4"/>
    <n v="95.73"/>
    <n v="1045.9799999999998"/>
    <x v="6"/>
  </r>
  <r>
    <n v="156"/>
    <n v="1067"/>
    <n v="4"/>
    <n v="7"/>
    <n v="94.28"/>
    <n v="0"/>
    <x v="145"/>
    <x v="3"/>
    <x v="79"/>
    <x v="14"/>
    <n v="71.59"/>
    <n v="0.11"/>
    <x v="1"/>
    <x v="0"/>
    <n v="83.61"/>
    <n v="576.35"/>
    <x v="2"/>
  </r>
  <r>
    <n v="157"/>
    <n v="1068"/>
    <n v="68"/>
    <n v="7"/>
    <n v="138.85"/>
    <n v="10.17"/>
    <x v="146"/>
    <x v="0"/>
    <x v="61"/>
    <x v="17"/>
    <n v="0"/>
    <n v="0"/>
    <x v="0"/>
    <x v="2"/>
    <n v="23.97"/>
    <n v="937.81"/>
    <x v="1"/>
  </r>
  <r>
    <n v="158"/>
    <n v="1068"/>
    <n v="10"/>
    <n v="3"/>
    <n v="144.22"/>
    <n v="0"/>
    <x v="147"/>
    <x v="0"/>
    <x v="106"/>
    <x v="17"/>
    <n v="0"/>
    <n v="0"/>
    <x v="0"/>
    <x v="0"/>
    <n v="71.52"/>
    <n v="361.14"/>
    <x v="3"/>
  </r>
  <r>
    <n v="159"/>
    <n v="1068"/>
    <n v="103"/>
    <n v="1"/>
    <n v="241.92"/>
    <n v="0"/>
    <x v="148"/>
    <x v="0"/>
    <x v="4"/>
    <x v="17"/>
    <n v="0"/>
    <n v="0"/>
    <x v="0"/>
    <x v="0"/>
    <n v="145.97"/>
    <n v="95.949999999999989"/>
    <x v="1"/>
  </r>
  <r>
    <n v="160"/>
    <n v="1068"/>
    <n v="61"/>
    <n v="1"/>
    <n v="293.22000000000003"/>
    <n v="0"/>
    <x v="149"/>
    <x v="0"/>
    <x v="19"/>
    <x v="17"/>
    <n v="0"/>
    <n v="0"/>
    <x v="0"/>
    <x v="3"/>
    <n v="156.31"/>
    <n v="136.91000000000003"/>
    <x v="7"/>
  </r>
  <r>
    <n v="161"/>
    <n v="1069"/>
    <n v="126"/>
    <n v="2"/>
    <n v="32.17"/>
    <n v="0"/>
    <x v="150"/>
    <x v="0"/>
    <x v="107"/>
    <x v="18"/>
    <n v="92.1"/>
    <n v="1.43"/>
    <x v="3"/>
    <x v="3"/>
    <n v="104.51"/>
    <n v="-40.17"/>
    <x v="2"/>
  </r>
  <r>
    <n v="162"/>
    <n v="1069"/>
    <n v="35"/>
    <n v="5"/>
    <n v="46.14"/>
    <n v="14.64"/>
    <x v="151"/>
    <x v="0"/>
    <x v="2"/>
    <x v="18"/>
    <n v="92.1"/>
    <n v="0.43"/>
    <x v="3"/>
    <x v="1"/>
    <n v="145.1"/>
    <n v="70.960000000000008"/>
    <x v="2"/>
  </r>
  <r>
    <n v="163"/>
    <n v="1069"/>
    <n v="83"/>
    <n v="5"/>
    <n v="269.23"/>
    <n v="0"/>
    <x v="80"/>
    <x v="0"/>
    <x v="67"/>
    <x v="18"/>
    <n v="92.1"/>
    <n v="7.0000000000000007E-2"/>
    <x v="3"/>
    <x v="1"/>
    <n v="147.63"/>
    <n v="1198.52"/>
    <x v="5"/>
  </r>
  <r>
    <n v="164"/>
    <n v="1070"/>
    <n v="135"/>
    <n v="1"/>
    <n v="41.03"/>
    <n v="0"/>
    <x v="152"/>
    <x v="1"/>
    <x v="108"/>
    <x v="1"/>
    <n v="35.78"/>
    <n v="0.87"/>
    <x v="0"/>
    <x v="4"/>
    <n v="48.81"/>
    <n v="-7.7800000000000011"/>
    <x v="4"/>
  </r>
  <r>
    <n v="165"/>
    <n v="1070"/>
    <n v="15"/>
    <n v="4"/>
    <n v="198.21"/>
    <n v="0"/>
    <x v="127"/>
    <x v="1"/>
    <x v="93"/>
    <x v="1"/>
    <n v="35.78"/>
    <n v="0.05"/>
    <x v="0"/>
    <x v="3"/>
    <n v="159.82"/>
    <n v="633.02"/>
    <x v="5"/>
  </r>
  <r>
    <n v="166"/>
    <n v="1071"/>
    <n v="46"/>
    <n v="8"/>
    <n v="219.11"/>
    <n v="0"/>
    <x v="153"/>
    <x v="0"/>
    <x v="31"/>
    <x v="18"/>
    <n v="79.58"/>
    <n v="0.05"/>
    <x v="3"/>
    <x v="5"/>
    <n v="40.75"/>
    <n v="1712.13"/>
    <x v="4"/>
  </r>
  <r>
    <n v="167"/>
    <n v="1071"/>
    <n v="89"/>
    <n v="3"/>
    <n v="126"/>
    <n v="0"/>
    <x v="154"/>
    <x v="0"/>
    <x v="92"/>
    <x v="18"/>
    <n v="79.58"/>
    <n v="0.21"/>
    <x v="3"/>
    <x v="3"/>
    <n v="150.76"/>
    <n v="227.24"/>
    <x v="6"/>
  </r>
  <r>
    <n v="168"/>
    <n v="1071"/>
    <n v="24"/>
    <n v="5"/>
    <n v="20.55"/>
    <n v="0"/>
    <x v="155"/>
    <x v="0"/>
    <x v="101"/>
    <x v="18"/>
    <n v="79.58"/>
    <n v="0.77"/>
    <x v="3"/>
    <x v="0"/>
    <n v="61.73"/>
    <n v="41.02"/>
    <x v="6"/>
  </r>
  <r>
    <n v="169"/>
    <n v="1071"/>
    <n v="42"/>
    <n v="4"/>
    <n v="169.53"/>
    <n v="0"/>
    <x v="156"/>
    <x v="0"/>
    <x v="109"/>
    <x v="18"/>
    <n v="79.58"/>
    <n v="0.12"/>
    <x v="3"/>
    <x v="3"/>
    <n v="106.36"/>
    <n v="571.76"/>
    <x v="3"/>
  </r>
  <r>
    <n v="170"/>
    <n v="1072"/>
    <n v="58"/>
    <n v="5"/>
    <n v="57.21"/>
    <n v="0"/>
    <x v="157"/>
    <x v="3"/>
    <x v="110"/>
    <x v="10"/>
    <n v="107.88"/>
    <n v="0.38"/>
    <x v="1"/>
    <x v="3"/>
    <n v="106.94"/>
    <n v="179.11"/>
    <x v="6"/>
  </r>
  <r>
    <n v="171"/>
    <n v="1073"/>
    <n v="150"/>
    <n v="2"/>
    <n v="100.09"/>
    <n v="0"/>
    <x v="158"/>
    <x v="2"/>
    <x v="54"/>
    <x v="13"/>
    <n v="97.43"/>
    <n v="0.49"/>
    <x v="1"/>
    <x v="3"/>
    <n v="54.5"/>
    <n v="145.68"/>
    <x v="1"/>
  </r>
  <r>
    <n v="172"/>
    <n v="1073"/>
    <n v="144"/>
    <n v="5"/>
    <n v="194.56"/>
    <n v="0"/>
    <x v="159"/>
    <x v="2"/>
    <x v="58"/>
    <x v="13"/>
    <n v="97.43"/>
    <n v="0.1"/>
    <x v="1"/>
    <x v="3"/>
    <n v="10.050000000000001"/>
    <n v="962.75"/>
    <x v="5"/>
  </r>
  <r>
    <n v="173"/>
    <n v="1073"/>
    <n v="124"/>
    <n v="2"/>
    <n v="48.76"/>
    <n v="0"/>
    <x v="48"/>
    <x v="2"/>
    <x v="44"/>
    <x v="13"/>
    <n v="97.43"/>
    <n v="1"/>
    <x v="1"/>
    <x v="4"/>
    <n v="178.94"/>
    <n v="-81.42"/>
    <x v="1"/>
  </r>
  <r>
    <n v="174"/>
    <n v="1073"/>
    <n v="84"/>
    <n v="5"/>
    <n v="150.28"/>
    <n v="0"/>
    <x v="160"/>
    <x v="2"/>
    <x v="49"/>
    <x v="13"/>
    <n v="97.43"/>
    <n v="0.13"/>
    <x v="1"/>
    <x v="0"/>
    <n v="135.13999999999999"/>
    <n v="616.26"/>
    <x v="5"/>
  </r>
  <r>
    <n v="175"/>
    <n v="1074"/>
    <n v="76"/>
    <n v="5"/>
    <n v="160.68"/>
    <n v="13.7"/>
    <x v="161"/>
    <x v="3"/>
    <x v="100"/>
    <x v="10"/>
    <n v="18.84"/>
    <n v="0.02"/>
    <x v="0"/>
    <x v="3"/>
    <n v="123.23"/>
    <n v="666.47"/>
    <x v="5"/>
  </r>
  <r>
    <n v="176"/>
    <n v="1074"/>
    <n v="100"/>
    <n v="1"/>
    <n v="233.57"/>
    <n v="0"/>
    <x v="162"/>
    <x v="3"/>
    <x v="111"/>
    <x v="10"/>
    <n v="18.84"/>
    <n v="0.08"/>
    <x v="0"/>
    <x v="4"/>
    <n v="127.41"/>
    <n v="106.16"/>
    <x v="3"/>
  </r>
  <r>
    <n v="177"/>
    <n v="1074"/>
    <n v="88"/>
    <n v="4"/>
    <n v="109.3"/>
    <n v="10.61"/>
    <x v="163"/>
    <x v="3"/>
    <x v="38"/>
    <x v="10"/>
    <n v="18.84"/>
    <n v="0.04"/>
    <x v="0"/>
    <x v="1"/>
    <n v="77.599999999999994"/>
    <n v="348.99"/>
    <x v="3"/>
  </r>
  <r>
    <n v="178"/>
    <n v="1074"/>
    <n v="92"/>
    <n v="5"/>
    <n v="23.27"/>
    <n v="0"/>
    <x v="164"/>
    <x v="3"/>
    <x v="91"/>
    <x v="10"/>
    <n v="18.84"/>
    <n v="0.16"/>
    <x v="0"/>
    <x v="1"/>
    <n v="81.27"/>
    <n v="35.08"/>
    <x v="3"/>
  </r>
  <r>
    <n v="179"/>
    <n v="1075"/>
    <n v="108"/>
    <n v="6"/>
    <n v="143.47999999999999"/>
    <n v="0"/>
    <x v="165"/>
    <x v="0"/>
    <x v="112"/>
    <x v="0"/>
    <n v="10.27"/>
    <n v="0.01"/>
    <x v="3"/>
    <x v="3"/>
    <n v="53.81"/>
    <n v="807.06999999999994"/>
    <x v="3"/>
  </r>
  <r>
    <n v="180"/>
    <n v="1075"/>
    <n v="119"/>
    <n v="2"/>
    <n v="27.97"/>
    <n v="0"/>
    <x v="166"/>
    <x v="0"/>
    <x v="57"/>
    <x v="0"/>
    <n v="10.27"/>
    <n v="0.18"/>
    <x v="3"/>
    <x v="4"/>
    <n v="27.15"/>
    <n v="28.79"/>
    <x v="6"/>
  </r>
  <r>
    <n v="181"/>
    <n v="1075"/>
    <n v="121"/>
    <n v="4"/>
    <n v="151.43"/>
    <n v="8.01"/>
    <x v="167"/>
    <x v="0"/>
    <x v="78"/>
    <x v="0"/>
    <n v="10.27"/>
    <n v="0.02"/>
    <x v="3"/>
    <x v="3"/>
    <n v="54.76"/>
    <n v="542.95000000000005"/>
    <x v="6"/>
  </r>
  <r>
    <n v="182"/>
    <n v="1076"/>
    <n v="47"/>
    <n v="2"/>
    <n v="100.5"/>
    <n v="0"/>
    <x v="168"/>
    <x v="2"/>
    <x v="113"/>
    <x v="2"/>
    <n v="75.28"/>
    <n v="0.37"/>
    <x v="2"/>
    <x v="1"/>
    <n v="122.55"/>
    <n v="78.45"/>
    <x v="2"/>
  </r>
  <r>
    <n v="183"/>
    <n v="1076"/>
    <n v="81"/>
    <n v="1"/>
    <n v="244.17"/>
    <n v="0"/>
    <x v="169"/>
    <x v="2"/>
    <x v="47"/>
    <x v="2"/>
    <n v="75.28"/>
    <n v="0.31"/>
    <x v="2"/>
    <x v="4"/>
    <n v="43.3"/>
    <n v="200.87"/>
    <x v="0"/>
  </r>
  <r>
    <n v="184"/>
    <n v="1076"/>
    <n v="54"/>
    <n v="3"/>
    <n v="256.14"/>
    <n v="0"/>
    <x v="170"/>
    <x v="2"/>
    <x v="114"/>
    <x v="2"/>
    <n v="75.28"/>
    <n v="0.1"/>
    <x v="2"/>
    <x v="1"/>
    <n v="163.43"/>
    <n v="604.99"/>
    <x v="5"/>
  </r>
  <r>
    <n v="185"/>
    <n v="1077"/>
    <n v="96"/>
    <n v="1"/>
    <n v="252.1"/>
    <n v="0"/>
    <x v="171"/>
    <x v="2"/>
    <x v="33"/>
    <x v="4"/>
    <n v="40.200000000000003"/>
    <n v="0.16"/>
    <x v="0"/>
    <x v="5"/>
    <n v="136.6"/>
    <n v="115.5"/>
    <x v="2"/>
  </r>
  <r>
    <n v="186"/>
    <n v="1077"/>
    <n v="5"/>
    <n v="1"/>
    <n v="59.31"/>
    <n v="0"/>
    <x v="172"/>
    <x v="2"/>
    <x v="36"/>
    <x v="4"/>
    <n v="40.200000000000003"/>
    <n v="0.68"/>
    <x v="0"/>
    <x v="3"/>
    <n v="64.540000000000006"/>
    <n v="-5.230000000000004"/>
    <x v="7"/>
  </r>
  <r>
    <n v="187"/>
    <n v="1078"/>
    <n v="134"/>
    <n v="6"/>
    <n v="26.36"/>
    <n v="0"/>
    <x v="173"/>
    <x v="0"/>
    <x v="85"/>
    <x v="3"/>
    <n v="47.52"/>
    <n v="0.3"/>
    <x v="3"/>
    <x v="0"/>
    <n v="19.079999999999998"/>
    <n v="139.07999999999998"/>
    <x v="5"/>
  </r>
  <r>
    <n v="188"/>
    <n v="1078"/>
    <n v="88"/>
    <n v="8"/>
    <n v="109.3"/>
    <n v="0"/>
    <x v="174"/>
    <x v="0"/>
    <x v="38"/>
    <x v="3"/>
    <n v="47.52"/>
    <n v="0.05"/>
    <x v="3"/>
    <x v="1"/>
    <n v="77.599999999999994"/>
    <n v="796.8"/>
    <x v="3"/>
  </r>
  <r>
    <n v="189"/>
    <n v="1078"/>
    <n v="43"/>
    <n v="7"/>
    <n v="277.02999999999997"/>
    <n v="0"/>
    <x v="175"/>
    <x v="0"/>
    <x v="63"/>
    <x v="3"/>
    <n v="47.52"/>
    <n v="0.02"/>
    <x v="3"/>
    <x v="0"/>
    <n v="88.44"/>
    <n v="1850.7699999999998"/>
    <x v="6"/>
  </r>
  <r>
    <n v="190"/>
    <n v="1078"/>
    <n v="34"/>
    <n v="4"/>
    <n v="222.79"/>
    <n v="0"/>
    <x v="117"/>
    <x v="0"/>
    <x v="89"/>
    <x v="3"/>
    <n v="47.52"/>
    <n v="0.05"/>
    <x v="3"/>
    <x v="1"/>
    <n v="86.73"/>
    <n v="804.43"/>
    <x v="2"/>
  </r>
  <r>
    <n v="191"/>
    <n v="1079"/>
    <n v="13"/>
    <n v="2"/>
    <n v="236.16"/>
    <n v="6.83"/>
    <x v="176"/>
    <x v="0"/>
    <x v="115"/>
    <x v="3"/>
    <n v="59.03"/>
    <n v="0.13"/>
    <x v="0"/>
    <x v="0"/>
    <n v="152.5"/>
    <n v="312.99"/>
    <x v="3"/>
  </r>
  <r>
    <n v="192"/>
    <n v="1080"/>
    <n v="36"/>
    <n v="7"/>
    <n v="94.39"/>
    <n v="0"/>
    <x v="177"/>
    <x v="2"/>
    <x v="116"/>
    <x v="2"/>
    <n v="85.6"/>
    <n v="0.13"/>
    <x v="0"/>
    <x v="0"/>
    <n v="78.83"/>
    <n v="581.9"/>
    <x v="5"/>
  </r>
  <r>
    <n v="193"/>
    <n v="1080"/>
    <n v="131"/>
    <n v="2"/>
    <n v="57.46"/>
    <n v="0"/>
    <x v="178"/>
    <x v="2"/>
    <x v="117"/>
    <x v="2"/>
    <n v="85.6"/>
    <n v="0.74"/>
    <x v="0"/>
    <x v="1"/>
    <n v="44.34"/>
    <n v="70.58"/>
    <x v="0"/>
  </r>
  <r>
    <n v="194"/>
    <n v="1080"/>
    <n v="128"/>
    <n v="4"/>
    <n v="143.38999999999999"/>
    <n v="0"/>
    <x v="179"/>
    <x v="2"/>
    <x v="51"/>
    <x v="2"/>
    <n v="85.6"/>
    <n v="0.15"/>
    <x v="0"/>
    <x v="2"/>
    <n v="5.47"/>
    <n v="568.08999999999992"/>
    <x v="0"/>
  </r>
  <r>
    <n v="195"/>
    <n v="1081"/>
    <n v="23"/>
    <n v="2"/>
    <n v="58.56"/>
    <n v="12.69"/>
    <x v="180"/>
    <x v="4"/>
    <x v="66"/>
    <x v="15"/>
    <n v="87.93"/>
    <n v="0.84"/>
    <x v="1"/>
    <x v="0"/>
    <n v="111.57"/>
    <n v="-7.1399999999999864"/>
    <x v="1"/>
  </r>
  <r>
    <n v="196"/>
    <n v="1082"/>
    <n v="45"/>
    <n v="1"/>
    <n v="184.44"/>
    <n v="0"/>
    <x v="181"/>
    <x v="1"/>
    <x v="0"/>
    <x v="1"/>
    <n v="0"/>
    <n v="0"/>
    <x v="2"/>
    <x v="0"/>
    <n v="48.09"/>
    <n v="136.35"/>
    <x v="0"/>
  </r>
  <r>
    <n v="197"/>
    <n v="1083"/>
    <n v="12"/>
    <n v="1"/>
    <n v="61.57"/>
    <n v="0"/>
    <x v="182"/>
    <x v="1"/>
    <x v="35"/>
    <x v="6"/>
    <n v="114.79"/>
    <n v="1.86"/>
    <x v="1"/>
    <x v="5"/>
    <n v="132.6"/>
    <n v="-71.03"/>
    <x v="7"/>
  </r>
  <r>
    <n v="198"/>
    <n v="1084"/>
    <n v="117"/>
    <n v="5"/>
    <n v="293.33"/>
    <n v="12.7"/>
    <x v="183"/>
    <x v="1"/>
    <x v="70"/>
    <x v="12"/>
    <n v="104.06"/>
    <n v="7.0000000000000007E-2"/>
    <x v="0"/>
    <x v="0"/>
    <n v="131.80000000000001"/>
    <n v="1322.1499999999999"/>
    <x v="5"/>
  </r>
  <r>
    <n v="199"/>
    <n v="1084"/>
    <n v="108"/>
    <n v="3"/>
    <n v="143.47999999999999"/>
    <n v="0"/>
    <x v="184"/>
    <x v="1"/>
    <x v="112"/>
    <x v="12"/>
    <n v="104.06"/>
    <n v="0.24"/>
    <x v="0"/>
    <x v="3"/>
    <n v="53.81"/>
    <n v="376.62999999999994"/>
    <x v="3"/>
  </r>
  <r>
    <n v="200"/>
    <n v="1084"/>
    <n v="41"/>
    <n v="2"/>
    <n v="153.69999999999999"/>
    <n v="6.82"/>
    <x v="185"/>
    <x v="1"/>
    <x v="118"/>
    <x v="12"/>
    <n v="104.06"/>
    <n v="0.35"/>
    <x v="0"/>
    <x v="0"/>
    <n v="120.83"/>
    <n v="179.75"/>
    <x v="2"/>
  </r>
  <r>
    <n v="201"/>
    <n v="1084"/>
    <n v="146"/>
    <n v="8"/>
    <n v="199.6"/>
    <n v="3.54"/>
    <x v="186"/>
    <x v="1"/>
    <x v="28"/>
    <x v="12"/>
    <n v="104.06"/>
    <n v="7.0000000000000007E-2"/>
    <x v="0"/>
    <x v="3"/>
    <n v="170.74"/>
    <n v="1422.52"/>
    <x v="0"/>
  </r>
  <r>
    <n v="202"/>
    <n v="1085"/>
    <n v="17"/>
    <n v="5"/>
    <n v="299.3"/>
    <n v="0"/>
    <x v="187"/>
    <x v="4"/>
    <x v="12"/>
    <x v="15"/>
    <n v="87.96"/>
    <n v="0.06"/>
    <x v="2"/>
    <x v="2"/>
    <n v="43.38"/>
    <n v="1453.12"/>
    <x v="2"/>
  </r>
  <r>
    <n v="203"/>
    <n v="1086"/>
    <n v="124"/>
    <n v="6"/>
    <n v="48.76"/>
    <n v="10.29"/>
    <x v="188"/>
    <x v="0"/>
    <x v="44"/>
    <x v="17"/>
    <n v="104.85"/>
    <n v="0.37"/>
    <x v="1"/>
    <x v="4"/>
    <n v="178.94"/>
    <n v="103.32999999999998"/>
    <x v="1"/>
  </r>
  <r>
    <n v="204"/>
    <n v="1086"/>
    <n v="39"/>
    <n v="1"/>
    <n v="129.30000000000001"/>
    <n v="0"/>
    <x v="110"/>
    <x v="0"/>
    <x v="75"/>
    <x v="17"/>
    <n v="104.85"/>
    <n v="0.81"/>
    <x v="1"/>
    <x v="2"/>
    <n v="42.41"/>
    <n v="86.890000000000015"/>
    <x v="5"/>
  </r>
  <r>
    <n v="205"/>
    <n v="1087"/>
    <n v="141"/>
    <n v="7"/>
    <n v="15.33"/>
    <n v="0"/>
    <x v="189"/>
    <x v="1"/>
    <x v="65"/>
    <x v="6"/>
    <n v="17.77"/>
    <n v="0.17"/>
    <x v="0"/>
    <x v="5"/>
    <n v="149.36000000000001"/>
    <n v="-42.050000000000011"/>
    <x v="2"/>
  </r>
  <r>
    <n v="206"/>
    <n v="1087"/>
    <n v="21"/>
    <n v="8"/>
    <n v="60.07"/>
    <n v="7.22"/>
    <x v="190"/>
    <x v="1"/>
    <x v="119"/>
    <x v="6"/>
    <n v="17.77"/>
    <n v="0.04"/>
    <x v="0"/>
    <x v="1"/>
    <n v="56.36"/>
    <n v="416.97999999999996"/>
    <x v="4"/>
  </r>
  <r>
    <n v="207"/>
    <n v="1088"/>
    <n v="24"/>
    <n v="5"/>
    <n v="20.55"/>
    <n v="0"/>
    <x v="155"/>
    <x v="2"/>
    <x v="101"/>
    <x v="2"/>
    <n v="114.24"/>
    <n v="1.1100000000000001"/>
    <x v="0"/>
    <x v="0"/>
    <n v="61.73"/>
    <n v="41.02"/>
    <x v="6"/>
  </r>
  <r>
    <n v="208"/>
    <n v="1089"/>
    <n v="94"/>
    <n v="8"/>
    <n v="53.67"/>
    <n v="0"/>
    <x v="191"/>
    <x v="1"/>
    <x v="50"/>
    <x v="6"/>
    <n v="26.73"/>
    <n v="0.06"/>
    <x v="0"/>
    <x v="0"/>
    <n v="117.48"/>
    <n v="311.88"/>
    <x v="6"/>
  </r>
  <r>
    <n v="209"/>
    <n v="1089"/>
    <n v="1"/>
    <n v="6"/>
    <n v="84.79"/>
    <n v="0"/>
    <x v="192"/>
    <x v="1"/>
    <x v="120"/>
    <x v="6"/>
    <n v="26.73"/>
    <n v="0.05"/>
    <x v="0"/>
    <x v="3"/>
    <n v="134.77000000000001"/>
    <n v="373.97"/>
    <x v="0"/>
  </r>
  <r>
    <n v="210"/>
    <n v="1089"/>
    <n v="141"/>
    <n v="6"/>
    <n v="15.33"/>
    <n v="0"/>
    <x v="193"/>
    <x v="1"/>
    <x v="65"/>
    <x v="6"/>
    <n v="26.73"/>
    <n v="0.28999999999999998"/>
    <x v="0"/>
    <x v="5"/>
    <n v="149.36000000000001"/>
    <n v="-57.38000000000001"/>
    <x v="2"/>
  </r>
  <r>
    <n v="211"/>
    <n v="1089"/>
    <n v="43"/>
    <n v="8"/>
    <n v="277.02999999999997"/>
    <n v="2.97"/>
    <x v="194"/>
    <x v="1"/>
    <x v="63"/>
    <x v="6"/>
    <n v="26.73"/>
    <n v="0.01"/>
    <x v="0"/>
    <x v="0"/>
    <n v="88.44"/>
    <n v="2124.83"/>
    <x v="6"/>
  </r>
  <r>
    <n v="212"/>
    <n v="1090"/>
    <n v="12"/>
    <n v="2"/>
    <n v="61.57"/>
    <n v="11.81"/>
    <x v="195"/>
    <x v="3"/>
    <x v="35"/>
    <x v="14"/>
    <n v="80.27"/>
    <n v="0.72"/>
    <x v="3"/>
    <x v="5"/>
    <n v="132.6"/>
    <n v="-21.269999999999996"/>
    <x v="7"/>
  </r>
  <r>
    <n v="213"/>
    <n v="1090"/>
    <n v="118"/>
    <n v="3"/>
    <n v="241.69"/>
    <n v="0"/>
    <x v="196"/>
    <x v="3"/>
    <x v="15"/>
    <x v="14"/>
    <n v="80.27"/>
    <n v="0.11"/>
    <x v="3"/>
    <x v="1"/>
    <n v="44.81"/>
    <n v="680.26"/>
    <x v="3"/>
  </r>
  <r>
    <n v="214"/>
    <n v="1090"/>
    <n v="142"/>
    <n v="7"/>
    <n v="192.45"/>
    <n v="12.74"/>
    <x v="197"/>
    <x v="3"/>
    <x v="105"/>
    <x v="14"/>
    <n v="80.27"/>
    <n v="0.06"/>
    <x v="3"/>
    <x v="4"/>
    <n v="95.73"/>
    <n v="1238.6799999999998"/>
    <x v="6"/>
  </r>
  <r>
    <n v="215"/>
    <n v="1090"/>
    <n v="131"/>
    <n v="3"/>
    <n v="57.46"/>
    <n v="0"/>
    <x v="198"/>
    <x v="3"/>
    <x v="117"/>
    <x v="14"/>
    <n v="80.27"/>
    <n v="0.47"/>
    <x v="3"/>
    <x v="1"/>
    <n v="44.34"/>
    <n v="128.04"/>
    <x v="0"/>
  </r>
  <r>
    <n v="216"/>
    <n v="1091"/>
    <n v="116"/>
    <n v="3"/>
    <n v="211.7"/>
    <n v="0"/>
    <x v="199"/>
    <x v="1"/>
    <x v="22"/>
    <x v="7"/>
    <n v="0"/>
    <n v="0"/>
    <x v="2"/>
    <x v="4"/>
    <n v="171.4"/>
    <n v="463.69999999999993"/>
    <x v="0"/>
  </r>
  <r>
    <n v="217"/>
    <n v="1091"/>
    <n v="141"/>
    <n v="6"/>
    <n v="15.33"/>
    <n v="0"/>
    <x v="193"/>
    <x v="1"/>
    <x v="65"/>
    <x v="7"/>
    <n v="0"/>
    <n v="0"/>
    <x v="2"/>
    <x v="5"/>
    <n v="149.36000000000001"/>
    <n v="-57.38000000000001"/>
    <x v="2"/>
  </r>
  <r>
    <n v="218"/>
    <n v="1091"/>
    <n v="52"/>
    <n v="4"/>
    <n v="59.3"/>
    <n v="0"/>
    <x v="200"/>
    <x v="1"/>
    <x v="121"/>
    <x v="7"/>
    <n v="0"/>
    <n v="0"/>
    <x v="2"/>
    <x v="4"/>
    <n v="134.91999999999999"/>
    <n v="102.28"/>
    <x v="0"/>
  </r>
  <r>
    <n v="219"/>
    <n v="1092"/>
    <n v="30"/>
    <n v="6"/>
    <n v="35.229999999999997"/>
    <n v="8.8699999999999992"/>
    <x v="201"/>
    <x v="3"/>
    <x v="9"/>
    <x v="10"/>
    <n v="27.19"/>
    <n v="0.13"/>
    <x v="1"/>
    <x v="0"/>
    <n v="43.54"/>
    <n v="158.97"/>
    <x v="3"/>
  </r>
  <r>
    <n v="220"/>
    <n v="1092"/>
    <n v="137"/>
    <n v="5"/>
    <n v="181.82"/>
    <n v="13.28"/>
    <x v="202"/>
    <x v="3"/>
    <x v="14"/>
    <x v="10"/>
    <n v="27.19"/>
    <n v="0.03"/>
    <x v="1"/>
    <x v="1"/>
    <n v="36.76"/>
    <n v="859.06"/>
    <x v="5"/>
  </r>
  <r>
    <n v="221"/>
    <n v="1092"/>
    <n v="4"/>
    <n v="2"/>
    <n v="94.28"/>
    <n v="0"/>
    <x v="203"/>
    <x v="3"/>
    <x v="79"/>
    <x v="10"/>
    <n v="27.19"/>
    <n v="0.14000000000000001"/>
    <x v="1"/>
    <x v="0"/>
    <n v="83.61"/>
    <n v="104.95"/>
    <x v="2"/>
  </r>
  <r>
    <n v="222"/>
    <n v="1093"/>
    <n v="139"/>
    <n v="1"/>
    <n v="156.21"/>
    <n v="6.02"/>
    <x v="204"/>
    <x v="3"/>
    <x v="13"/>
    <x v="10"/>
    <n v="84.38"/>
    <n v="0.56000000000000005"/>
    <x v="1"/>
    <x v="3"/>
    <n v="77.040000000000006"/>
    <n v="73.149999999999991"/>
    <x v="7"/>
  </r>
  <r>
    <n v="223"/>
    <n v="1093"/>
    <n v="27"/>
    <n v="4"/>
    <n v="165.39"/>
    <n v="11.39"/>
    <x v="205"/>
    <x v="3"/>
    <x v="74"/>
    <x v="10"/>
    <n v="84.38"/>
    <n v="0.13"/>
    <x v="1"/>
    <x v="1"/>
    <n v="33.9"/>
    <n v="616.27"/>
    <x v="5"/>
  </r>
  <r>
    <n v="224"/>
    <n v="1094"/>
    <n v="52"/>
    <n v="8"/>
    <n v="59.3"/>
    <n v="0"/>
    <x v="206"/>
    <x v="1"/>
    <x v="121"/>
    <x v="6"/>
    <n v="17.850000000000001"/>
    <n v="0.04"/>
    <x v="0"/>
    <x v="4"/>
    <n v="134.91999999999999"/>
    <n v="339.48"/>
    <x v="0"/>
  </r>
  <r>
    <n v="225"/>
    <n v="1094"/>
    <n v="140"/>
    <n v="4"/>
    <n v="86.93"/>
    <n v="0"/>
    <x v="207"/>
    <x v="1"/>
    <x v="30"/>
    <x v="6"/>
    <n v="17.850000000000001"/>
    <n v="0.05"/>
    <x v="0"/>
    <x v="3"/>
    <n v="20.41"/>
    <n v="327.31"/>
    <x v="6"/>
  </r>
  <r>
    <n v="226"/>
    <n v="1094"/>
    <n v="76"/>
    <n v="8"/>
    <n v="160.68"/>
    <n v="0"/>
    <x v="136"/>
    <x v="1"/>
    <x v="100"/>
    <x v="6"/>
    <n v="17.850000000000001"/>
    <n v="0.01"/>
    <x v="0"/>
    <x v="3"/>
    <n v="123.23"/>
    <n v="1162.21"/>
    <x v="5"/>
  </r>
  <r>
    <n v="227"/>
    <n v="1095"/>
    <n v="120"/>
    <n v="3"/>
    <n v="229.55"/>
    <n v="0"/>
    <x v="208"/>
    <x v="3"/>
    <x v="26"/>
    <x v="9"/>
    <n v="22.49"/>
    <n v="0.03"/>
    <x v="3"/>
    <x v="0"/>
    <n v="116.63"/>
    <n v="572.0200000000001"/>
    <x v="1"/>
  </r>
  <r>
    <n v="228"/>
    <n v="1095"/>
    <n v="14"/>
    <n v="5"/>
    <n v="33.86"/>
    <n v="0"/>
    <x v="209"/>
    <x v="3"/>
    <x v="37"/>
    <x v="9"/>
    <n v="22.49"/>
    <n v="0.13"/>
    <x v="3"/>
    <x v="4"/>
    <n v="75.2"/>
    <n v="94.100000000000009"/>
    <x v="6"/>
  </r>
  <r>
    <n v="229"/>
    <n v="1095"/>
    <n v="19"/>
    <n v="6"/>
    <n v="298.89"/>
    <n v="0"/>
    <x v="210"/>
    <x v="3"/>
    <x v="53"/>
    <x v="9"/>
    <n v="22.49"/>
    <n v="0.01"/>
    <x v="3"/>
    <x v="3"/>
    <n v="71.78"/>
    <n v="1721.56"/>
    <x v="0"/>
  </r>
  <r>
    <n v="230"/>
    <n v="1096"/>
    <n v="93"/>
    <n v="5"/>
    <n v="277.07"/>
    <n v="4.0599999999999996"/>
    <x v="211"/>
    <x v="3"/>
    <x v="122"/>
    <x v="5"/>
    <n v="48.24"/>
    <n v="0.03"/>
    <x v="1"/>
    <x v="2"/>
    <n v="152.09"/>
    <n v="1229.2"/>
    <x v="2"/>
  </r>
  <r>
    <n v="231"/>
    <n v="1096"/>
    <n v="144"/>
    <n v="1"/>
    <n v="194.56"/>
    <n v="0"/>
    <x v="212"/>
    <x v="3"/>
    <x v="58"/>
    <x v="5"/>
    <n v="48.24"/>
    <n v="0.25"/>
    <x v="1"/>
    <x v="3"/>
    <n v="10.050000000000001"/>
    <n v="184.51"/>
    <x v="5"/>
  </r>
  <r>
    <n v="232"/>
    <n v="1096"/>
    <n v="115"/>
    <n v="4"/>
    <n v="80.7"/>
    <n v="0"/>
    <x v="213"/>
    <x v="3"/>
    <x v="123"/>
    <x v="5"/>
    <n v="48.24"/>
    <n v="0.15"/>
    <x v="1"/>
    <x v="2"/>
    <n v="58.66"/>
    <n v="264.14"/>
    <x v="5"/>
  </r>
  <r>
    <n v="233"/>
    <n v="1097"/>
    <n v="125"/>
    <n v="1"/>
    <n v="273.92"/>
    <n v="0"/>
    <x v="214"/>
    <x v="1"/>
    <x v="124"/>
    <x v="8"/>
    <n v="79"/>
    <n v="0.28999999999999998"/>
    <x v="0"/>
    <x v="0"/>
    <n v="71.569999999999993"/>
    <n v="202.35000000000002"/>
    <x v="3"/>
  </r>
  <r>
    <n v="234"/>
    <n v="1097"/>
    <n v="83"/>
    <n v="2"/>
    <n v="269.23"/>
    <n v="0"/>
    <x v="215"/>
    <x v="1"/>
    <x v="67"/>
    <x v="8"/>
    <n v="79"/>
    <n v="0.15"/>
    <x v="0"/>
    <x v="1"/>
    <n v="147.63"/>
    <n v="390.83000000000004"/>
    <x v="5"/>
  </r>
  <r>
    <n v="235"/>
    <n v="1097"/>
    <n v="138"/>
    <n v="1"/>
    <n v="106.5"/>
    <n v="0"/>
    <x v="216"/>
    <x v="1"/>
    <x v="86"/>
    <x v="8"/>
    <n v="79"/>
    <n v="0.74"/>
    <x v="0"/>
    <x v="3"/>
    <n v="76.459999999999994"/>
    <n v="30.040000000000006"/>
    <x v="5"/>
  </r>
  <r>
    <n v="236"/>
    <n v="1097"/>
    <n v="55"/>
    <n v="7"/>
    <n v="110.06"/>
    <n v="0"/>
    <x v="217"/>
    <x v="1"/>
    <x v="125"/>
    <x v="8"/>
    <n v="79"/>
    <n v="0.1"/>
    <x v="0"/>
    <x v="3"/>
    <n v="12.72"/>
    <n v="757.7"/>
    <x v="2"/>
  </r>
  <r>
    <n v="237"/>
    <n v="1098"/>
    <n v="19"/>
    <n v="1"/>
    <n v="298.89"/>
    <n v="0"/>
    <x v="218"/>
    <x v="2"/>
    <x v="53"/>
    <x v="13"/>
    <n v="99.31"/>
    <n v="0.33"/>
    <x v="3"/>
    <x v="3"/>
    <n v="71.78"/>
    <n v="227.10999999999999"/>
    <x v="0"/>
  </r>
  <r>
    <n v="238"/>
    <n v="1099"/>
    <n v="31"/>
    <n v="1"/>
    <n v="35.19"/>
    <n v="0"/>
    <x v="108"/>
    <x v="2"/>
    <x v="84"/>
    <x v="2"/>
    <n v="58.98"/>
    <n v="1.68"/>
    <x v="3"/>
    <x v="1"/>
    <n v="155.44"/>
    <n v="-120.25"/>
    <x v="0"/>
  </r>
  <r>
    <n v="239"/>
    <n v="1099"/>
    <n v="150"/>
    <n v="1"/>
    <n v="100.09"/>
    <n v="0"/>
    <x v="219"/>
    <x v="2"/>
    <x v="54"/>
    <x v="2"/>
    <n v="58.98"/>
    <n v="0.59"/>
    <x v="3"/>
    <x v="3"/>
    <n v="54.5"/>
    <n v="45.59"/>
    <x v="1"/>
  </r>
  <r>
    <n v="240"/>
    <n v="1099"/>
    <n v="92"/>
    <n v="2"/>
    <n v="23.27"/>
    <n v="0"/>
    <x v="220"/>
    <x v="2"/>
    <x v="91"/>
    <x v="2"/>
    <n v="58.98"/>
    <n v="1.27"/>
    <x v="3"/>
    <x v="1"/>
    <n v="81.27"/>
    <n v="-34.729999999999997"/>
    <x v="3"/>
  </r>
  <r>
    <n v="241"/>
    <n v="1099"/>
    <n v="23"/>
    <n v="5"/>
    <n v="58.56"/>
    <n v="11.71"/>
    <x v="221"/>
    <x v="2"/>
    <x v="66"/>
    <x v="2"/>
    <n v="58.98"/>
    <n v="0.21"/>
    <x v="3"/>
    <x v="0"/>
    <n v="111.57"/>
    <n v="169.52000000000004"/>
    <x v="1"/>
  </r>
  <r>
    <n v="242"/>
    <n v="1100"/>
    <n v="3"/>
    <n v="3"/>
    <n v="22.56"/>
    <n v="0"/>
    <x v="222"/>
    <x v="1"/>
    <x v="34"/>
    <x v="1"/>
    <n v="20.52"/>
    <n v="0.3"/>
    <x v="1"/>
    <x v="3"/>
    <n v="93.44"/>
    <n v="-25.760000000000005"/>
    <x v="3"/>
  </r>
  <r>
    <n v="243"/>
    <n v="1100"/>
    <n v="147"/>
    <n v="7"/>
    <n v="133.41"/>
    <n v="0"/>
    <x v="223"/>
    <x v="1"/>
    <x v="8"/>
    <x v="1"/>
    <n v="20.52"/>
    <n v="0.02"/>
    <x v="1"/>
    <x v="0"/>
    <n v="128.44999999999999"/>
    <n v="805.42000000000007"/>
    <x v="1"/>
  </r>
  <r>
    <n v="244"/>
    <n v="1100"/>
    <n v="79"/>
    <n v="4"/>
    <n v="234.02"/>
    <n v="0"/>
    <x v="224"/>
    <x v="1"/>
    <x v="25"/>
    <x v="1"/>
    <n v="20.52"/>
    <n v="0.02"/>
    <x v="1"/>
    <x v="5"/>
    <n v="111.97"/>
    <n v="824.11"/>
    <x v="3"/>
  </r>
  <r>
    <n v="245"/>
    <n v="1101"/>
    <n v="141"/>
    <n v="8"/>
    <n v="15.33"/>
    <n v="0"/>
    <x v="225"/>
    <x v="0"/>
    <x v="65"/>
    <x v="17"/>
    <n v="33.08"/>
    <n v="0.27"/>
    <x v="1"/>
    <x v="5"/>
    <n v="149.36000000000001"/>
    <n v="-26.720000000000013"/>
    <x v="2"/>
  </r>
  <r>
    <n v="246"/>
    <n v="1102"/>
    <n v="26"/>
    <n v="5"/>
    <n v="166.82"/>
    <n v="0"/>
    <x v="226"/>
    <x v="2"/>
    <x v="126"/>
    <x v="12"/>
    <n v="69.760000000000005"/>
    <n v="0.08"/>
    <x v="1"/>
    <x v="5"/>
    <n v="176.15"/>
    <n v="657.94999999999993"/>
    <x v="5"/>
  </r>
  <r>
    <n v="247"/>
    <n v="1102"/>
    <n v="82"/>
    <n v="8"/>
    <n v="243.4"/>
    <n v="0"/>
    <x v="227"/>
    <x v="2"/>
    <x v="27"/>
    <x v="12"/>
    <n v="69.760000000000005"/>
    <n v="0.04"/>
    <x v="1"/>
    <x v="5"/>
    <n v="84.88"/>
    <n v="1862.3200000000002"/>
    <x v="3"/>
  </r>
  <r>
    <n v="248"/>
    <n v="1103"/>
    <n v="71"/>
    <n v="6"/>
    <n v="277.42"/>
    <n v="0"/>
    <x v="228"/>
    <x v="1"/>
    <x v="90"/>
    <x v="6"/>
    <n v="88.38"/>
    <n v="0.05"/>
    <x v="1"/>
    <x v="2"/>
    <n v="171.05"/>
    <n v="1493.47"/>
    <x v="2"/>
  </r>
  <r>
    <n v="249"/>
    <n v="1103"/>
    <n v="123"/>
    <n v="8"/>
    <n v="210.64"/>
    <n v="0"/>
    <x v="229"/>
    <x v="1"/>
    <x v="127"/>
    <x v="6"/>
    <n v="88.38"/>
    <n v="0.05"/>
    <x v="1"/>
    <x v="4"/>
    <n v="105.98"/>
    <n v="1579.1399999999999"/>
    <x v="5"/>
  </r>
  <r>
    <n v="250"/>
    <n v="1103"/>
    <n v="125"/>
    <n v="2"/>
    <n v="273.92"/>
    <n v="0"/>
    <x v="230"/>
    <x v="1"/>
    <x v="124"/>
    <x v="6"/>
    <n v="88.38"/>
    <n v="0.16"/>
    <x v="1"/>
    <x v="0"/>
    <n v="71.569999999999993"/>
    <n v="476.27000000000004"/>
    <x v="3"/>
  </r>
  <r>
    <n v="251"/>
    <n v="1103"/>
    <n v="72"/>
    <n v="3"/>
    <n v="205.06"/>
    <n v="0"/>
    <x v="231"/>
    <x v="1"/>
    <x v="80"/>
    <x v="6"/>
    <n v="88.38"/>
    <n v="0.14000000000000001"/>
    <x v="1"/>
    <x v="1"/>
    <n v="93.75"/>
    <n v="521.43000000000006"/>
    <x v="0"/>
  </r>
  <r>
    <n v="252"/>
    <n v="1104"/>
    <n v="140"/>
    <n v="8"/>
    <n v="86.93"/>
    <n v="0"/>
    <x v="31"/>
    <x v="2"/>
    <x v="30"/>
    <x v="2"/>
    <n v="5.23"/>
    <n v="0.01"/>
    <x v="1"/>
    <x v="3"/>
    <n v="20.41"/>
    <n v="675.03000000000009"/>
    <x v="6"/>
  </r>
  <r>
    <n v="253"/>
    <n v="1104"/>
    <n v="94"/>
    <n v="7"/>
    <n v="53.67"/>
    <n v="0"/>
    <x v="232"/>
    <x v="2"/>
    <x v="50"/>
    <x v="2"/>
    <n v="5.23"/>
    <n v="0.01"/>
    <x v="1"/>
    <x v="0"/>
    <n v="117.48"/>
    <n v="258.20999999999998"/>
    <x v="6"/>
  </r>
  <r>
    <n v="254"/>
    <n v="1104"/>
    <n v="35"/>
    <n v="8"/>
    <n v="46.14"/>
    <n v="0"/>
    <x v="2"/>
    <x v="2"/>
    <x v="2"/>
    <x v="2"/>
    <n v="5.23"/>
    <n v="0.01"/>
    <x v="1"/>
    <x v="1"/>
    <n v="145.1"/>
    <n v="224.02"/>
    <x v="2"/>
  </r>
  <r>
    <n v="255"/>
    <n v="1105"/>
    <n v="124"/>
    <n v="6"/>
    <n v="48.76"/>
    <n v="1.57"/>
    <x v="233"/>
    <x v="3"/>
    <x v="44"/>
    <x v="10"/>
    <n v="64.069999999999993"/>
    <n v="0.22"/>
    <x v="1"/>
    <x v="4"/>
    <n v="178.94"/>
    <n v="112.05000000000001"/>
    <x v="1"/>
  </r>
  <r>
    <n v="256"/>
    <n v="1105"/>
    <n v="60"/>
    <n v="2"/>
    <n v="115.8"/>
    <n v="0"/>
    <x v="234"/>
    <x v="3"/>
    <x v="18"/>
    <x v="10"/>
    <n v="64.069999999999993"/>
    <n v="0.28000000000000003"/>
    <x v="1"/>
    <x v="0"/>
    <n v="121.71"/>
    <n v="109.89"/>
    <x v="3"/>
  </r>
  <r>
    <n v="257"/>
    <n v="1106"/>
    <n v="134"/>
    <n v="5"/>
    <n v="26.36"/>
    <n v="0"/>
    <x v="235"/>
    <x v="0"/>
    <x v="85"/>
    <x v="3"/>
    <n v="24.17"/>
    <n v="0.18"/>
    <x v="1"/>
    <x v="0"/>
    <n v="19.079999999999998"/>
    <n v="112.72000000000001"/>
    <x v="5"/>
  </r>
  <r>
    <n v="258"/>
    <n v="1107"/>
    <n v="91"/>
    <n v="6"/>
    <n v="170.65"/>
    <n v="7.82"/>
    <x v="236"/>
    <x v="1"/>
    <x v="32"/>
    <x v="7"/>
    <n v="98.1"/>
    <n v="0.1"/>
    <x v="1"/>
    <x v="1"/>
    <n v="135.82"/>
    <n v="880.26"/>
    <x v="2"/>
  </r>
  <r>
    <n v="259"/>
    <n v="1107"/>
    <n v="2"/>
    <n v="3"/>
    <n v="135.25"/>
    <n v="0"/>
    <x v="237"/>
    <x v="1"/>
    <x v="59"/>
    <x v="7"/>
    <n v="98.1"/>
    <n v="0.24"/>
    <x v="1"/>
    <x v="3"/>
    <n v="20.21"/>
    <n v="385.54"/>
    <x v="0"/>
  </r>
  <r>
    <n v="260"/>
    <n v="1107"/>
    <n v="20"/>
    <n v="5"/>
    <n v="168.04"/>
    <n v="0"/>
    <x v="238"/>
    <x v="1"/>
    <x v="7"/>
    <x v="7"/>
    <n v="98.1"/>
    <n v="0.12"/>
    <x v="1"/>
    <x v="3"/>
    <n v="124.3"/>
    <n v="715.9"/>
    <x v="6"/>
  </r>
  <r>
    <n v="261"/>
    <n v="1107"/>
    <n v="41"/>
    <n v="6"/>
    <n v="153.69999999999999"/>
    <n v="0"/>
    <x v="239"/>
    <x v="1"/>
    <x v="118"/>
    <x v="7"/>
    <n v="98.1"/>
    <n v="0.11"/>
    <x v="1"/>
    <x v="0"/>
    <n v="120.83"/>
    <n v="801.36999999999989"/>
    <x v="2"/>
  </r>
  <r>
    <n v="262"/>
    <n v="1108"/>
    <n v="6"/>
    <n v="4"/>
    <n v="256.54000000000002"/>
    <n v="0"/>
    <x v="240"/>
    <x v="3"/>
    <x v="10"/>
    <x v="5"/>
    <n v="29.12"/>
    <n v="0.03"/>
    <x v="1"/>
    <x v="3"/>
    <n v="21.93"/>
    <n v="1004.2300000000001"/>
    <x v="0"/>
  </r>
  <r>
    <n v="263"/>
    <n v="1108"/>
    <n v="35"/>
    <n v="1"/>
    <n v="46.14"/>
    <n v="0"/>
    <x v="241"/>
    <x v="3"/>
    <x v="2"/>
    <x v="5"/>
    <n v="29.12"/>
    <n v="0.63"/>
    <x v="1"/>
    <x v="1"/>
    <n v="145.1"/>
    <n v="-98.96"/>
    <x v="2"/>
  </r>
  <r>
    <n v="264"/>
    <n v="1108"/>
    <n v="15"/>
    <n v="3"/>
    <n v="198.21"/>
    <n v="0"/>
    <x v="242"/>
    <x v="3"/>
    <x v="93"/>
    <x v="5"/>
    <n v="29.12"/>
    <n v="0.05"/>
    <x v="1"/>
    <x v="3"/>
    <n v="159.82"/>
    <n v="434.81"/>
    <x v="5"/>
  </r>
  <r>
    <n v="265"/>
    <n v="1108"/>
    <n v="133"/>
    <n v="7"/>
    <n v="214.42"/>
    <n v="0"/>
    <x v="243"/>
    <x v="3"/>
    <x v="128"/>
    <x v="5"/>
    <n v="29.12"/>
    <n v="0.02"/>
    <x v="1"/>
    <x v="5"/>
    <n v="125.52"/>
    <n v="1375.4199999999998"/>
    <x v="0"/>
  </r>
  <r>
    <n v="266"/>
    <n v="1109"/>
    <n v="131"/>
    <n v="5"/>
    <n v="57.46"/>
    <n v="0"/>
    <x v="244"/>
    <x v="3"/>
    <x v="117"/>
    <x v="5"/>
    <n v="27.47"/>
    <n v="0.1"/>
    <x v="0"/>
    <x v="1"/>
    <n v="44.34"/>
    <n v="242.96"/>
    <x v="0"/>
  </r>
  <r>
    <n v="267"/>
    <n v="1109"/>
    <n v="117"/>
    <n v="2"/>
    <n v="293.33"/>
    <n v="4.22"/>
    <x v="245"/>
    <x v="3"/>
    <x v="70"/>
    <x v="5"/>
    <n v="27.47"/>
    <n v="0.05"/>
    <x v="0"/>
    <x v="0"/>
    <n v="131.80000000000001"/>
    <n v="450.63999999999993"/>
    <x v="5"/>
  </r>
  <r>
    <n v="268"/>
    <n v="1110"/>
    <n v="137"/>
    <n v="2"/>
    <n v="181.82"/>
    <n v="0"/>
    <x v="246"/>
    <x v="0"/>
    <x v="14"/>
    <x v="17"/>
    <n v="108.05"/>
    <n v="0.3"/>
    <x v="2"/>
    <x v="1"/>
    <n v="36.76"/>
    <n v="326.88"/>
    <x v="5"/>
  </r>
  <r>
    <n v="269"/>
    <n v="1111"/>
    <n v="59"/>
    <n v="8"/>
    <n v="201.6"/>
    <n v="0"/>
    <x v="247"/>
    <x v="2"/>
    <x v="102"/>
    <x v="2"/>
    <n v="0"/>
    <n v="0"/>
    <x v="0"/>
    <x v="5"/>
    <n v="162.32"/>
    <n v="1450.48"/>
    <x v="1"/>
  </r>
  <r>
    <n v="270"/>
    <n v="1111"/>
    <n v="109"/>
    <n v="3"/>
    <n v="257.52"/>
    <n v="0"/>
    <x v="92"/>
    <x v="2"/>
    <x v="73"/>
    <x v="2"/>
    <n v="0"/>
    <n v="0"/>
    <x v="0"/>
    <x v="0"/>
    <n v="10.02"/>
    <n v="762.54"/>
    <x v="2"/>
  </r>
  <r>
    <n v="271"/>
    <n v="1111"/>
    <n v="22"/>
    <n v="5"/>
    <n v="159.69"/>
    <n v="9.3800000000000008"/>
    <x v="248"/>
    <x v="2"/>
    <x v="43"/>
    <x v="2"/>
    <n v="0"/>
    <n v="0"/>
    <x v="0"/>
    <x v="4"/>
    <n v="138.34"/>
    <n v="650.73"/>
    <x v="1"/>
  </r>
  <r>
    <n v="272"/>
    <n v="1111"/>
    <n v="66"/>
    <n v="4"/>
    <n v="94.55"/>
    <n v="0"/>
    <x v="249"/>
    <x v="2"/>
    <x v="29"/>
    <x v="2"/>
    <n v="0"/>
    <n v="0"/>
    <x v="0"/>
    <x v="1"/>
    <n v="174.21"/>
    <n v="203.98999999999998"/>
    <x v="1"/>
  </r>
  <r>
    <n v="273"/>
    <n v="1112"/>
    <n v="81"/>
    <n v="7"/>
    <n v="244.17"/>
    <n v="0"/>
    <x v="250"/>
    <x v="0"/>
    <x v="47"/>
    <x v="17"/>
    <n v="35.97"/>
    <n v="0.02"/>
    <x v="0"/>
    <x v="4"/>
    <n v="43.3"/>
    <n v="1665.8899999999999"/>
    <x v="0"/>
  </r>
  <r>
    <n v="274"/>
    <n v="1112"/>
    <n v="110"/>
    <n v="5"/>
    <n v="112"/>
    <n v="4.66"/>
    <x v="251"/>
    <x v="0"/>
    <x v="72"/>
    <x v="17"/>
    <n v="35.97"/>
    <n v="0.06"/>
    <x v="0"/>
    <x v="0"/>
    <n v="144.62"/>
    <n v="410.72"/>
    <x v="3"/>
  </r>
  <r>
    <n v="275"/>
    <n v="1113"/>
    <n v="65"/>
    <n v="5"/>
    <n v="203.11"/>
    <n v="9.09"/>
    <x v="252"/>
    <x v="4"/>
    <x v="52"/>
    <x v="15"/>
    <n v="111.4"/>
    <n v="0.11"/>
    <x v="3"/>
    <x v="1"/>
    <n v="44.01"/>
    <n v="962.45"/>
    <x v="1"/>
  </r>
  <r>
    <n v="276"/>
    <n v="1113"/>
    <n v="36"/>
    <n v="2"/>
    <n v="94.39"/>
    <n v="11.47"/>
    <x v="253"/>
    <x v="4"/>
    <x v="116"/>
    <x v="15"/>
    <n v="111.4"/>
    <n v="0.63"/>
    <x v="3"/>
    <x v="0"/>
    <n v="78.83"/>
    <n v="98.48"/>
    <x v="5"/>
  </r>
  <r>
    <n v="277"/>
    <n v="1113"/>
    <n v="42"/>
    <n v="2"/>
    <n v="169.53"/>
    <n v="4"/>
    <x v="254"/>
    <x v="4"/>
    <x v="109"/>
    <x v="15"/>
    <n v="111.4"/>
    <n v="0.33"/>
    <x v="3"/>
    <x v="3"/>
    <n v="106.36"/>
    <n v="228.7"/>
    <x v="3"/>
  </r>
  <r>
    <n v="278"/>
    <n v="1113"/>
    <n v="87"/>
    <n v="1"/>
    <n v="124.17"/>
    <n v="0"/>
    <x v="255"/>
    <x v="4"/>
    <x v="129"/>
    <x v="15"/>
    <n v="111.4"/>
    <n v="0.9"/>
    <x v="3"/>
    <x v="5"/>
    <n v="31.4"/>
    <n v="92.77000000000001"/>
    <x v="0"/>
  </r>
  <r>
    <n v="279"/>
    <n v="1114"/>
    <n v="103"/>
    <n v="5"/>
    <n v="241.92"/>
    <n v="0"/>
    <x v="256"/>
    <x v="2"/>
    <x v="4"/>
    <x v="4"/>
    <n v="94.44"/>
    <n v="0.08"/>
    <x v="0"/>
    <x v="0"/>
    <n v="145.97"/>
    <n v="1063.6299999999999"/>
    <x v="1"/>
  </r>
  <r>
    <n v="280"/>
    <n v="1114"/>
    <n v="45"/>
    <n v="8"/>
    <n v="184.44"/>
    <n v="0"/>
    <x v="257"/>
    <x v="2"/>
    <x v="0"/>
    <x v="4"/>
    <n v="94.44"/>
    <n v="0.06"/>
    <x v="0"/>
    <x v="0"/>
    <n v="48.09"/>
    <n v="1427.43"/>
    <x v="0"/>
  </r>
  <r>
    <n v="281"/>
    <n v="1114"/>
    <n v="133"/>
    <n v="5"/>
    <n v="214.42"/>
    <n v="0"/>
    <x v="258"/>
    <x v="2"/>
    <x v="128"/>
    <x v="4"/>
    <n v="94.44"/>
    <n v="0.09"/>
    <x v="0"/>
    <x v="5"/>
    <n v="125.52"/>
    <n v="946.57999999999993"/>
    <x v="0"/>
  </r>
  <r>
    <n v="282"/>
    <n v="1114"/>
    <n v="44"/>
    <n v="1"/>
    <n v="34.369999999999997"/>
    <n v="0"/>
    <x v="259"/>
    <x v="2"/>
    <x v="64"/>
    <x v="4"/>
    <n v="94.44"/>
    <n v="2.75"/>
    <x v="0"/>
    <x v="2"/>
    <n v="16.989999999999998"/>
    <n v="17.38"/>
    <x v="0"/>
  </r>
  <r>
    <n v="283"/>
    <n v="1115"/>
    <n v="24"/>
    <n v="5"/>
    <n v="20.55"/>
    <n v="0"/>
    <x v="155"/>
    <x v="3"/>
    <x v="101"/>
    <x v="14"/>
    <n v="74.34"/>
    <n v="0.72"/>
    <x v="0"/>
    <x v="0"/>
    <n v="61.73"/>
    <n v="41.02"/>
    <x v="6"/>
  </r>
  <r>
    <n v="284"/>
    <n v="1116"/>
    <n v="129"/>
    <n v="5"/>
    <n v="95.57"/>
    <n v="0"/>
    <x v="260"/>
    <x v="3"/>
    <x v="104"/>
    <x v="9"/>
    <n v="98.33"/>
    <n v="0.21"/>
    <x v="0"/>
    <x v="3"/>
    <n v="55.42"/>
    <n v="422.42999999999995"/>
    <x v="6"/>
  </r>
  <r>
    <n v="285"/>
    <n v="1117"/>
    <n v="8"/>
    <n v="8"/>
    <n v="118.07"/>
    <n v="0"/>
    <x v="261"/>
    <x v="4"/>
    <x v="39"/>
    <x v="15"/>
    <n v="12.82"/>
    <n v="0.01"/>
    <x v="3"/>
    <x v="1"/>
    <n v="159.94999999999999"/>
    <n v="784.6099999999999"/>
    <x v="1"/>
  </r>
  <r>
    <n v="286"/>
    <n v="1117"/>
    <n v="98"/>
    <n v="4"/>
    <n v="285.64"/>
    <n v="0"/>
    <x v="262"/>
    <x v="4"/>
    <x v="130"/>
    <x v="15"/>
    <n v="12.82"/>
    <n v="0.01"/>
    <x v="3"/>
    <x v="3"/>
    <n v="136.99"/>
    <n v="1005.5699999999999"/>
    <x v="0"/>
  </r>
  <r>
    <n v="287"/>
    <n v="1117"/>
    <n v="81"/>
    <n v="7"/>
    <n v="244.17"/>
    <n v="0"/>
    <x v="250"/>
    <x v="4"/>
    <x v="47"/>
    <x v="15"/>
    <n v="12.82"/>
    <n v="0.01"/>
    <x v="3"/>
    <x v="4"/>
    <n v="43.3"/>
    <n v="1665.8899999999999"/>
    <x v="0"/>
  </r>
  <r>
    <n v="288"/>
    <n v="1117"/>
    <n v="68"/>
    <n v="4"/>
    <n v="138.85"/>
    <n v="5.0199999999999996"/>
    <x v="263"/>
    <x v="4"/>
    <x v="61"/>
    <x v="15"/>
    <n v="12.82"/>
    <n v="0.02"/>
    <x v="3"/>
    <x v="2"/>
    <n v="23.97"/>
    <n v="526.41"/>
    <x v="1"/>
  </r>
  <r>
    <n v="289"/>
    <n v="1118"/>
    <n v="128"/>
    <n v="4"/>
    <n v="143.38999999999999"/>
    <n v="0"/>
    <x v="179"/>
    <x v="3"/>
    <x v="51"/>
    <x v="5"/>
    <n v="94.36"/>
    <n v="0.16"/>
    <x v="3"/>
    <x v="2"/>
    <n v="5.47"/>
    <n v="568.08999999999992"/>
    <x v="0"/>
  </r>
  <r>
    <n v="290"/>
    <n v="1118"/>
    <n v="68"/>
    <n v="4"/>
    <n v="138.85"/>
    <n v="0"/>
    <x v="264"/>
    <x v="3"/>
    <x v="61"/>
    <x v="5"/>
    <n v="94.36"/>
    <n v="0.17"/>
    <x v="3"/>
    <x v="2"/>
    <n v="23.97"/>
    <n v="531.42999999999995"/>
    <x v="1"/>
  </r>
  <r>
    <n v="291"/>
    <n v="1119"/>
    <n v="81"/>
    <n v="8"/>
    <n v="244.17"/>
    <n v="0"/>
    <x v="265"/>
    <x v="0"/>
    <x v="47"/>
    <x v="19"/>
    <n v="59.49"/>
    <n v="0.03"/>
    <x v="0"/>
    <x v="4"/>
    <n v="43.3"/>
    <n v="1910.06"/>
    <x v="0"/>
  </r>
  <r>
    <n v="292"/>
    <n v="1119"/>
    <n v="126"/>
    <n v="3"/>
    <n v="32.17"/>
    <n v="0"/>
    <x v="266"/>
    <x v="0"/>
    <x v="107"/>
    <x v="19"/>
    <n v="59.49"/>
    <n v="0.62"/>
    <x v="0"/>
    <x v="3"/>
    <n v="104.51"/>
    <n v="-8"/>
    <x v="2"/>
  </r>
  <r>
    <n v="293"/>
    <n v="1119"/>
    <n v="102"/>
    <n v="4"/>
    <n v="71.52"/>
    <n v="0"/>
    <x v="267"/>
    <x v="0"/>
    <x v="95"/>
    <x v="19"/>
    <n v="59.49"/>
    <n v="0.21"/>
    <x v="0"/>
    <x v="2"/>
    <n v="169.76"/>
    <n v="116.32"/>
    <x v="2"/>
  </r>
  <r>
    <n v="294"/>
    <n v="1120"/>
    <n v="81"/>
    <n v="1"/>
    <n v="244.17"/>
    <n v="0"/>
    <x v="169"/>
    <x v="3"/>
    <x v="47"/>
    <x v="9"/>
    <n v="46.35"/>
    <n v="0.19"/>
    <x v="0"/>
    <x v="4"/>
    <n v="43.3"/>
    <n v="200.87"/>
    <x v="0"/>
  </r>
  <r>
    <n v="295"/>
    <n v="1120"/>
    <n v="98"/>
    <n v="2"/>
    <n v="285.64"/>
    <n v="0"/>
    <x v="268"/>
    <x v="3"/>
    <x v="130"/>
    <x v="9"/>
    <n v="46.35"/>
    <n v="0.08"/>
    <x v="0"/>
    <x v="3"/>
    <n v="136.99"/>
    <n v="434.28999999999996"/>
    <x v="0"/>
  </r>
  <r>
    <n v="296"/>
    <n v="1120"/>
    <n v="48"/>
    <n v="5"/>
    <n v="299.56"/>
    <n v="4.32"/>
    <x v="269"/>
    <x v="3"/>
    <x v="62"/>
    <x v="9"/>
    <n v="46.35"/>
    <n v="0.03"/>
    <x v="0"/>
    <x v="1"/>
    <n v="85.2"/>
    <n v="1408.28"/>
    <x v="0"/>
  </r>
  <r>
    <n v="297"/>
    <n v="1120"/>
    <n v="88"/>
    <n v="6"/>
    <n v="109.3"/>
    <n v="3.57"/>
    <x v="270"/>
    <x v="3"/>
    <x v="38"/>
    <x v="9"/>
    <n v="46.35"/>
    <n v="7.0000000000000007E-2"/>
    <x v="0"/>
    <x v="1"/>
    <n v="77.599999999999994"/>
    <n v="574.62999999999988"/>
    <x v="3"/>
  </r>
  <r>
    <n v="298"/>
    <n v="1121"/>
    <n v="70"/>
    <n v="4"/>
    <n v="244.86"/>
    <n v="8.77"/>
    <x v="271"/>
    <x v="3"/>
    <x v="131"/>
    <x v="10"/>
    <n v="531.84"/>
    <n v="0.55000000000000004"/>
    <x v="1"/>
    <x v="4"/>
    <n v="95.99"/>
    <n v="874.68000000000006"/>
    <x v="2"/>
  </r>
  <r>
    <n v="299"/>
    <n v="1122"/>
    <n v="102"/>
    <n v="2"/>
    <n v="71.52"/>
    <n v="0"/>
    <x v="129"/>
    <x v="1"/>
    <x v="95"/>
    <x v="1"/>
    <n v="0"/>
    <n v="0"/>
    <x v="0"/>
    <x v="2"/>
    <n v="169.76"/>
    <n v="-26.72"/>
    <x v="2"/>
  </r>
  <r>
    <n v="300"/>
    <n v="1123"/>
    <n v="86"/>
    <n v="5"/>
    <n v="81.83"/>
    <n v="0"/>
    <x v="272"/>
    <x v="1"/>
    <x v="132"/>
    <x v="7"/>
    <n v="75.180000000000007"/>
    <n v="0.18"/>
    <x v="1"/>
    <x v="0"/>
    <n v="129.87"/>
    <n v="279.27999999999997"/>
    <x v="5"/>
  </r>
  <r>
    <n v="301"/>
    <n v="1123"/>
    <n v="89"/>
    <n v="1"/>
    <n v="126"/>
    <n v="0"/>
    <x v="273"/>
    <x v="1"/>
    <x v="92"/>
    <x v="7"/>
    <n v="75.180000000000007"/>
    <n v="0.6"/>
    <x v="1"/>
    <x v="3"/>
    <n v="150.76"/>
    <n v="-24.759999999999991"/>
    <x v="6"/>
  </r>
  <r>
    <n v="302"/>
    <n v="1123"/>
    <n v="51"/>
    <n v="3"/>
    <n v="204.07"/>
    <n v="0"/>
    <x v="274"/>
    <x v="1"/>
    <x v="133"/>
    <x v="7"/>
    <n v="75.180000000000007"/>
    <n v="0.12"/>
    <x v="1"/>
    <x v="3"/>
    <n v="57.39"/>
    <n v="554.82000000000005"/>
    <x v="6"/>
  </r>
  <r>
    <n v="303"/>
    <n v="1123"/>
    <n v="91"/>
    <n v="6"/>
    <n v="170.65"/>
    <n v="10.42"/>
    <x v="275"/>
    <x v="1"/>
    <x v="32"/>
    <x v="7"/>
    <n v="75.180000000000007"/>
    <n v="7.0000000000000007E-2"/>
    <x v="1"/>
    <x v="1"/>
    <n v="135.82"/>
    <n v="877.66000000000008"/>
    <x v="2"/>
  </r>
  <r>
    <n v="304"/>
    <n v="1124"/>
    <n v="19"/>
    <n v="2"/>
    <n v="298.89"/>
    <n v="0"/>
    <x v="276"/>
    <x v="2"/>
    <x v="53"/>
    <x v="2"/>
    <n v="80.790000000000006"/>
    <n v="0.14000000000000001"/>
    <x v="0"/>
    <x v="3"/>
    <n v="71.78"/>
    <n v="526"/>
    <x v="0"/>
  </r>
  <r>
    <n v="305"/>
    <n v="1124"/>
    <n v="81"/>
    <n v="6"/>
    <n v="244.17"/>
    <n v="0"/>
    <x v="277"/>
    <x v="2"/>
    <x v="47"/>
    <x v="2"/>
    <n v="80.790000000000006"/>
    <n v="0.06"/>
    <x v="0"/>
    <x v="4"/>
    <n v="43.3"/>
    <n v="1421.72"/>
    <x v="0"/>
  </r>
  <r>
    <n v="306"/>
    <n v="1124"/>
    <n v="102"/>
    <n v="5"/>
    <n v="71.52"/>
    <n v="0"/>
    <x v="278"/>
    <x v="2"/>
    <x v="95"/>
    <x v="2"/>
    <n v="80.790000000000006"/>
    <n v="0.23"/>
    <x v="0"/>
    <x v="2"/>
    <n v="169.76"/>
    <n v="187.83999999999997"/>
    <x v="2"/>
  </r>
  <r>
    <n v="307"/>
    <n v="1124"/>
    <n v="134"/>
    <n v="8"/>
    <n v="26.36"/>
    <n v="0"/>
    <x v="279"/>
    <x v="2"/>
    <x v="85"/>
    <x v="2"/>
    <n v="80.790000000000006"/>
    <n v="0.38"/>
    <x v="0"/>
    <x v="0"/>
    <n v="19.079999999999998"/>
    <n v="191.8"/>
    <x v="5"/>
  </r>
  <r>
    <n v="308"/>
    <n v="1125"/>
    <n v="122"/>
    <n v="1"/>
    <n v="151.15"/>
    <n v="1.37"/>
    <x v="280"/>
    <x v="3"/>
    <x v="103"/>
    <x v="9"/>
    <n v="34.44"/>
    <n v="0.23"/>
    <x v="0"/>
    <x v="3"/>
    <n v="169.69"/>
    <n v="-19.909999999999997"/>
    <x v="6"/>
  </r>
  <r>
    <n v="309"/>
    <n v="1126"/>
    <n v="33"/>
    <n v="3"/>
    <n v="42.63"/>
    <n v="0"/>
    <x v="281"/>
    <x v="3"/>
    <x v="97"/>
    <x v="5"/>
    <n v="77.2"/>
    <n v="0.6"/>
    <x v="1"/>
    <x v="3"/>
    <n v="38.32"/>
    <n v="89.570000000000022"/>
    <x v="5"/>
  </r>
  <r>
    <n v="310"/>
    <n v="1126"/>
    <n v="8"/>
    <n v="1"/>
    <n v="118.07"/>
    <n v="0"/>
    <x v="282"/>
    <x v="3"/>
    <x v="39"/>
    <x v="5"/>
    <n v="77.2"/>
    <n v="0.65"/>
    <x v="1"/>
    <x v="1"/>
    <n v="159.94999999999999"/>
    <n v="-41.879999999999995"/>
    <x v="1"/>
  </r>
  <r>
    <n v="311"/>
    <n v="1126"/>
    <n v="122"/>
    <n v="8"/>
    <n v="151.15"/>
    <n v="0"/>
    <x v="283"/>
    <x v="3"/>
    <x v="103"/>
    <x v="5"/>
    <n v="77.2"/>
    <n v="0.06"/>
    <x v="1"/>
    <x v="3"/>
    <n v="169.69"/>
    <n v="1039.51"/>
    <x v="6"/>
  </r>
  <r>
    <n v="312"/>
    <n v="1126"/>
    <n v="141"/>
    <n v="8"/>
    <n v="15.33"/>
    <n v="0"/>
    <x v="225"/>
    <x v="3"/>
    <x v="65"/>
    <x v="5"/>
    <n v="77.2"/>
    <n v="0.63"/>
    <x v="1"/>
    <x v="5"/>
    <n v="149.36000000000001"/>
    <n v="-26.720000000000013"/>
    <x v="2"/>
  </r>
  <r>
    <n v="313"/>
    <n v="1127"/>
    <n v="23"/>
    <n v="8"/>
    <n v="58.56"/>
    <n v="5.31"/>
    <x v="284"/>
    <x v="1"/>
    <x v="66"/>
    <x v="1"/>
    <n v="0"/>
    <n v="0"/>
    <x v="2"/>
    <x v="0"/>
    <n v="111.57"/>
    <n v="351.6"/>
    <x v="1"/>
  </r>
  <r>
    <n v="314"/>
    <n v="1127"/>
    <n v="67"/>
    <n v="3"/>
    <n v="291.56"/>
    <n v="0"/>
    <x v="285"/>
    <x v="1"/>
    <x v="5"/>
    <x v="1"/>
    <n v="0"/>
    <n v="0"/>
    <x v="2"/>
    <x v="2"/>
    <n v="25.18"/>
    <n v="849.50000000000011"/>
    <x v="4"/>
  </r>
  <r>
    <n v="315"/>
    <n v="1128"/>
    <n v="126"/>
    <n v="8"/>
    <n v="32.17"/>
    <n v="5.19"/>
    <x v="286"/>
    <x v="3"/>
    <x v="107"/>
    <x v="10"/>
    <n v="0"/>
    <n v="0"/>
    <x v="3"/>
    <x v="3"/>
    <n v="104.51"/>
    <n v="147.66000000000003"/>
    <x v="2"/>
  </r>
  <r>
    <n v="316"/>
    <n v="1129"/>
    <n v="106"/>
    <n v="7"/>
    <n v="65.2"/>
    <n v="0"/>
    <x v="287"/>
    <x v="1"/>
    <x v="20"/>
    <x v="7"/>
    <n v="63.93"/>
    <n v="0.14000000000000001"/>
    <x v="0"/>
    <x v="4"/>
    <n v="0"/>
    <n v="456.40000000000003"/>
    <x v="7"/>
  </r>
  <r>
    <n v="317"/>
    <n v="1129"/>
    <n v="100"/>
    <n v="7"/>
    <n v="233.57"/>
    <n v="0"/>
    <x v="288"/>
    <x v="1"/>
    <x v="111"/>
    <x v="7"/>
    <n v="63.93"/>
    <n v="0.04"/>
    <x v="0"/>
    <x v="4"/>
    <n v="127.41"/>
    <n v="1507.58"/>
    <x v="3"/>
  </r>
  <r>
    <n v="318"/>
    <n v="1130"/>
    <n v="35"/>
    <n v="5"/>
    <n v="46.14"/>
    <n v="2.54"/>
    <x v="289"/>
    <x v="1"/>
    <x v="2"/>
    <x v="8"/>
    <n v="21.65"/>
    <n v="0.09"/>
    <x v="1"/>
    <x v="1"/>
    <n v="145.1"/>
    <n v="83.06"/>
    <x v="2"/>
  </r>
  <r>
    <n v="319"/>
    <n v="1130"/>
    <n v="116"/>
    <n v="5"/>
    <n v="211.7"/>
    <n v="10.81"/>
    <x v="290"/>
    <x v="1"/>
    <x v="22"/>
    <x v="8"/>
    <n v="21.65"/>
    <n v="0.02"/>
    <x v="1"/>
    <x v="4"/>
    <n v="171.4"/>
    <n v="876.29000000000008"/>
    <x v="0"/>
  </r>
  <r>
    <n v="320"/>
    <n v="1131"/>
    <n v="3"/>
    <n v="4"/>
    <n v="22.56"/>
    <n v="0"/>
    <x v="291"/>
    <x v="1"/>
    <x v="34"/>
    <x v="8"/>
    <n v="58.54"/>
    <n v="0.65"/>
    <x v="1"/>
    <x v="3"/>
    <n v="93.44"/>
    <n v="-3.2000000000000028"/>
    <x v="3"/>
  </r>
  <r>
    <n v="321"/>
    <n v="1131"/>
    <n v="127"/>
    <n v="4"/>
    <n v="38.14"/>
    <n v="0"/>
    <x v="49"/>
    <x v="1"/>
    <x v="45"/>
    <x v="8"/>
    <n v="58.54"/>
    <n v="0.38"/>
    <x v="1"/>
    <x v="3"/>
    <n v="51.31"/>
    <n v="101.25"/>
    <x v="3"/>
  </r>
  <r>
    <n v="322"/>
    <n v="1131"/>
    <n v="128"/>
    <n v="6"/>
    <n v="143.38999999999999"/>
    <n v="0"/>
    <x v="292"/>
    <x v="1"/>
    <x v="51"/>
    <x v="8"/>
    <n v="58.54"/>
    <n v="7.0000000000000007E-2"/>
    <x v="1"/>
    <x v="2"/>
    <n v="5.47"/>
    <n v="854.86999999999989"/>
    <x v="0"/>
  </r>
  <r>
    <n v="323"/>
    <n v="1131"/>
    <n v="85"/>
    <n v="2"/>
    <n v="163.57"/>
    <n v="0"/>
    <x v="293"/>
    <x v="1"/>
    <x v="3"/>
    <x v="8"/>
    <n v="58.54"/>
    <n v="0.18"/>
    <x v="1"/>
    <x v="0"/>
    <n v="139.02000000000001"/>
    <n v="188.11999999999998"/>
    <x v="3"/>
  </r>
  <r>
    <n v="324"/>
    <n v="1132"/>
    <n v="64"/>
    <n v="1"/>
    <n v="247.73"/>
    <n v="0"/>
    <x v="294"/>
    <x v="3"/>
    <x v="87"/>
    <x v="10"/>
    <n v="104.18"/>
    <n v="0.42"/>
    <x v="1"/>
    <x v="5"/>
    <n v="43.93"/>
    <n v="203.79999999999998"/>
    <x v="6"/>
  </r>
  <r>
    <n v="325"/>
    <n v="1132"/>
    <n v="134"/>
    <n v="4"/>
    <n v="26.36"/>
    <n v="0"/>
    <x v="295"/>
    <x v="3"/>
    <x v="85"/>
    <x v="10"/>
    <n v="104.18"/>
    <n v="0.99"/>
    <x v="1"/>
    <x v="0"/>
    <n v="19.079999999999998"/>
    <n v="86.36"/>
    <x v="5"/>
  </r>
  <r>
    <n v="326"/>
    <n v="1132"/>
    <n v="83"/>
    <n v="3"/>
    <n v="269.23"/>
    <n v="0"/>
    <x v="296"/>
    <x v="3"/>
    <x v="67"/>
    <x v="10"/>
    <n v="104.18"/>
    <n v="0.13"/>
    <x v="1"/>
    <x v="1"/>
    <n v="147.63"/>
    <n v="660.06000000000006"/>
    <x v="5"/>
  </r>
  <r>
    <n v="327"/>
    <n v="1132"/>
    <n v="141"/>
    <n v="2"/>
    <n v="15.33"/>
    <n v="0"/>
    <x v="76"/>
    <x v="3"/>
    <x v="65"/>
    <x v="10"/>
    <n v="104.18"/>
    <n v="3.4"/>
    <x v="1"/>
    <x v="5"/>
    <n v="149.36000000000001"/>
    <n v="-118.70000000000002"/>
    <x v="2"/>
  </r>
  <r>
    <n v="328"/>
    <n v="1133"/>
    <n v="102"/>
    <n v="4"/>
    <n v="71.52"/>
    <n v="0"/>
    <x v="267"/>
    <x v="1"/>
    <x v="95"/>
    <x v="6"/>
    <n v="83.86"/>
    <n v="0.28999999999999998"/>
    <x v="1"/>
    <x v="2"/>
    <n v="169.76"/>
    <n v="116.32"/>
    <x v="2"/>
  </r>
  <r>
    <n v="329"/>
    <n v="1134"/>
    <n v="16"/>
    <n v="1"/>
    <n v="168.61"/>
    <n v="0"/>
    <x v="297"/>
    <x v="4"/>
    <x v="134"/>
    <x v="15"/>
    <n v="45.55"/>
    <n v="0.27"/>
    <x v="1"/>
    <x v="0"/>
    <n v="135.37"/>
    <n v="33.240000000000009"/>
    <x v="7"/>
  </r>
  <r>
    <n v="330"/>
    <n v="1134"/>
    <n v="138"/>
    <n v="2"/>
    <n v="106.5"/>
    <n v="0"/>
    <x v="298"/>
    <x v="4"/>
    <x v="86"/>
    <x v="15"/>
    <n v="45.55"/>
    <n v="0.21"/>
    <x v="1"/>
    <x v="3"/>
    <n v="76.459999999999994"/>
    <n v="136.54000000000002"/>
    <x v="5"/>
  </r>
  <r>
    <n v="331"/>
    <n v="1134"/>
    <n v="82"/>
    <n v="6"/>
    <n v="243.4"/>
    <n v="12.28"/>
    <x v="299"/>
    <x v="4"/>
    <x v="27"/>
    <x v="15"/>
    <n v="45.55"/>
    <n v="0.03"/>
    <x v="1"/>
    <x v="5"/>
    <n v="84.88"/>
    <n v="1363.2400000000002"/>
    <x v="3"/>
  </r>
  <r>
    <n v="332"/>
    <n v="1135"/>
    <n v="146"/>
    <n v="3"/>
    <n v="199.6"/>
    <n v="0"/>
    <x v="300"/>
    <x v="1"/>
    <x v="28"/>
    <x v="1"/>
    <n v="56.13"/>
    <n v="0.09"/>
    <x v="1"/>
    <x v="3"/>
    <n v="170.74"/>
    <n v="428.05999999999995"/>
    <x v="0"/>
  </r>
  <r>
    <n v="333"/>
    <n v="1135"/>
    <n v="120"/>
    <n v="5"/>
    <n v="229.55"/>
    <n v="0"/>
    <x v="301"/>
    <x v="1"/>
    <x v="26"/>
    <x v="1"/>
    <n v="56.13"/>
    <n v="0.05"/>
    <x v="1"/>
    <x v="0"/>
    <n v="116.63"/>
    <n v="1031.1199999999999"/>
    <x v="1"/>
  </r>
  <r>
    <n v="334"/>
    <n v="1136"/>
    <n v="5"/>
    <n v="6"/>
    <n v="59.31"/>
    <n v="0"/>
    <x v="302"/>
    <x v="0"/>
    <x v="36"/>
    <x v="19"/>
    <n v="92.83"/>
    <n v="0.26"/>
    <x v="0"/>
    <x v="3"/>
    <n v="64.540000000000006"/>
    <n v="291.32"/>
    <x v="7"/>
  </r>
  <r>
    <n v="335"/>
    <n v="1136"/>
    <n v="83"/>
    <n v="2"/>
    <n v="269.23"/>
    <n v="10.220000000000001"/>
    <x v="303"/>
    <x v="0"/>
    <x v="67"/>
    <x v="19"/>
    <n v="92.83"/>
    <n v="0.18"/>
    <x v="0"/>
    <x v="1"/>
    <n v="147.63"/>
    <n v="380.61"/>
    <x v="5"/>
  </r>
  <r>
    <n v="336"/>
    <n v="1137"/>
    <n v="12"/>
    <n v="3"/>
    <n v="61.57"/>
    <n v="0"/>
    <x v="304"/>
    <x v="1"/>
    <x v="35"/>
    <x v="6"/>
    <n v="26.23"/>
    <n v="0.14000000000000001"/>
    <x v="0"/>
    <x v="5"/>
    <n v="132.6"/>
    <n v="52.110000000000014"/>
    <x v="7"/>
  </r>
  <r>
    <n v="337"/>
    <n v="1138"/>
    <n v="4"/>
    <n v="4"/>
    <n v="94.28"/>
    <n v="0"/>
    <x v="305"/>
    <x v="1"/>
    <x v="79"/>
    <x v="7"/>
    <n v="45.87"/>
    <n v="0.12"/>
    <x v="3"/>
    <x v="0"/>
    <n v="83.61"/>
    <n v="293.51"/>
    <x v="2"/>
  </r>
  <r>
    <n v="338"/>
    <n v="1139"/>
    <n v="78"/>
    <n v="2"/>
    <n v="71.75"/>
    <n v="0"/>
    <x v="306"/>
    <x v="1"/>
    <x v="46"/>
    <x v="8"/>
    <n v="65.67"/>
    <n v="0.46"/>
    <x v="0"/>
    <x v="0"/>
    <n v="44.31"/>
    <n v="99.19"/>
    <x v="3"/>
  </r>
  <r>
    <n v="339"/>
    <n v="1140"/>
    <n v="28"/>
    <n v="6"/>
    <n v="206.43"/>
    <n v="10.44"/>
    <x v="307"/>
    <x v="3"/>
    <x v="55"/>
    <x v="14"/>
    <n v="99.83"/>
    <n v="0.08"/>
    <x v="1"/>
    <x v="2"/>
    <n v="74.819999999999993"/>
    <n v="1153.32"/>
    <x v="3"/>
  </r>
  <r>
    <n v="340"/>
    <n v="1140"/>
    <n v="27"/>
    <n v="3"/>
    <n v="165.39"/>
    <n v="12.09"/>
    <x v="308"/>
    <x v="3"/>
    <x v="74"/>
    <x v="14"/>
    <n v="99.83"/>
    <n v="0.21"/>
    <x v="1"/>
    <x v="1"/>
    <n v="33.9"/>
    <n v="450.18"/>
    <x v="5"/>
  </r>
  <r>
    <n v="341"/>
    <n v="1140"/>
    <n v="130"/>
    <n v="6"/>
    <n v="193.14"/>
    <n v="10.210000000000001"/>
    <x v="309"/>
    <x v="3"/>
    <x v="135"/>
    <x v="14"/>
    <n v="99.83"/>
    <n v="0.09"/>
    <x v="1"/>
    <x v="3"/>
    <n v="142.87"/>
    <n v="1005.7599999999999"/>
    <x v="3"/>
  </r>
  <r>
    <n v="342"/>
    <n v="1140"/>
    <n v="91"/>
    <n v="6"/>
    <n v="170.65"/>
    <n v="0"/>
    <x v="310"/>
    <x v="3"/>
    <x v="32"/>
    <x v="14"/>
    <n v="99.83"/>
    <n v="0.1"/>
    <x v="1"/>
    <x v="1"/>
    <n v="135.82"/>
    <n v="888.08000000000015"/>
    <x v="2"/>
  </r>
  <r>
    <n v="343"/>
    <n v="1141"/>
    <n v="1"/>
    <n v="1"/>
    <n v="84.79"/>
    <n v="0"/>
    <x v="311"/>
    <x v="1"/>
    <x v="120"/>
    <x v="7"/>
    <n v="0"/>
    <n v="0"/>
    <x v="2"/>
    <x v="3"/>
    <n v="134.77000000000001"/>
    <n v="-49.980000000000004"/>
    <x v="0"/>
  </r>
  <r>
    <n v="344"/>
    <n v="1141"/>
    <n v="133"/>
    <n v="3"/>
    <n v="214.42"/>
    <n v="0"/>
    <x v="312"/>
    <x v="1"/>
    <x v="128"/>
    <x v="7"/>
    <n v="0"/>
    <n v="0"/>
    <x v="2"/>
    <x v="5"/>
    <n v="125.52"/>
    <n v="517.74"/>
    <x v="0"/>
  </r>
  <r>
    <n v="345"/>
    <n v="1141"/>
    <n v="2"/>
    <n v="5"/>
    <n v="135.25"/>
    <n v="0"/>
    <x v="313"/>
    <x v="1"/>
    <x v="59"/>
    <x v="7"/>
    <n v="0"/>
    <n v="0"/>
    <x v="2"/>
    <x v="3"/>
    <n v="20.21"/>
    <n v="656.04"/>
    <x v="0"/>
  </r>
  <r>
    <n v="346"/>
    <n v="1141"/>
    <n v="81"/>
    <n v="1"/>
    <n v="244.17"/>
    <n v="0"/>
    <x v="169"/>
    <x v="1"/>
    <x v="47"/>
    <x v="7"/>
    <n v="0"/>
    <n v="0"/>
    <x v="2"/>
    <x v="4"/>
    <n v="43.3"/>
    <n v="200.87"/>
    <x v="0"/>
  </r>
  <r>
    <n v="347"/>
    <n v="1142"/>
    <n v="25"/>
    <n v="1"/>
    <n v="265.23"/>
    <n v="0"/>
    <x v="314"/>
    <x v="4"/>
    <x v="136"/>
    <x v="16"/>
    <n v="14.66"/>
    <n v="0.06"/>
    <x v="0"/>
    <x v="1"/>
    <n v="15.14"/>
    <n v="250.09000000000003"/>
    <x v="1"/>
  </r>
  <r>
    <n v="348"/>
    <n v="1142"/>
    <n v="36"/>
    <n v="5"/>
    <n v="94.39"/>
    <n v="0"/>
    <x v="315"/>
    <x v="4"/>
    <x v="116"/>
    <x v="16"/>
    <n v="14.66"/>
    <n v="0.03"/>
    <x v="0"/>
    <x v="0"/>
    <n v="78.83"/>
    <n v="393.12"/>
    <x v="5"/>
  </r>
  <r>
    <n v="349"/>
    <n v="1143"/>
    <n v="77"/>
    <n v="1"/>
    <n v="195.39"/>
    <n v="11.23"/>
    <x v="316"/>
    <x v="4"/>
    <x v="21"/>
    <x v="15"/>
    <n v="44.36"/>
    <n v="0.24"/>
    <x v="2"/>
    <x v="0"/>
    <n v="95.2"/>
    <n v="88.96"/>
    <x v="0"/>
  </r>
  <r>
    <n v="350"/>
    <n v="1144"/>
    <n v="79"/>
    <n v="1"/>
    <n v="234.02"/>
    <n v="0"/>
    <x v="317"/>
    <x v="0"/>
    <x v="25"/>
    <x v="19"/>
    <n v="21.77"/>
    <n v="0.09"/>
    <x v="1"/>
    <x v="5"/>
    <n v="111.97"/>
    <n v="122.05000000000001"/>
    <x v="3"/>
  </r>
  <r>
    <n v="351"/>
    <n v="1145"/>
    <n v="101"/>
    <n v="3"/>
    <n v="45.81"/>
    <n v="0"/>
    <x v="318"/>
    <x v="4"/>
    <x v="77"/>
    <x v="16"/>
    <n v="26.98"/>
    <n v="0.2"/>
    <x v="1"/>
    <x v="3"/>
    <n v="173.83"/>
    <n v="-36.400000000000006"/>
    <x v="0"/>
  </r>
  <r>
    <n v="352"/>
    <n v="1145"/>
    <n v="122"/>
    <n v="1"/>
    <n v="151.15"/>
    <n v="0"/>
    <x v="319"/>
    <x v="4"/>
    <x v="103"/>
    <x v="16"/>
    <n v="26.98"/>
    <n v="0.18"/>
    <x v="1"/>
    <x v="3"/>
    <n v="169.69"/>
    <n v="-18.539999999999992"/>
    <x v="6"/>
  </r>
  <r>
    <n v="353"/>
    <n v="1145"/>
    <n v="22"/>
    <n v="7"/>
    <n v="159.69"/>
    <n v="0"/>
    <x v="320"/>
    <x v="4"/>
    <x v="43"/>
    <x v="16"/>
    <n v="26.98"/>
    <n v="0.02"/>
    <x v="1"/>
    <x v="4"/>
    <n v="138.34"/>
    <n v="979.4899999999999"/>
    <x v="1"/>
  </r>
  <r>
    <n v="354"/>
    <n v="1146"/>
    <n v="83"/>
    <n v="2"/>
    <n v="269.23"/>
    <n v="2.58"/>
    <x v="321"/>
    <x v="1"/>
    <x v="67"/>
    <x v="7"/>
    <n v="83.5"/>
    <n v="0.16"/>
    <x v="0"/>
    <x v="1"/>
    <n v="147.63"/>
    <n v="388.25"/>
    <x v="5"/>
  </r>
  <r>
    <n v="355"/>
    <n v="1146"/>
    <n v="109"/>
    <n v="6"/>
    <n v="257.52"/>
    <n v="0"/>
    <x v="322"/>
    <x v="1"/>
    <x v="73"/>
    <x v="7"/>
    <n v="83.5"/>
    <n v="0.05"/>
    <x v="0"/>
    <x v="0"/>
    <n v="10.02"/>
    <n v="1535.1"/>
    <x v="2"/>
  </r>
  <r>
    <n v="356"/>
    <n v="1146"/>
    <n v="89"/>
    <n v="1"/>
    <n v="126"/>
    <n v="0"/>
    <x v="273"/>
    <x v="1"/>
    <x v="92"/>
    <x v="7"/>
    <n v="83.5"/>
    <n v="0.66"/>
    <x v="0"/>
    <x v="3"/>
    <n v="150.76"/>
    <n v="-24.759999999999991"/>
    <x v="6"/>
  </r>
  <r>
    <n v="357"/>
    <n v="1146"/>
    <n v="90"/>
    <n v="8"/>
    <n v="115.25"/>
    <n v="9.7200000000000006"/>
    <x v="323"/>
    <x v="1"/>
    <x v="137"/>
    <x v="7"/>
    <n v="83.5"/>
    <n v="0.09"/>
    <x v="0"/>
    <x v="1"/>
    <n v="6.03"/>
    <n v="906.25"/>
    <x v="2"/>
  </r>
  <r>
    <n v="358"/>
    <n v="1147"/>
    <n v="4"/>
    <n v="6"/>
    <n v="94.28"/>
    <n v="0"/>
    <x v="324"/>
    <x v="0"/>
    <x v="79"/>
    <x v="3"/>
    <n v="88.67"/>
    <n v="0.16"/>
    <x v="0"/>
    <x v="0"/>
    <n v="83.61"/>
    <n v="482.07000000000005"/>
    <x v="2"/>
  </r>
  <r>
    <n v="359"/>
    <n v="1147"/>
    <n v="79"/>
    <n v="8"/>
    <n v="234.02"/>
    <n v="0"/>
    <x v="325"/>
    <x v="0"/>
    <x v="25"/>
    <x v="3"/>
    <n v="88.67"/>
    <n v="0.05"/>
    <x v="0"/>
    <x v="5"/>
    <n v="111.97"/>
    <n v="1760.19"/>
    <x v="3"/>
  </r>
  <r>
    <n v="360"/>
    <n v="1147"/>
    <n v="54"/>
    <n v="4"/>
    <n v="256.14"/>
    <n v="0"/>
    <x v="326"/>
    <x v="0"/>
    <x v="114"/>
    <x v="3"/>
    <n v="88.67"/>
    <n v="0.09"/>
    <x v="0"/>
    <x v="1"/>
    <n v="163.43"/>
    <n v="861.12999999999988"/>
    <x v="5"/>
  </r>
  <r>
    <n v="361"/>
    <n v="1148"/>
    <n v="52"/>
    <n v="5"/>
    <n v="59.3"/>
    <n v="0"/>
    <x v="327"/>
    <x v="0"/>
    <x v="121"/>
    <x v="3"/>
    <n v="0"/>
    <n v="0"/>
    <x v="1"/>
    <x v="4"/>
    <n v="134.91999999999999"/>
    <n v="161.58000000000001"/>
    <x v="0"/>
  </r>
  <r>
    <n v="362"/>
    <n v="1148"/>
    <n v="18"/>
    <n v="7"/>
    <n v="60.59"/>
    <n v="0"/>
    <x v="328"/>
    <x v="0"/>
    <x v="138"/>
    <x v="3"/>
    <n v="0"/>
    <n v="0"/>
    <x v="1"/>
    <x v="5"/>
    <n v="31.75"/>
    <n v="392.38"/>
    <x v="6"/>
  </r>
  <r>
    <n v="363"/>
    <n v="1148"/>
    <n v="28"/>
    <n v="1"/>
    <n v="206.43"/>
    <n v="5.09"/>
    <x v="329"/>
    <x v="0"/>
    <x v="55"/>
    <x v="3"/>
    <n v="0"/>
    <n v="0"/>
    <x v="1"/>
    <x v="2"/>
    <n v="74.819999999999993"/>
    <n v="126.52000000000001"/>
    <x v="3"/>
  </r>
  <r>
    <n v="364"/>
    <n v="1149"/>
    <n v="125"/>
    <n v="2"/>
    <n v="273.92"/>
    <n v="3.61"/>
    <x v="330"/>
    <x v="2"/>
    <x v="124"/>
    <x v="4"/>
    <n v="45.22"/>
    <n v="0.08"/>
    <x v="1"/>
    <x v="0"/>
    <n v="71.569999999999993"/>
    <n v="472.66"/>
    <x v="3"/>
  </r>
  <r>
    <n v="365"/>
    <n v="1149"/>
    <n v="144"/>
    <n v="1"/>
    <n v="194.56"/>
    <n v="0"/>
    <x v="212"/>
    <x v="2"/>
    <x v="58"/>
    <x v="4"/>
    <n v="45.22"/>
    <n v="0.23"/>
    <x v="1"/>
    <x v="3"/>
    <n v="10.050000000000001"/>
    <n v="184.51"/>
    <x v="5"/>
  </r>
  <r>
    <n v="366"/>
    <n v="1149"/>
    <n v="86"/>
    <n v="8"/>
    <n v="81.83"/>
    <n v="0"/>
    <x v="331"/>
    <x v="2"/>
    <x v="132"/>
    <x v="4"/>
    <n v="45.22"/>
    <n v="7.0000000000000007E-2"/>
    <x v="1"/>
    <x v="0"/>
    <n v="129.87"/>
    <n v="524.77"/>
    <x v="5"/>
  </r>
  <r>
    <n v="367"/>
    <n v="1150"/>
    <n v="58"/>
    <n v="3"/>
    <n v="57.21"/>
    <n v="5.79"/>
    <x v="332"/>
    <x v="1"/>
    <x v="110"/>
    <x v="7"/>
    <n v="56.1"/>
    <n v="0.34"/>
    <x v="0"/>
    <x v="3"/>
    <n v="106.94"/>
    <n v="58.900000000000006"/>
    <x v="6"/>
  </r>
  <r>
    <n v="368"/>
    <n v="1150"/>
    <n v="36"/>
    <n v="2"/>
    <n v="94.39"/>
    <n v="0"/>
    <x v="333"/>
    <x v="1"/>
    <x v="116"/>
    <x v="7"/>
    <n v="56.1"/>
    <n v="0.3"/>
    <x v="0"/>
    <x v="0"/>
    <n v="78.83"/>
    <n v="109.95"/>
    <x v="5"/>
  </r>
  <r>
    <n v="369"/>
    <n v="1150"/>
    <n v="107"/>
    <n v="4"/>
    <n v="223.34"/>
    <n v="9.02"/>
    <x v="334"/>
    <x v="1"/>
    <x v="6"/>
    <x v="7"/>
    <n v="56.1"/>
    <n v="0.06"/>
    <x v="0"/>
    <x v="3"/>
    <n v="81.23"/>
    <n v="803.11"/>
    <x v="5"/>
  </r>
  <r>
    <n v="370"/>
    <n v="1151"/>
    <n v="111"/>
    <n v="3"/>
    <n v="39.4"/>
    <n v="0"/>
    <x v="335"/>
    <x v="3"/>
    <x v="139"/>
    <x v="14"/>
    <n v="88.34"/>
    <n v="0.75"/>
    <x v="3"/>
    <x v="2"/>
    <n v="170.91"/>
    <n v="-52.710000000000008"/>
    <x v="6"/>
  </r>
  <r>
    <n v="371"/>
    <n v="1151"/>
    <n v="82"/>
    <n v="2"/>
    <n v="243.4"/>
    <n v="0"/>
    <x v="62"/>
    <x v="3"/>
    <x v="27"/>
    <x v="14"/>
    <n v="88.34"/>
    <n v="0.18"/>
    <x v="3"/>
    <x v="5"/>
    <n v="84.88"/>
    <n v="401.92"/>
    <x v="3"/>
  </r>
  <r>
    <n v="372"/>
    <n v="1152"/>
    <n v="39"/>
    <n v="4"/>
    <n v="129.30000000000001"/>
    <n v="0"/>
    <x v="336"/>
    <x v="2"/>
    <x v="75"/>
    <x v="11"/>
    <n v="19.55"/>
    <n v="0.04"/>
    <x v="1"/>
    <x v="2"/>
    <n v="42.41"/>
    <n v="474.79000000000008"/>
    <x v="5"/>
  </r>
  <r>
    <n v="373"/>
    <n v="1152"/>
    <n v="7"/>
    <n v="5"/>
    <n v="292.33999999999997"/>
    <n v="0"/>
    <x v="96"/>
    <x v="2"/>
    <x v="76"/>
    <x v="11"/>
    <n v="19.55"/>
    <n v="0.01"/>
    <x v="1"/>
    <x v="5"/>
    <n v="98.84"/>
    <n v="1362.86"/>
    <x v="6"/>
  </r>
  <r>
    <n v="374"/>
    <n v="1152"/>
    <n v="60"/>
    <n v="4"/>
    <n v="115.8"/>
    <n v="0"/>
    <x v="337"/>
    <x v="2"/>
    <x v="18"/>
    <x v="11"/>
    <n v="19.55"/>
    <n v="0.04"/>
    <x v="1"/>
    <x v="0"/>
    <n v="121.71"/>
    <n v="341.49"/>
    <x v="3"/>
  </r>
  <r>
    <n v="375"/>
    <n v="1153"/>
    <n v="50"/>
    <n v="4"/>
    <n v="252.62"/>
    <n v="0"/>
    <x v="338"/>
    <x v="2"/>
    <x v="140"/>
    <x v="4"/>
    <n v="111.54"/>
    <n v="0.11"/>
    <x v="2"/>
    <x v="3"/>
    <n v="32.61"/>
    <n v="977.87"/>
    <x v="4"/>
  </r>
  <r>
    <n v="376"/>
    <n v="1153"/>
    <n v="70"/>
    <n v="7"/>
    <n v="244.86"/>
    <n v="0"/>
    <x v="339"/>
    <x v="2"/>
    <x v="131"/>
    <x v="4"/>
    <n v="111.54"/>
    <n v="7.0000000000000007E-2"/>
    <x v="2"/>
    <x v="4"/>
    <n v="95.99"/>
    <n v="1618.03"/>
    <x v="2"/>
  </r>
  <r>
    <n v="377"/>
    <n v="1154"/>
    <n v="98"/>
    <n v="6"/>
    <n v="285.64"/>
    <n v="0"/>
    <x v="340"/>
    <x v="2"/>
    <x v="130"/>
    <x v="13"/>
    <n v="57"/>
    <n v="0.03"/>
    <x v="2"/>
    <x v="3"/>
    <n v="136.99"/>
    <n v="1576.85"/>
    <x v="0"/>
  </r>
  <r>
    <n v="378"/>
    <n v="1155"/>
    <n v="75"/>
    <n v="8"/>
    <n v="180.3"/>
    <n v="0"/>
    <x v="52"/>
    <x v="2"/>
    <x v="48"/>
    <x v="4"/>
    <n v="108.83"/>
    <n v="0.08"/>
    <x v="1"/>
    <x v="1"/>
    <n v="80.23"/>
    <n v="1362.17"/>
    <x v="1"/>
  </r>
  <r>
    <n v="379"/>
    <n v="1155"/>
    <n v="74"/>
    <n v="8"/>
    <n v="130.72999999999999"/>
    <n v="0"/>
    <x v="341"/>
    <x v="2"/>
    <x v="141"/>
    <x v="4"/>
    <n v="108.83"/>
    <n v="0.1"/>
    <x v="1"/>
    <x v="5"/>
    <n v="104.59"/>
    <n v="941.24999999999989"/>
    <x v="7"/>
  </r>
  <r>
    <n v="380"/>
    <n v="1156"/>
    <n v="101"/>
    <n v="7"/>
    <n v="45.81"/>
    <n v="0"/>
    <x v="342"/>
    <x v="4"/>
    <x v="77"/>
    <x v="15"/>
    <n v="41.59"/>
    <n v="0.13"/>
    <x v="1"/>
    <x v="3"/>
    <n v="173.83"/>
    <n v="146.84"/>
    <x v="0"/>
  </r>
  <r>
    <n v="381"/>
    <n v="1156"/>
    <n v="46"/>
    <n v="8"/>
    <n v="219.11"/>
    <n v="0"/>
    <x v="153"/>
    <x v="4"/>
    <x v="31"/>
    <x v="15"/>
    <n v="41.59"/>
    <n v="0.02"/>
    <x v="1"/>
    <x v="5"/>
    <n v="40.75"/>
    <n v="1712.13"/>
    <x v="4"/>
  </r>
  <r>
    <n v="382"/>
    <n v="1157"/>
    <n v="22"/>
    <n v="7"/>
    <n v="159.69"/>
    <n v="0"/>
    <x v="320"/>
    <x v="0"/>
    <x v="43"/>
    <x v="0"/>
    <n v="52.67"/>
    <n v="0.05"/>
    <x v="1"/>
    <x v="4"/>
    <n v="138.34"/>
    <n v="979.4899999999999"/>
    <x v="1"/>
  </r>
  <r>
    <n v="383"/>
    <n v="1157"/>
    <n v="97"/>
    <n v="7"/>
    <n v="168.73"/>
    <n v="0"/>
    <x v="343"/>
    <x v="0"/>
    <x v="96"/>
    <x v="0"/>
    <n v="52.67"/>
    <n v="0.04"/>
    <x v="1"/>
    <x v="2"/>
    <n v="8.39"/>
    <n v="1172.7199999999998"/>
    <x v="0"/>
  </r>
  <r>
    <n v="384"/>
    <n v="1157"/>
    <n v="86"/>
    <n v="3"/>
    <n v="81.83"/>
    <n v="0"/>
    <x v="344"/>
    <x v="0"/>
    <x v="132"/>
    <x v="0"/>
    <n v="52.67"/>
    <n v="0.21"/>
    <x v="1"/>
    <x v="0"/>
    <n v="129.87"/>
    <n v="115.62"/>
    <x v="5"/>
  </r>
  <r>
    <n v="385"/>
    <n v="1158"/>
    <n v="4"/>
    <n v="8"/>
    <n v="94.28"/>
    <n v="7.97"/>
    <x v="345"/>
    <x v="0"/>
    <x v="79"/>
    <x v="17"/>
    <n v="13.21"/>
    <n v="0.02"/>
    <x v="1"/>
    <x v="0"/>
    <n v="83.61"/>
    <n v="662.66"/>
    <x v="2"/>
  </r>
  <r>
    <n v="386"/>
    <n v="1158"/>
    <n v="140"/>
    <n v="1"/>
    <n v="86.93"/>
    <n v="9.51"/>
    <x v="346"/>
    <x v="0"/>
    <x v="30"/>
    <x v="17"/>
    <n v="13.21"/>
    <n v="0.17"/>
    <x v="1"/>
    <x v="3"/>
    <n v="20.41"/>
    <n v="57.010000000000005"/>
    <x v="6"/>
  </r>
  <r>
    <n v="387"/>
    <n v="1158"/>
    <n v="61"/>
    <n v="4"/>
    <n v="293.22000000000003"/>
    <n v="9.24"/>
    <x v="347"/>
    <x v="0"/>
    <x v="19"/>
    <x v="17"/>
    <n v="13.21"/>
    <n v="0.01"/>
    <x v="1"/>
    <x v="3"/>
    <n v="156.31"/>
    <n v="1007.3300000000002"/>
    <x v="7"/>
  </r>
  <r>
    <n v="388"/>
    <n v="1159"/>
    <n v="90"/>
    <n v="1"/>
    <n v="115.25"/>
    <n v="0"/>
    <x v="348"/>
    <x v="3"/>
    <x v="137"/>
    <x v="5"/>
    <n v="38.619999999999997"/>
    <n v="0.34"/>
    <x v="1"/>
    <x v="1"/>
    <n v="6.03"/>
    <n v="109.22"/>
    <x v="2"/>
  </r>
  <r>
    <n v="389"/>
    <n v="1160"/>
    <n v="117"/>
    <n v="6"/>
    <n v="293.33"/>
    <n v="0"/>
    <x v="349"/>
    <x v="3"/>
    <x v="70"/>
    <x v="14"/>
    <n v="11.53"/>
    <n v="0.01"/>
    <x v="1"/>
    <x v="0"/>
    <n v="131.80000000000001"/>
    <n v="1628.18"/>
    <x v="5"/>
  </r>
  <r>
    <n v="390"/>
    <n v="1160"/>
    <n v="77"/>
    <n v="6"/>
    <n v="195.39"/>
    <n v="6.16"/>
    <x v="350"/>
    <x v="3"/>
    <x v="21"/>
    <x v="14"/>
    <n v="11.53"/>
    <n v="0.01"/>
    <x v="1"/>
    <x v="0"/>
    <n v="95.2"/>
    <n v="1070.9799999999998"/>
    <x v="0"/>
  </r>
  <r>
    <n v="391"/>
    <n v="1161"/>
    <n v="15"/>
    <n v="2"/>
    <n v="198.21"/>
    <n v="0"/>
    <x v="351"/>
    <x v="2"/>
    <x v="93"/>
    <x v="2"/>
    <n v="119.42"/>
    <n v="0.3"/>
    <x v="1"/>
    <x v="3"/>
    <n v="159.82"/>
    <n v="236.60000000000002"/>
    <x v="5"/>
  </r>
  <r>
    <n v="392"/>
    <n v="1161"/>
    <n v="124"/>
    <n v="5"/>
    <n v="48.76"/>
    <n v="0"/>
    <x v="352"/>
    <x v="2"/>
    <x v="44"/>
    <x v="2"/>
    <n v="119.42"/>
    <n v="0.49"/>
    <x v="1"/>
    <x v="4"/>
    <n v="178.94"/>
    <n v="64.859999999999985"/>
    <x v="1"/>
  </r>
  <r>
    <n v="393"/>
    <n v="1162"/>
    <n v="75"/>
    <n v="4"/>
    <n v="180.3"/>
    <n v="0"/>
    <x v="353"/>
    <x v="4"/>
    <x v="48"/>
    <x v="15"/>
    <n v="9.2799999999999994"/>
    <n v="0.01"/>
    <x v="1"/>
    <x v="1"/>
    <n v="80.23"/>
    <n v="640.97"/>
    <x v="1"/>
  </r>
  <r>
    <n v="394"/>
    <n v="1162"/>
    <n v="120"/>
    <n v="2"/>
    <n v="229.55"/>
    <n v="0"/>
    <x v="354"/>
    <x v="4"/>
    <x v="26"/>
    <x v="15"/>
    <n v="9.2799999999999994"/>
    <n v="0.02"/>
    <x v="1"/>
    <x v="0"/>
    <n v="116.63"/>
    <n v="342.47"/>
    <x v="1"/>
  </r>
  <r>
    <n v="395"/>
    <n v="1163"/>
    <n v="79"/>
    <n v="5"/>
    <n v="234.02"/>
    <n v="0"/>
    <x v="355"/>
    <x v="3"/>
    <x v="25"/>
    <x v="14"/>
    <n v="43.6"/>
    <n v="0.04"/>
    <x v="3"/>
    <x v="5"/>
    <n v="111.97"/>
    <n v="1058.1300000000001"/>
    <x v="3"/>
  </r>
  <r>
    <n v="396"/>
    <n v="1164"/>
    <n v="122"/>
    <n v="1"/>
    <n v="151.15"/>
    <n v="10.039999999999999"/>
    <x v="356"/>
    <x v="3"/>
    <x v="103"/>
    <x v="14"/>
    <n v="0"/>
    <n v="0"/>
    <x v="3"/>
    <x v="3"/>
    <n v="169.69"/>
    <n v="-28.579999999999984"/>
    <x v="6"/>
  </r>
  <r>
    <n v="397"/>
    <n v="1164"/>
    <n v="40"/>
    <n v="8"/>
    <n v="90.58"/>
    <n v="0"/>
    <x v="357"/>
    <x v="3"/>
    <x v="81"/>
    <x v="14"/>
    <n v="0"/>
    <n v="0"/>
    <x v="3"/>
    <x v="1"/>
    <n v="177.43"/>
    <n v="547.21"/>
    <x v="2"/>
  </r>
  <r>
    <n v="398"/>
    <n v="1164"/>
    <n v="119"/>
    <n v="7"/>
    <n v="27.97"/>
    <n v="0"/>
    <x v="358"/>
    <x v="3"/>
    <x v="57"/>
    <x v="14"/>
    <n v="0"/>
    <n v="0"/>
    <x v="3"/>
    <x v="4"/>
    <n v="27.15"/>
    <n v="168.64"/>
    <x v="6"/>
  </r>
  <r>
    <n v="399"/>
    <n v="1164"/>
    <n v="134"/>
    <n v="5"/>
    <n v="26.36"/>
    <n v="0"/>
    <x v="235"/>
    <x v="3"/>
    <x v="85"/>
    <x v="14"/>
    <n v="0"/>
    <n v="0"/>
    <x v="3"/>
    <x v="0"/>
    <n v="19.079999999999998"/>
    <n v="112.72000000000001"/>
    <x v="5"/>
  </r>
  <r>
    <n v="400"/>
    <n v="1165"/>
    <n v="91"/>
    <n v="2"/>
    <n v="170.65"/>
    <n v="0"/>
    <x v="45"/>
    <x v="0"/>
    <x v="32"/>
    <x v="18"/>
    <n v="86.34"/>
    <n v="0.25"/>
    <x v="0"/>
    <x v="1"/>
    <n v="135.82"/>
    <n v="205.48000000000002"/>
    <x v="2"/>
  </r>
  <r>
    <n v="401"/>
    <n v="1165"/>
    <n v="8"/>
    <n v="6"/>
    <n v="118.07"/>
    <n v="0"/>
    <x v="104"/>
    <x v="0"/>
    <x v="39"/>
    <x v="18"/>
    <n v="86.34"/>
    <n v="0.12"/>
    <x v="0"/>
    <x v="1"/>
    <n v="159.94999999999999"/>
    <n v="548.47"/>
    <x v="1"/>
  </r>
  <r>
    <n v="402"/>
    <n v="1165"/>
    <n v="147"/>
    <n v="7"/>
    <n v="133.41"/>
    <n v="0"/>
    <x v="223"/>
    <x v="0"/>
    <x v="8"/>
    <x v="18"/>
    <n v="86.34"/>
    <n v="0.09"/>
    <x v="0"/>
    <x v="0"/>
    <n v="128.44999999999999"/>
    <n v="805.42000000000007"/>
    <x v="1"/>
  </r>
  <r>
    <n v="403"/>
    <n v="1166"/>
    <n v="45"/>
    <n v="2"/>
    <n v="184.44"/>
    <n v="0"/>
    <x v="359"/>
    <x v="2"/>
    <x v="0"/>
    <x v="4"/>
    <n v="20.62"/>
    <n v="0.06"/>
    <x v="3"/>
    <x v="0"/>
    <n v="48.09"/>
    <n v="320.78999999999996"/>
    <x v="0"/>
  </r>
  <r>
    <n v="404"/>
    <n v="1166"/>
    <n v="52"/>
    <n v="2"/>
    <n v="59.3"/>
    <n v="0"/>
    <x v="360"/>
    <x v="2"/>
    <x v="121"/>
    <x v="4"/>
    <n v="20.62"/>
    <n v="0.17"/>
    <x v="3"/>
    <x v="4"/>
    <n v="134.91999999999999"/>
    <n v="-16.319999999999993"/>
    <x v="0"/>
  </r>
  <r>
    <n v="405"/>
    <n v="1166"/>
    <n v="124"/>
    <n v="3"/>
    <n v="48.76"/>
    <n v="3.66"/>
    <x v="361"/>
    <x v="2"/>
    <x v="44"/>
    <x v="4"/>
    <n v="20.62"/>
    <n v="0.14000000000000001"/>
    <x v="3"/>
    <x v="4"/>
    <n v="178.94"/>
    <n v="-36.319999999999993"/>
    <x v="1"/>
  </r>
  <r>
    <n v="406"/>
    <n v="1167"/>
    <n v="2"/>
    <n v="5"/>
    <n v="135.25"/>
    <n v="0"/>
    <x v="313"/>
    <x v="0"/>
    <x v="59"/>
    <x v="18"/>
    <n v="15.96"/>
    <n v="0.02"/>
    <x v="2"/>
    <x v="3"/>
    <n v="20.21"/>
    <n v="656.04"/>
    <x v="0"/>
  </r>
  <r>
    <n v="407"/>
    <n v="1168"/>
    <n v="50"/>
    <n v="5"/>
    <n v="252.62"/>
    <n v="0"/>
    <x v="362"/>
    <x v="1"/>
    <x v="140"/>
    <x v="1"/>
    <n v="115.16"/>
    <n v="0.09"/>
    <x v="1"/>
    <x v="3"/>
    <n v="32.61"/>
    <n v="1230.49"/>
    <x v="4"/>
  </r>
  <r>
    <n v="408"/>
    <n v="1168"/>
    <n v="113"/>
    <n v="2"/>
    <n v="84.34"/>
    <n v="0"/>
    <x v="363"/>
    <x v="1"/>
    <x v="142"/>
    <x v="1"/>
    <n v="115.16"/>
    <n v="0.68"/>
    <x v="1"/>
    <x v="2"/>
    <n v="75.77"/>
    <n v="92.910000000000011"/>
    <x v="1"/>
  </r>
  <r>
    <n v="409"/>
    <n v="1169"/>
    <n v="73"/>
    <n v="4"/>
    <n v="134.83000000000001"/>
    <n v="0"/>
    <x v="364"/>
    <x v="1"/>
    <x v="1"/>
    <x v="12"/>
    <n v="16.29"/>
    <n v="0.03"/>
    <x v="3"/>
    <x v="0"/>
    <n v="27.28"/>
    <n v="512.04000000000008"/>
    <x v="1"/>
  </r>
  <r>
    <n v="410"/>
    <n v="1169"/>
    <n v="87"/>
    <n v="8"/>
    <n v="124.17"/>
    <n v="0"/>
    <x v="365"/>
    <x v="1"/>
    <x v="129"/>
    <x v="12"/>
    <n v="16.29"/>
    <n v="0.02"/>
    <x v="3"/>
    <x v="5"/>
    <n v="31.4"/>
    <n v="961.96"/>
    <x v="0"/>
  </r>
  <r>
    <n v="411"/>
    <n v="1170"/>
    <n v="51"/>
    <n v="2"/>
    <n v="204.07"/>
    <n v="14.63"/>
    <x v="366"/>
    <x v="2"/>
    <x v="133"/>
    <x v="11"/>
    <n v="20.67"/>
    <n v="0.05"/>
    <x v="3"/>
    <x v="3"/>
    <n v="57.39"/>
    <n v="336.12"/>
    <x v="6"/>
  </r>
  <r>
    <n v="412"/>
    <n v="1170"/>
    <n v="146"/>
    <n v="3"/>
    <n v="199.6"/>
    <n v="2.2999999999999998"/>
    <x v="367"/>
    <x v="2"/>
    <x v="28"/>
    <x v="11"/>
    <n v="20.67"/>
    <n v="0.03"/>
    <x v="3"/>
    <x v="3"/>
    <n v="170.74"/>
    <n v="425.76"/>
    <x v="0"/>
  </r>
  <r>
    <n v="413"/>
    <n v="1170"/>
    <n v="25"/>
    <n v="8"/>
    <n v="265.23"/>
    <n v="5.35"/>
    <x v="368"/>
    <x v="2"/>
    <x v="136"/>
    <x v="11"/>
    <n v="20.67"/>
    <n v="0.01"/>
    <x v="3"/>
    <x v="1"/>
    <n v="15.14"/>
    <n v="2101.3500000000004"/>
    <x v="1"/>
  </r>
  <r>
    <n v="414"/>
    <n v="1171"/>
    <n v="117"/>
    <n v="8"/>
    <n v="293.33"/>
    <n v="1.42"/>
    <x v="369"/>
    <x v="3"/>
    <x v="70"/>
    <x v="14"/>
    <n v="98.84"/>
    <n v="0.04"/>
    <x v="1"/>
    <x v="0"/>
    <n v="131.80000000000001"/>
    <n v="2213.4199999999996"/>
    <x v="5"/>
  </r>
  <r>
    <n v="415"/>
    <n v="1171"/>
    <n v="29"/>
    <n v="6"/>
    <n v="33.25"/>
    <n v="0"/>
    <x v="128"/>
    <x v="3"/>
    <x v="94"/>
    <x v="14"/>
    <n v="98.84"/>
    <n v="0.5"/>
    <x v="1"/>
    <x v="1"/>
    <n v="48.38"/>
    <n v="151.12"/>
    <x v="5"/>
  </r>
  <r>
    <n v="416"/>
    <n v="1171"/>
    <n v="73"/>
    <n v="6"/>
    <n v="134.83000000000001"/>
    <n v="0"/>
    <x v="85"/>
    <x v="3"/>
    <x v="1"/>
    <x v="14"/>
    <n v="98.84"/>
    <n v="0.12"/>
    <x v="1"/>
    <x v="0"/>
    <n v="27.28"/>
    <n v="781.7"/>
    <x v="1"/>
  </r>
  <r>
    <n v="417"/>
    <n v="1172"/>
    <n v="63"/>
    <n v="3"/>
    <n v="214.86"/>
    <n v="14.63"/>
    <x v="370"/>
    <x v="2"/>
    <x v="24"/>
    <x v="13"/>
    <n v="67.17"/>
    <n v="0.11"/>
    <x v="0"/>
    <x v="1"/>
    <n v="32.86"/>
    <n v="597.09"/>
    <x v="3"/>
  </r>
  <r>
    <n v="418"/>
    <n v="1172"/>
    <n v="17"/>
    <n v="6"/>
    <n v="299.3"/>
    <n v="3.92"/>
    <x v="371"/>
    <x v="2"/>
    <x v="12"/>
    <x v="13"/>
    <n v="67.17"/>
    <n v="0.04"/>
    <x v="0"/>
    <x v="2"/>
    <n v="43.38"/>
    <n v="1748.5"/>
    <x v="2"/>
  </r>
  <r>
    <n v="419"/>
    <n v="1173"/>
    <n v="84"/>
    <n v="2"/>
    <n v="150.28"/>
    <n v="0"/>
    <x v="372"/>
    <x v="4"/>
    <x v="49"/>
    <x v="15"/>
    <n v="56.55"/>
    <n v="0.19"/>
    <x v="0"/>
    <x v="0"/>
    <n v="135.13999999999999"/>
    <n v="165.42000000000002"/>
    <x v="5"/>
  </r>
  <r>
    <n v="420"/>
    <n v="1173"/>
    <n v="79"/>
    <n v="7"/>
    <n v="234.02"/>
    <n v="0"/>
    <x v="373"/>
    <x v="4"/>
    <x v="25"/>
    <x v="15"/>
    <n v="56.55"/>
    <n v="0.03"/>
    <x v="0"/>
    <x v="5"/>
    <n v="111.97"/>
    <n v="1526.17"/>
    <x v="3"/>
  </r>
  <r>
    <n v="421"/>
    <n v="1173"/>
    <n v="98"/>
    <n v="6"/>
    <n v="285.64"/>
    <n v="0"/>
    <x v="340"/>
    <x v="4"/>
    <x v="130"/>
    <x v="15"/>
    <n v="56.55"/>
    <n v="0.03"/>
    <x v="0"/>
    <x v="3"/>
    <n v="136.99"/>
    <n v="1576.85"/>
    <x v="0"/>
  </r>
  <r>
    <n v="422"/>
    <n v="1173"/>
    <n v="24"/>
    <n v="4"/>
    <n v="20.55"/>
    <n v="0"/>
    <x v="374"/>
    <x v="4"/>
    <x v="101"/>
    <x v="15"/>
    <n v="56.55"/>
    <n v="0.69"/>
    <x v="0"/>
    <x v="0"/>
    <n v="61.73"/>
    <n v="20.470000000000006"/>
    <x v="6"/>
  </r>
  <r>
    <n v="423"/>
    <n v="1174"/>
    <n v="112"/>
    <n v="6"/>
    <n v="154.88"/>
    <n v="0"/>
    <x v="375"/>
    <x v="3"/>
    <x v="98"/>
    <x v="5"/>
    <n v="99.21"/>
    <n v="0.11"/>
    <x v="3"/>
    <x v="3"/>
    <n v="118.03"/>
    <n v="811.25"/>
    <x v="3"/>
  </r>
  <r>
    <n v="424"/>
    <n v="1174"/>
    <n v="131"/>
    <n v="7"/>
    <n v="57.46"/>
    <n v="0"/>
    <x v="376"/>
    <x v="3"/>
    <x v="117"/>
    <x v="5"/>
    <n v="99.21"/>
    <n v="0.25"/>
    <x v="3"/>
    <x v="1"/>
    <n v="44.34"/>
    <n v="357.88"/>
    <x v="0"/>
  </r>
  <r>
    <n v="425"/>
    <n v="1174"/>
    <n v="16"/>
    <n v="6"/>
    <n v="168.61"/>
    <n v="0"/>
    <x v="377"/>
    <x v="3"/>
    <x v="134"/>
    <x v="5"/>
    <n v="99.21"/>
    <n v="0.1"/>
    <x v="3"/>
    <x v="0"/>
    <n v="135.37"/>
    <n v="876.29000000000008"/>
    <x v="7"/>
  </r>
  <r>
    <n v="426"/>
    <n v="1175"/>
    <n v="98"/>
    <n v="7"/>
    <n v="285.64"/>
    <n v="0"/>
    <x v="378"/>
    <x v="2"/>
    <x v="130"/>
    <x v="11"/>
    <n v="79.209999999999994"/>
    <n v="0.04"/>
    <x v="0"/>
    <x v="3"/>
    <n v="136.99"/>
    <n v="1862.49"/>
    <x v="0"/>
  </r>
  <r>
    <n v="427"/>
    <n v="1175"/>
    <n v="45"/>
    <n v="8"/>
    <n v="184.44"/>
    <n v="2.95"/>
    <x v="379"/>
    <x v="2"/>
    <x v="0"/>
    <x v="11"/>
    <n v="79.209999999999994"/>
    <n v="0.05"/>
    <x v="0"/>
    <x v="0"/>
    <n v="48.09"/>
    <n v="1424.48"/>
    <x v="0"/>
  </r>
  <r>
    <n v="428"/>
    <n v="1175"/>
    <n v="93"/>
    <n v="7"/>
    <n v="277.07"/>
    <n v="0"/>
    <x v="380"/>
    <x v="2"/>
    <x v="122"/>
    <x v="11"/>
    <n v="79.209999999999994"/>
    <n v="0.04"/>
    <x v="0"/>
    <x v="2"/>
    <n v="152.09"/>
    <n v="1787.4"/>
    <x v="2"/>
  </r>
  <r>
    <n v="429"/>
    <n v="1176"/>
    <n v="109"/>
    <n v="3"/>
    <n v="257.52"/>
    <n v="7.36"/>
    <x v="381"/>
    <x v="0"/>
    <x v="73"/>
    <x v="0"/>
    <n v="60.06"/>
    <n v="0.08"/>
    <x v="1"/>
    <x v="0"/>
    <n v="10.02"/>
    <n v="755.18"/>
    <x v="2"/>
  </r>
  <r>
    <n v="430"/>
    <n v="1176"/>
    <n v="142"/>
    <n v="8"/>
    <n v="192.45"/>
    <n v="0"/>
    <x v="382"/>
    <x v="0"/>
    <x v="105"/>
    <x v="0"/>
    <n v="60.06"/>
    <n v="0.04"/>
    <x v="1"/>
    <x v="4"/>
    <n v="95.73"/>
    <n v="1443.87"/>
    <x v="6"/>
  </r>
  <r>
    <n v="431"/>
    <n v="1176"/>
    <n v="48"/>
    <n v="7"/>
    <n v="299.56"/>
    <n v="9.4600000000000009"/>
    <x v="383"/>
    <x v="0"/>
    <x v="62"/>
    <x v="0"/>
    <n v="60.06"/>
    <n v="0.03"/>
    <x v="1"/>
    <x v="1"/>
    <n v="85.2"/>
    <n v="2002.26"/>
    <x v="0"/>
  </r>
  <r>
    <n v="432"/>
    <n v="1176"/>
    <n v="61"/>
    <n v="5"/>
    <n v="293.22000000000003"/>
    <n v="0"/>
    <x v="19"/>
    <x v="0"/>
    <x v="19"/>
    <x v="0"/>
    <n v="60.06"/>
    <n v="0.04"/>
    <x v="1"/>
    <x v="3"/>
    <n v="156.31"/>
    <n v="1309.7900000000002"/>
    <x v="7"/>
  </r>
  <r>
    <n v="433"/>
    <n v="1177"/>
    <n v="120"/>
    <n v="2"/>
    <n v="229.55"/>
    <n v="0"/>
    <x v="354"/>
    <x v="3"/>
    <x v="26"/>
    <x v="10"/>
    <n v="56.67"/>
    <n v="0.12"/>
    <x v="1"/>
    <x v="0"/>
    <n v="116.63"/>
    <n v="342.47"/>
    <x v="1"/>
  </r>
  <r>
    <n v="434"/>
    <n v="1177"/>
    <n v="63"/>
    <n v="8"/>
    <n v="214.86"/>
    <n v="0"/>
    <x v="384"/>
    <x v="3"/>
    <x v="24"/>
    <x v="10"/>
    <n v="56.67"/>
    <n v="0.03"/>
    <x v="1"/>
    <x v="1"/>
    <n v="32.86"/>
    <n v="1686.0200000000002"/>
    <x v="3"/>
  </r>
  <r>
    <n v="435"/>
    <n v="1177"/>
    <n v="139"/>
    <n v="5"/>
    <n v="156.21"/>
    <n v="0"/>
    <x v="385"/>
    <x v="3"/>
    <x v="13"/>
    <x v="10"/>
    <n v="56.67"/>
    <n v="7.0000000000000007E-2"/>
    <x v="1"/>
    <x v="3"/>
    <n v="77.040000000000006"/>
    <n v="704.0100000000001"/>
    <x v="7"/>
  </r>
  <r>
    <n v="436"/>
    <n v="1178"/>
    <n v="78"/>
    <n v="5"/>
    <n v="71.75"/>
    <n v="1.86"/>
    <x v="386"/>
    <x v="2"/>
    <x v="46"/>
    <x v="12"/>
    <n v="0"/>
    <n v="0"/>
    <x v="3"/>
    <x v="0"/>
    <n v="44.31"/>
    <n v="312.58"/>
    <x v="3"/>
  </r>
  <r>
    <n v="437"/>
    <n v="1179"/>
    <n v="74"/>
    <n v="8"/>
    <n v="130.72999999999999"/>
    <n v="0"/>
    <x v="341"/>
    <x v="0"/>
    <x v="141"/>
    <x v="3"/>
    <n v="75.430000000000007"/>
    <n v="7.0000000000000007E-2"/>
    <x v="3"/>
    <x v="5"/>
    <n v="104.59"/>
    <n v="941.24999999999989"/>
    <x v="7"/>
  </r>
  <r>
    <n v="438"/>
    <n v="1180"/>
    <n v="95"/>
    <n v="3"/>
    <n v="75.319999999999993"/>
    <n v="0"/>
    <x v="105"/>
    <x v="3"/>
    <x v="83"/>
    <x v="9"/>
    <n v="28.46"/>
    <n v="0.13"/>
    <x v="1"/>
    <x v="0"/>
    <n v="71.34"/>
    <n v="154.61999999999998"/>
    <x v="6"/>
  </r>
  <r>
    <n v="439"/>
    <n v="1180"/>
    <n v="125"/>
    <n v="3"/>
    <n v="273.92"/>
    <n v="0"/>
    <x v="387"/>
    <x v="3"/>
    <x v="124"/>
    <x v="9"/>
    <n v="28.46"/>
    <n v="0.03"/>
    <x v="1"/>
    <x v="0"/>
    <n v="71.569999999999993"/>
    <n v="750.19"/>
    <x v="3"/>
  </r>
  <r>
    <n v="440"/>
    <n v="1180"/>
    <n v="88"/>
    <n v="2"/>
    <n v="109.3"/>
    <n v="0"/>
    <x v="388"/>
    <x v="3"/>
    <x v="38"/>
    <x v="9"/>
    <n v="28.46"/>
    <n v="0.13"/>
    <x v="1"/>
    <x v="1"/>
    <n v="77.599999999999994"/>
    <n v="141"/>
    <x v="3"/>
  </r>
  <r>
    <n v="441"/>
    <n v="1180"/>
    <n v="127"/>
    <n v="7"/>
    <n v="38.14"/>
    <n v="0"/>
    <x v="389"/>
    <x v="3"/>
    <x v="45"/>
    <x v="9"/>
    <n v="28.46"/>
    <n v="0.11"/>
    <x v="1"/>
    <x v="3"/>
    <n v="51.31"/>
    <n v="215.67000000000002"/>
    <x v="3"/>
  </r>
  <r>
    <n v="442"/>
    <n v="1181"/>
    <n v="122"/>
    <n v="5"/>
    <n v="151.15"/>
    <n v="0"/>
    <x v="141"/>
    <x v="0"/>
    <x v="103"/>
    <x v="17"/>
    <n v="114.92"/>
    <n v="0.15"/>
    <x v="1"/>
    <x v="3"/>
    <n v="169.69"/>
    <n v="586.05999999999995"/>
    <x v="6"/>
  </r>
  <r>
    <n v="443"/>
    <n v="1181"/>
    <n v="98"/>
    <n v="7"/>
    <n v="285.64"/>
    <n v="0"/>
    <x v="378"/>
    <x v="0"/>
    <x v="130"/>
    <x v="17"/>
    <n v="114.92"/>
    <n v="0.06"/>
    <x v="1"/>
    <x v="3"/>
    <n v="136.99"/>
    <n v="1862.49"/>
    <x v="0"/>
  </r>
  <r>
    <n v="444"/>
    <n v="1181"/>
    <n v="136"/>
    <n v="7"/>
    <n v="230.54"/>
    <n v="1.17"/>
    <x v="390"/>
    <x v="0"/>
    <x v="143"/>
    <x v="17"/>
    <n v="114.92"/>
    <n v="7.0000000000000007E-2"/>
    <x v="1"/>
    <x v="3"/>
    <n v="12.04"/>
    <n v="1600.57"/>
    <x v="1"/>
  </r>
  <r>
    <n v="445"/>
    <n v="1181"/>
    <n v="98"/>
    <n v="6"/>
    <n v="285.64"/>
    <n v="0"/>
    <x v="340"/>
    <x v="0"/>
    <x v="130"/>
    <x v="17"/>
    <n v="114.92"/>
    <n v="7.0000000000000007E-2"/>
    <x v="1"/>
    <x v="3"/>
    <n v="136.99"/>
    <n v="1576.85"/>
    <x v="0"/>
  </r>
  <r>
    <n v="446"/>
    <n v="1182"/>
    <n v="119"/>
    <n v="4"/>
    <n v="27.97"/>
    <n v="0"/>
    <x v="391"/>
    <x v="1"/>
    <x v="57"/>
    <x v="8"/>
    <n v="0"/>
    <n v="0"/>
    <x v="0"/>
    <x v="4"/>
    <n v="27.15"/>
    <n v="84.72999999999999"/>
    <x v="6"/>
  </r>
  <r>
    <n v="447"/>
    <n v="1182"/>
    <n v="134"/>
    <n v="6"/>
    <n v="26.36"/>
    <n v="0"/>
    <x v="173"/>
    <x v="1"/>
    <x v="85"/>
    <x v="8"/>
    <n v="0"/>
    <n v="0"/>
    <x v="0"/>
    <x v="0"/>
    <n v="19.079999999999998"/>
    <n v="139.07999999999998"/>
    <x v="5"/>
  </r>
  <r>
    <n v="448"/>
    <n v="1182"/>
    <n v="81"/>
    <n v="1"/>
    <n v="244.17"/>
    <n v="0"/>
    <x v="169"/>
    <x v="1"/>
    <x v="47"/>
    <x v="8"/>
    <n v="0"/>
    <n v="0"/>
    <x v="0"/>
    <x v="4"/>
    <n v="43.3"/>
    <n v="200.87"/>
    <x v="0"/>
  </r>
  <r>
    <n v="449"/>
    <n v="1182"/>
    <n v="4"/>
    <n v="7"/>
    <n v="94.28"/>
    <n v="0"/>
    <x v="145"/>
    <x v="1"/>
    <x v="79"/>
    <x v="8"/>
    <n v="0"/>
    <n v="0"/>
    <x v="0"/>
    <x v="0"/>
    <n v="83.61"/>
    <n v="576.35"/>
    <x v="2"/>
  </r>
  <r>
    <n v="450"/>
    <n v="1183"/>
    <n v="50"/>
    <n v="1"/>
    <n v="252.62"/>
    <n v="0"/>
    <x v="392"/>
    <x v="1"/>
    <x v="140"/>
    <x v="12"/>
    <n v="97.17"/>
    <n v="0.38"/>
    <x v="1"/>
    <x v="3"/>
    <n v="32.61"/>
    <n v="220.01"/>
    <x v="4"/>
  </r>
  <r>
    <n v="451"/>
    <n v="1183"/>
    <n v="15"/>
    <n v="4"/>
    <n v="198.21"/>
    <n v="0"/>
    <x v="127"/>
    <x v="1"/>
    <x v="93"/>
    <x v="12"/>
    <n v="97.17"/>
    <n v="0.12"/>
    <x v="1"/>
    <x v="3"/>
    <n v="159.82"/>
    <n v="633.02"/>
    <x v="5"/>
  </r>
  <r>
    <n v="452"/>
    <n v="1183"/>
    <n v="31"/>
    <n v="2"/>
    <n v="35.19"/>
    <n v="0"/>
    <x v="393"/>
    <x v="1"/>
    <x v="84"/>
    <x v="12"/>
    <n v="97.17"/>
    <n v="1.38"/>
    <x v="1"/>
    <x v="1"/>
    <n v="155.44"/>
    <n v="-85.06"/>
    <x v="0"/>
  </r>
  <r>
    <n v="453"/>
    <n v="1184"/>
    <n v="71"/>
    <n v="7"/>
    <n v="277.42"/>
    <n v="0"/>
    <x v="394"/>
    <x v="1"/>
    <x v="90"/>
    <x v="1"/>
    <n v="49.55"/>
    <n v="0.03"/>
    <x v="1"/>
    <x v="2"/>
    <n v="171.05"/>
    <n v="1770.89"/>
    <x v="2"/>
  </r>
  <r>
    <n v="454"/>
    <n v="1184"/>
    <n v="66"/>
    <n v="3"/>
    <n v="94.55"/>
    <n v="0"/>
    <x v="395"/>
    <x v="1"/>
    <x v="29"/>
    <x v="1"/>
    <n v="49.55"/>
    <n v="0.17"/>
    <x v="1"/>
    <x v="1"/>
    <n v="174.21"/>
    <n v="109.43999999999997"/>
    <x v="1"/>
  </r>
  <r>
    <n v="455"/>
    <n v="1184"/>
    <n v="16"/>
    <n v="7"/>
    <n v="168.61"/>
    <n v="0"/>
    <x v="396"/>
    <x v="1"/>
    <x v="134"/>
    <x v="1"/>
    <n v="49.55"/>
    <n v="0.04"/>
    <x v="1"/>
    <x v="0"/>
    <n v="135.37"/>
    <n v="1044.9000000000001"/>
    <x v="7"/>
  </r>
  <r>
    <n v="456"/>
    <n v="1184"/>
    <n v="67"/>
    <n v="5"/>
    <n v="291.56"/>
    <n v="0"/>
    <x v="397"/>
    <x v="1"/>
    <x v="5"/>
    <x v="1"/>
    <n v="49.55"/>
    <n v="0.03"/>
    <x v="1"/>
    <x v="2"/>
    <n v="25.18"/>
    <n v="1432.62"/>
    <x v="4"/>
  </r>
  <r>
    <n v="457"/>
    <n v="1185"/>
    <n v="114"/>
    <n v="5"/>
    <n v="171.86"/>
    <n v="0"/>
    <x v="398"/>
    <x v="2"/>
    <x v="144"/>
    <x v="11"/>
    <n v="573.74"/>
    <n v="0.67"/>
    <x v="0"/>
    <x v="1"/>
    <n v="179.41"/>
    <n v="679.8900000000001"/>
    <x v="4"/>
  </r>
  <r>
    <n v="458"/>
    <n v="1186"/>
    <n v="101"/>
    <n v="1"/>
    <n v="45.81"/>
    <n v="8.2200000000000006"/>
    <x v="399"/>
    <x v="2"/>
    <x v="77"/>
    <x v="4"/>
    <n v="83.09"/>
    <n v="2.21"/>
    <x v="1"/>
    <x v="3"/>
    <n v="173.83"/>
    <n v="-136.24"/>
    <x v="0"/>
  </r>
  <r>
    <n v="459"/>
    <n v="1186"/>
    <n v="123"/>
    <n v="7"/>
    <n v="210.64"/>
    <n v="0"/>
    <x v="400"/>
    <x v="2"/>
    <x v="127"/>
    <x v="4"/>
    <n v="83.09"/>
    <n v="0.06"/>
    <x v="1"/>
    <x v="4"/>
    <n v="105.98"/>
    <n v="1368.5"/>
    <x v="5"/>
  </r>
  <r>
    <n v="460"/>
    <n v="1186"/>
    <n v="139"/>
    <n v="4"/>
    <n v="156.21"/>
    <n v="1.05"/>
    <x v="401"/>
    <x v="2"/>
    <x v="13"/>
    <x v="4"/>
    <n v="83.09"/>
    <n v="0.13"/>
    <x v="1"/>
    <x v="3"/>
    <n v="77.040000000000006"/>
    <n v="546.75000000000011"/>
    <x v="7"/>
  </r>
  <r>
    <n v="461"/>
    <n v="1187"/>
    <n v="46"/>
    <n v="1"/>
    <n v="219.11"/>
    <n v="0"/>
    <x v="402"/>
    <x v="1"/>
    <x v="31"/>
    <x v="12"/>
    <n v="89.3"/>
    <n v="0.41"/>
    <x v="2"/>
    <x v="5"/>
    <n v="40.75"/>
    <n v="178.36"/>
    <x v="4"/>
  </r>
  <r>
    <n v="462"/>
    <n v="1187"/>
    <n v="77"/>
    <n v="7"/>
    <n v="195.39"/>
    <n v="0"/>
    <x v="403"/>
    <x v="1"/>
    <x v="21"/>
    <x v="12"/>
    <n v="89.3"/>
    <n v="7.0000000000000007E-2"/>
    <x v="2"/>
    <x v="0"/>
    <n v="95.2"/>
    <n v="1272.53"/>
    <x v="0"/>
  </r>
  <r>
    <n v="463"/>
    <n v="1188"/>
    <n v="128"/>
    <n v="8"/>
    <n v="143.38999999999999"/>
    <n v="0"/>
    <x v="404"/>
    <x v="1"/>
    <x v="51"/>
    <x v="7"/>
    <n v="89.96"/>
    <n v="0.08"/>
    <x v="2"/>
    <x v="2"/>
    <n v="5.47"/>
    <n v="1141.6499999999999"/>
    <x v="0"/>
  </r>
  <r>
    <n v="464"/>
    <n v="1188"/>
    <n v="10"/>
    <n v="6"/>
    <n v="144.22"/>
    <n v="0"/>
    <x v="405"/>
    <x v="1"/>
    <x v="106"/>
    <x v="7"/>
    <n v="89.96"/>
    <n v="0.1"/>
    <x v="2"/>
    <x v="0"/>
    <n v="71.52"/>
    <n v="793.8"/>
    <x v="3"/>
  </r>
  <r>
    <n v="465"/>
    <n v="1188"/>
    <n v="104"/>
    <n v="2"/>
    <n v="199.55"/>
    <n v="3.96"/>
    <x v="406"/>
    <x v="1"/>
    <x v="69"/>
    <x v="7"/>
    <n v="89.96"/>
    <n v="0.23"/>
    <x v="2"/>
    <x v="2"/>
    <n v="17.07"/>
    <n v="378.07000000000005"/>
    <x v="2"/>
  </r>
  <r>
    <n v="466"/>
    <n v="1189"/>
    <n v="63"/>
    <n v="3"/>
    <n v="214.86"/>
    <n v="0"/>
    <x v="64"/>
    <x v="4"/>
    <x v="24"/>
    <x v="15"/>
    <n v="74.900000000000006"/>
    <n v="0.12"/>
    <x v="0"/>
    <x v="1"/>
    <n v="32.86"/>
    <n v="611.72"/>
    <x v="3"/>
  </r>
  <r>
    <n v="467"/>
    <n v="1190"/>
    <n v="52"/>
    <n v="7"/>
    <n v="59.3"/>
    <n v="5.72"/>
    <x v="407"/>
    <x v="4"/>
    <x v="121"/>
    <x v="15"/>
    <n v="67.319999999999993"/>
    <n v="0.16"/>
    <x v="0"/>
    <x v="4"/>
    <n v="134.91999999999999"/>
    <n v="274.45999999999992"/>
    <x v="0"/>
  </r>
  <r>
    <n v="468"/>
    <n v="1191"/>
    <n v="37"/>
    <n v="7"/>
    <n v="258.95"/>
    <n v="0"/>
    <x v="408"/>
    <x v="3"/>
    <x v="145"/>
    <x v="9"/>
    <n v="0"/>
    <n v="0"/>
    <x v="0"/>
    <x v="5"/>
    <n v="146.4"/>
    <n v="1666.2499999999998"/>
    <x v="0"/>
  </r>
  <r>
    <n v="469"/>
    <n v="1191"/>
    <n v="142"/>
    <n v="3"/>
    <n v="192.45"/>
    <n v="0"/>
    <x v="409"/>
    <x v="3"/>
    <x v="105"/>
    <x v="9"/>
    <n v="0"/>
    <n v="0"/>
    <x v="0"/>
    <x v="4"/>
    <n v="95.73"/>
    <n v="481.61999999999989"/>
    <x v="6"/>
  </r>
  <r>
    <n v="470"/>
    <n v="1191"/>
    <n v="35"/>
    <n v="2"/>
    <n v="46.14"/>
    <n v="12.07"/>
    <x v="410"/>
    <x v="3"/>
    <x v="2"/>
    <x v="9"/>
    <n v="0"/>
    <n v="0"/>
    <x v="0"/>
    <x v="1"/>
    <n v="145.1"/>
    <n v="-64.889999999999986"/>
    <x v="2"/>
  </r>
  <r>
    <n v="471"/>
    <n v="1192"/>
    <n v="46"/>
    <n v="2"/>
    <n v="219.11"/>
    <n v="0"/>
    <x v="33"/>
    <x v="0"/>
    <x v="31"/>
    <x v="18"/>
    <n v="84.31"/>
    <n v="0.19"/>
    <x v="0"/>
    <x v="5"/>
    <n v="40.75"/>
    <n v="397.47"/>
    <x v="4"/>
  </r>
  <r>
    <n v="472"/>
    <n v="1193"/>
    <n v="47"/>
    <n v="8"/>
    <n v="100.5"/>
    <n v="0"/>
    <x v="411"/>
    <x v="2"/>
    <x v="113"/>
    <x v="13"/>
    <n v="52.58"/>
    <n v="7.0000000000000007E-2"/>
    <x v="1"/>
    <x v="1"/>
    <n v="122.55"/>
    <n v="681.45"/>
    <x v="2"/>
  </r>
  <r>
    <n v="473"/>
    <n v="1194"/>
    <n v="119"/>
    <n v="4"/>
    <n v="27.97"/>
    <n v="0"/>
    <x v="391"/>
    <x v="0"/>
    <x v="57"/>
    <x v="17"/>
    <n v="81.739999999999995"/>
    <n v="0.73"/>
    <x v="3"/>
    <x v="4"/>
    <n v="27.15"/>
    <n v="84.72999999999999"/>
    <x v="6"/>
  </r>
  <r>
    <n v="474"/>
    <n v="1194"/>
    <n v="29"/>
    <n v="3"/>
    <n v="33.25"/>
    <n v="10.59"/>
    <x v="412"/>
    <x v="0"/>
    <x v="94"/>
    <x v="17"/>
    <n v="81.739999999999995"/>
    <n v="0.92"/>
    <x v="3"/>
    <x v="1"/>
    <n v="48.38"/>
    <n v="40.779999999999994"/>
    <x v="5"/>
  </r>
  <r>
    <n v="475"/>
    <n v="1195"/>
    <n v="12"/>
    <n v="2"/>
    <n v="61.57"/>
    <n v="0"/>
    <x v="37"/>
    <x v="3"/>
    <x v="35"/>
    <x v="5"/>
    <n v="30.42"/>
    <n v="0.25"/>
    <x v="3"/>
    <x v="5"/>
    <n v="132.6"/>
    <n v="-9.4599999999999937"/>
    <x v="7"/>
  </r>
  <r>
    <n v="476"/>
    <n v="1195"/>
    <n v="41"/>
    <n v="1"/>
    <n v="153.69999999999999"/>
    <n v="0"/>
    <x v="413"/>
    <x v="3"/>
    <x v="118"/>
    <x v="5"/>
    <n v="30.42"/>
    <n v="0.2"/>
    <x v="3"/>
    <x v="0"/>
    <n v="120.83"/>
    <n v="32.86999999999999"/>
    <x v="2"/>
  </r>
  <r>
    <n v="477"/>
    <n v="1195"/>
    <n v="19"/>
    <n v="4"/>
    <n v="298.89"/>
    <n v="0"/>
    <x v="414"/>
    <x v="3"/>
    <x v="53"/>
    <x v="5"/>
    <n v="30.42"/>
    <n v="0.03"/>
    <x v="3"/>
    <x v="3"/>
    <n v="71.78"/>
    <n v="1123.78"/>
    <x v="0"/>
  </r>
  <r>
    <n v="478"/>
    <n v="1195"/>
    <n v="108"/>
    <n v="4"/>
    <n v="143.47999999999999"/>
    <n v="0"/>
    <x v="415"/>
    <x v="3"/>
    <x v="112"/>
    <x v="5"/>
    <n v="30.42"/>
    <n v="0.05"/>
    <x v="3"/>
    <x v="3"/>
    <n v="53.81"/>
    <n v="520.1099999999999"/>
    <x v="3"/>
  </r>
  <r>
    <n v="479"/>
    <n v="1196"/>
    <n v="14"/>
    <n v="7"/>
    <n v="33.86"/>
    <n v="3.03"/>
    <x v="416"/>
    <x v="3"/>
    <x v="37"/>
    <x v="5"/>
    <n v="102.79"/>
    <n v="0.44"/>
    <x v="2"/>
    <x v="4"/>
    <n v="75.2"/>
    <n v="158.78999999999996"/>
    <x v="6"/>
  </r>
  <r>
    <n v="480"/>
    <n v="1196"/>
    <n v="46"/>
    <n v="7"/>
    <n v="219.11"/>
    <n v="6.23"/>
    <x v="417"/>
    <x v="3"/>
    <x v="31"/>
    <x v="5"/>
    <n v="102.79"/>
    <n v="7.0000000000000007E-2"/>
    <x v="2"/>
    <x v="5"/>
    <n v="40.75"/>
    <n v="1486.79"/>
    <x v="4"/>
  </r>
  <r>
    <n v="481"/>
    <n v="1196"/>
    <n v="50"/>
    <n v="6"/>
    <n v="252.62"/>
    <n v="0"/>
    <x v="418"/>
    <x v="3"/>
    <x v="140"/>
    <x v="5"/>
    <n v="102.79"/>
    <n v="7.0000000000000007E-2"/>
    <x v="2"/>
    <x v="3"/>
    <n v="32.61"/>
    <n v="1483.1100000000001"/>
    <x v="4"/>
  </r>
  <r>
    <n v="482"/>
    <n v="1196"/>
    <n v="86"/>
    <n v="3"/>
    <n v="81.83"/>
    <n v="0"/>
    <x v="344"/>
    <x v="3"/>
    <x v="132"/>
    <x v="5"/>
    <n v="102.79"/>
    <n v="0.42"/>
    <x v="2"/>
    <x v="0"/>
    <n v="129.87"/>
    <n v="115.62"/>
    <x v="5"/>
  </r>
  <r>
    <n v="483"/>
    <n v="1197"/>
    <n v="148"/>
    <n v="4"/>
    <n v="124.32"/>
    <n v="2.21"/>
    <x v="419"/>
    <x v="1"/>
    <x v="60"/>
    <x v="1"/>
    <n v="89.4"/>
    <n v="0.18"/>
    <x v="1"/>
    <x v="0"/>
    <n v="101.47"/>
    <n v="393.6"/>
    <x v="3"/>
  </r>
  <r>
    <n v="484"/>
    <n v="1197"/>
    <n v="56"/>
    <n v="8"/>
    <n v="172.23"/>
    <n v="0"/>
    <x v="420"/>
    <x v="1"/>
    <x v="11"/>
    <x v="1"/>
    <n v="89.4"/>
    <n v="0.06"/>
    <x v="1"/>
    <x v="3"/>
    <n v="134.72"/>
    <n v="1243.1199999999999"/>
    <x v="1"/>
  </r>
  <r>
    <n v="485"/>
    <n v="1198"/>
    <n v="107"/>
    <n v="1"/>
    <n v="223.34"/>
    <n v="1.56"/>
    <x v="421"/>
    <x v="3"/>
    <x v="6"/>
    <x v="5"/>
    <n v="65.61"/>
    <n v="0.3"/>
    <x v="1"/>
    <x v="3"/>
    <n v="81.23"/>
    <n v="140.55000000000001"/>
    <x v="5"/>
  </r>
  <r>
    <n v="486"/>
    <n v="1199"/>
    <n v="105"/>
    <n v="4"/>
    <n v="288.82"/>
    <n v="0"/>
    <x v="422"/>
    <x v="4"/>
    <x v="146"/>
    <x v="15"/>
    <n v="5.85"/>
    <n v="0.01"/>
    <x v="0"/>
    <x v="2"/>
    <n v="23.47"/>
    <n v="1131.81"/>
    <x v="2"/>
  </r>
  <r>
    <n v="487"/>
    <n v="1200"/>
    <n v="48"/>
    <n v="6"/>
    <n v="299.56"/>
    <n v="0"/>
    <x v="72"/>
    <x v="0"/>
    <x v="62"/>
    <x v="18"/>
    <n v="63.71"/>
    <n v="0.04"/>
    <x v="2"/>
    <x v="1"/>
    <n v="85.2"/>
    <n v="1712.16"/>
    <x v="0"/>
  </r>
  <r>
    <n v="488"/>
    <n v="1200"/>
    <n v="19"/>
    <n v="7"/>
    <n v="298.89"/>
    <n v="0"/>
    <x v="423"/>
    <x v="0"/>
    <x v="53"/>
    <x v="18"/>
    <n v="63.71"/>
    <n v="0.03"/>
    <x v="2"/>
    <x v="3"/>
    <n v="71.78"/>
    <n v="2020.45"/>
    <x v="0"/>
  </r>
  <r>
    <n v="489"/>
    <n v="1200"/>
    <n v="136"/>
    <n v="1"/>
    <n v="230.54"/>
    <n v="0"/>
    <x v="424"/>
    <x v="0"/>
    <x v="143"/>
    <x v="18"/>
    <n v="63.71"/>
    <n v="0.28000000000000003"/>
    <x v="2"/>
    <x v="3"/>
    <n v="12.04"/>
    <n v="218.5"/>
    <x v="1"/>
  </r>
  <r>
    <n v="490"/>
    <n v="1200"/>
    <n v="139"/>
    <n v="4"/>
    <n v="156.21"/>
    <n v="0"/>
    <x v="425"/>
    <x v="0"/>
    <x v="13"/>
    <x v="18"/>
    <n v="63.71"/>
    <n v="0.1"/>
    <x v="2"/>
    <x v="3"/>
    <n v="77.040000000000006"/>
    <n v="547.80000000000007"/>
    <x v="7"/>
  </r>
  <r>
    <n v="491"/>
    <n v="1201"/>
    <n v="94"/>
    <n v="6"/>
    <n v="53.67"/>
    <n v="0"/>
    <x v="68"/>
    <x v="2"/>
    <x v="50"/>
    <x v="4"/>
    <n v="0"/>
    <n v="0"/>
    <x v="2"/>
    <x v="0"/>
    <n v="117.48"/>
    <n v="204.53999999999996"/>
    <x v="6"/>
  </r>
  <r>
    <n v="492"/>
    <n v="1202"/>
    <n v="123"/>
    <n v="4"/>
    <n v="210.64"/>
    <n v="0"/>
    <x v="426"/>
    <x v="3"/>
    <x v="127"/>
    <x v="5"/>
    <n v="62.41"/>
    <n v="7.0000000000000007E-2"/>
    <x v="3"/>
    <x v="4"/>
    <n v="105.98"/>
    <n v="736.57999999999993"/>
    <x v="5"/>
  </r>
  <r>
    <n v="493"/>
    <n v="1203"/>
    <n v="121"/>
    <n v="5"/>
    <n v="151.43"/>
    <n v="0"/>
    <x v="427"/>
    <x v="1"/>
    <x v="78"/>
    <x v="12"/>
    <n v="25.85"/>
    <n v="0.03"/>
    <x v="2"/>
    <x v="3"/>
    <n v="54.76"/>
    <n v="702.3900000000001"/>
    <x v="6"/>
  </r>
  <r>
    <n v="494"/>
    <n v="1204"/>
    <n v="71"/>
    <n v="2"/>
    <n v="277.42"/>
    <n v="10.76"/>
    <x v="428"/>
    <x v="3"/>
    <x v="90"/>
    <x v="14"/>
    <n v="0"/>
    <n v="0"/>
    <x v="0"/>
    <x v="2"/>
    <n v="171.05"/>
    <n v="373.03000000000003"/>
    <x v="2"/>
  </r>
  <r>
    <n v="495"/>
    <n v="1204"/>
    <n v="39"/>
    <n v="4"/>
    <n v="129.30000000000001"/>
    <n v="0"/>
    <x v="336"/>
    <x v="3"/>
    <x v="75"/>
    <x v="14"/>
    <n v="0"/>
    <n v="0"/>
    <x v="0"/>
    <x v="2"/>
    <n v="42.41"/>
    <n v="474.79000000000008"/>
    <x v="5"/>
  </r>
  <r>
    <n v="496"/>
    <n v="1205"/>
    <n v="6"/>
    <n v="5"/>
    <n v="256.54000000000002"/>
    <n v="0"/>
    <x v="429"/>
    <x v="3"/>
    <x v="10"/>
    <x v="10"/>
    <n v="60.17"/>
    <n v="0.05"/>
    <x v="3"/>
    <x v="3"/>
    <n v="21.93"/>
    <n v="1260.77"/>
    <x v="0"/>
  </r>
  <r>
    <n v="497"/>
    <n v="1205"/>
    <n v="60"/>
    <n v="6"/>
    <n v="115.8"/>
    <n v="0"/>
    <x v="18"/>
    <x v="3"/>
    <x v="18"/>
    <x v="10"/>
    <n v="60.17"/>
    <n v="0.09"/>
    <x v="3"/>
    <x v="0"/>
    <n v="121.71"/>
    <n v="573.08999999999992"/>
    <x v="3"/>
  </r>
  <r>
    <n v="498"/>
    <n v="1205"/>
    <n v="84"/>
    <n v="8"/>
    <n v="150.28"/>
    <n v="9.31"/>
    <x v="430"/>
    <x v="3"/>
    <x v="49"/>
    <x v="10"/>
    <n v="60.17"/>
    <n v="0.05"/>
    <x v="3"/>
    <x v="0"/>
    <n v="135.13999999999999"/>
    <n v="1057.79"/>
    <x v="5"/>
  </r>
  <r>
    <n v="499"/>
    <n v="1205"/>
    <n v="118"/>
    <n v="5"/>
    <n v="150.47"/>
    <n v="0"/>
    <x v="431"/>
    <x v="3"/>
    <x v="15"/>
    <x v="10"/>
    <n v="60.17"/>
    <n v="0.08"/>
    <x v="3"/>
    <x v="1"/>
    <n v="44.81"/>
    <n v="707.54"/>
    <x v="3"/>
  </r>
  <r>
    <n v="500"/>
    <n v="1206"/>
    <n v="138"/>
    <n v="5"/>
    <n v="106.5"/>
    <n v="0"/>
    <x v="432"/>
    <x v="1"/>
    <x v="86"/>
    <x v="8"/>
    <n v="55.14"/>
    <n v="0.1"/>
    <x v="1"/>
    <x v="3"/>
    <n v="76.459999999999994"/>
    <n v="456.04"/>
    <x v="5"/>
  </r>
  <r>
    <n v="501"/>
    <n v="1206"/>
    <n v="40"/>
    <n v="3"/>
    <n v="90.58"/>
    <n v="0"/>
    <x v="433"/>
    <x v="1"/>
    <x v="81"/>
    <x v="8"/>
    <n v="55.14"/>
    <n v="0.2"/>
    <x v="1"/>
    <x v="1"/>
    <n v="177.43"/>
    <n v="94.31"/>
    <x v="2"/>
  </r>
  <r>
    <n v="502"/>
    <n v="1207"/>
    <n v="137"/>
    <n v="5"/>
    <n v="181.82"/>
    <n v="0"/>
    <x v="79"/>
    <x v="1"/>
    <x v="14"/>
    <x v="12"/>
    <n v="116.54"/>
    <n v="0.13"/>
    <x v="3"/>
    <x v="1"/>
    <n v="36.76"/>
    <n v="872.33999999999992"/>
    <x v="5"/>
  </r>
  <r>
    <n v="503"/>
    <n v="1207"/>
    <n v="104"/>
    <n v="8"/>
    <n v="199.55"/>
    <n v="11.76"/>
    <x v="434"/>
    <x v="1"/>
    <x v="69"/>
    <x v="12"/>
    <n v="116.54"/>
    <n v="7.0000000000000007E-2"/>
    <x v="3"/>
    <x v="2"/>
    <n v="17.07"/>
    <n v="1567.5700000000002"/>
    <x v="2"/>
  </r>
  <r>
    <n v="504"/>
    <n v="1208"/>
    <n v="145"/>
    <n v="8"/>
    <n v="172.39"/>
    <n v="0"/>
    <x v="86"/>
    <x v="4"/>
    <x v="71"/>
    <x v="13"/>
    <n v="0"/>
    <n v="0"/>
    <x v="0"/>
    <x v="2"/>
    <n v="101.4"/>
    <n v="1277.7199999999998"/>
    <x v="7"/>
  </r>
  <r>
    <n v="505"/>
    <n v="1208"/>
    <n v="123"/>
    <n v="1"/>
    <n v="210.64"/>
    <n v="0"/>
    <x v="435"/>
    <x v="4"/>
    <x v="127"/>
    <x v="13"/>
    <n v="0"/>
    <n v="0"/>
    <x v="0"/>
    <x v="4"/>
    <n v="105.98"/>
    <n v="104.65999999999998"/>
    <x v="5"/>
  </r>
  <r>
    <n v="506"/>
    <n v="1209"/>
    <n v="24"/>
    <n v="6"/>
    <n v="20.55"/>
    <n v="0"/>
    <x v="436"/>
    <x v="2"/>
    <x v="101"/>
    <x v="2"/>
    <n v="117.2"/>
    <n v="0.95"/>
    <x v="1"/>
    <x v="0"/>
    <n v="61.73"/>
    <n v="61.570000000000014"/>
    <x v="6"/>
  </r>
  <r>
    <n v="507"/>
    <n v="1209"/>
    <n v="150"/>
    <n v="4"/>
    <n v="100.09"/>
    <n v="0"/>
    <x v="437"/>
    <x v="2"/>
    <x v="54"/>
    <x v="2"/>
    <n v="117.2"/>
    <n v="0.28999999999999998"/>
    <x v="1"/>
    <x v="3"/>
    <n v="54.5"/>
    <n v="345.86"/>
    <x v="1"/>
  </r>
  <r>
    <n v="508"/>
    <n v="1209"/>
    <n v="51"/>
    <n v="1"/>
    <n v="204.07"/>
    <n v="2.17"/>
    <x v="438"/>
    <x v="2"/>
    <x v="133"/>
    <x v="2"/>
    <n v="117.2"/>
    <n v="0.57999999999999996"/>
    <x v="1"/>
    <x v="3"/>
    <n v="57.39"/>
    <n v="144.51"/>
    <x v="6"/>
  </r>
  <r>
    <n v="509"/>
    <n v="1210"/>
    <n v="38"/>
    <n v="7"/>
    <n v="256.88"/>
    <n v="0"/>
    <x v="439"/>
    <x v="4"/>
    <x v="147"/>
    <x v="16"/>
    <n v="73.36"/>
    <n v="0.04"/>
    <x v="1"/>
    <x v="5"/>
    <n v="167.11"/>
    <n v="1631.0499999999997"/>
    <x v="6"/>
  </r>
  <r>
    <n v="510"/>
    <n v="1210"/>
    <n v="4"/>
    <n v="5"/>
    <n v="94.28"/>
    <n v="0"/>
    <x v="100"/>
    <x v="4"/>
    <x v="79"/>
    <x v="16"/>
    <n v="73.36"/>
    <n v="0.16"/>
    <x v="1"/>
    <x v="0"/>
    <n v="83.61"/>
    <n v="387.78999999999996"/>
    <x v="2"/>
  </r>
  <r>
    <n v="511"/>
    <n v="1210"/>
    <n v="115"/>
    <n v="2"/>
    <n v="80.7"/>
    <n v="4.0199999999999996"/>
    <x v="440"/>
    <x v="4"/>
    <x v="123"/>
    <x v="16"/>
    <n v="73.36"/>
    <n v="0.47"/>
    <x v="1"/>
    <x v="2"/>
    <n v="58.66"/>
    <n v="98.72"/>
    <x v="5"/>
  </r>
  <r>
    <n v="512"/>
    <n v="1210"/>
    <n v="107"/>
    <n v="8"/>
    <n v="223.34"/>
    <n v="5.04"/>
    <x v="441"/>
    <x v="4"/>
    <x v="6"/>
    <x v="16"/>
    <n v="73.36"/>
    <n v="0.04"/>
    <x v="1"/>
    <x v="3"/>
    <n v="81.23"/>
    <n v="1700.45"/>
    <x v="5"/>
  </r>
  <r>
    <n v="513"/>
    <n v="1211"/>
    <n v="2"/>
    <n v="7"/>
    <n v="135.25"/>
    <n v="0"/>
    <x v="442"/>
    <x v="1"/>
    <x v="59"/>
    <x v="6"/>
    <n v="57.61"/>
    <n v="0.06"/>
    <x v="0"/>
    <x v="3"/>
    <n v="20.21"/>
    <n v="926.54"/>
    <x v="0"/>
  </r>
  <r>
    <n v="514"/>
    <n v="1212"/>
    <n v="78"/>
    <n v="5"/>
    <n v="71.75"/>
    <n v="7.92"/>
    <x v="443"/>
    <x v="2"/>
    <x v="46"/>
    <x v="4"/>
    <n v="0"/>
    <n v="0"/>
    <x v="0"/>
    <x v="0"/>
    <n v="44.31"/>
    <n v="306.52"/>
    <x v="3"/>
  </r>
  <r>
    <n v="515"/>
    <n v="1213"/>
    <n v="32"/>
    <n v="5"/>
    <n v="221.16"/>
    <n v="6.84"/>
    <x v="444"/>
    <x v="0"/>
    <x v="88"/>
    <x v="19"/>
    <n v="117.01"/>
    <n v="0.11"/>
    <x v="3"/>
    <x v="1"/>
    <n v="99.37"/>
    <n v="999.59"/>
    <x v="5"/>
  </r>
  <r>
    <n v="516"/>
    <n v="1213"/>
    <n v="63"/>
    <n v="1"/>
    <n v="214.86"/>
    <n v="0"/>
    <x v="445"/>
    <x v="0"/>
    <x v="24"/>
    <x v="19"/>
    <n v="117.01"/>
    <n v="0.54"/>
    <x v="3"/>
    <x v="1"/>
    <n v="32.86"/>
    <n v="182"/>
    <x v="3"/>
  </r>
  <r>
    <n v="517"/>
    <n v="1213"/>
    <n v="127"/>
    <n v="2"/>
    <n v="38.14"/>
    <n v="0"/>
    <x v="446"/>
    <x v="0"/>
    <x v="45"/>
    <x v="19"/>
    <n v="117.01"/>
    <n v="1.53"/>
    <x v="3"/>
    <x v="3"/>
    <n v="51.31"/>
    <n v="24.97"/>
    <x v="3"/>
  </r>
  <r>
    <n v="518"/>
    <n v="1213"/>
    <n v="149"/>
    <n v="8"/>
    <n v="258.51"/>
    <n v="0"/>
    <x v="447"/>
    <x v="0"/>
    <x v="148"/>
    <x v="19"/>
    <n v="117.01"/>
    <n v="0.06"/>
    <x v="3"/>
    <x v="3"/>
    <n v="140.22"/>
    <n v="1927.86"/>
    <x v="0"/>
  </r>
  <r>
    <n v="519"/>
    <n v="1214"/>
    <n v="119"/>
    <n v="3"/>
    <n v="27.97"/>
    <n v="0"/>
    <x v="61"/>
    <x v="3"/>
    <x v="57"/>
    <x v="9"/>
    <n v="92.7"/>
    <n v="1.1000000000000001"/>
    <x v="0"/>
    <x v="4"/>
    <n v="27.15"/>
    <n v="56.76"/>
    <x v="6"/>
  </r>
  <r>
    <n v="520"/>
    <n v="1214"/>
    <n v="70"/>
    <n v="6"/>
    <n v="244.86"/>
    <n v="0"/>
    <x v="448"/>
    <x v="3"/>
    <x v="131"/>
    <x v="9"/>
    <n v="92.7"/>
    <n v="0.06"/>
    <x v="0"/>
    <x v="4"/>
    <n v="95.99"/>
    <n v="1373.17"/>
    <x v="2"/>
  </r>
  <r>
    <n v="521"/>
    <n v="1214"/>
    <n v="13"/>
    <n v="5"/>
    <n v="236.16"/>
    <n v="0"/>
    <x v="449"/>
    <x v="3"/>
    <x v="115"/>
    <x v="9"/>
    <n v="92.7"/>
    <n v="0.08"/>
    <x v="0"/>
    <x v="0"/>
    <n v="152.5"/>
    <n v="1028.3"/>
    <x v="3"/>
  </r>
  <r>
    <n v="522"/>
    <n v="1215"/>
    <n v="25"/>
    <n v="6"/>
    <n v="265.23"/>
    <n v="0"/>
    <x v="450"/>
    <x v="1"/>
    <x v="136"/>
    <x v="1"/>
    <n v="100.46"/>
    <n v="0.06"/>
    <x v="1"/>
    <x v="1"/>
    <n v="15.14"/>
    <n v="1576.24"/>
    <x v="1"/>
  </r>
  <r>
    <n v="523"/>
    <n v="1215"/>
    <n v="36"/>
    <n v="5"/>
    <n v="94.39"/>
    <n v="6.22"/>
    <x v="451"/>
    <x v="1"/>
    <x v="116"/>
    <x v="1"/>
    <n v="100.46"/>
    <n v="0.22"/>
    <x v="1"/>
    <x v="0"/>
    <n v="78.83"/>
    <n v="386.9"/>
    <x v="5"/>
  </r>
  <r>
    <n v="524"/>
    <n v="1215"/>
    <n v="106"/>
    <n v="6"/>
    <n v="65.2"/>
    <n v="0"/>
    <x v="452"/>
    <x v="1"/>
    <x v="20"/>
    <x v="1"/>
    <n v="100.46"/>
    <n v="0.26"/>
    <x v="1"/>
    <x v="4"/>
    <n v="0"/>
    <n v="391.20000000000005"/>
    <x v="7"/>
  </r>
  <r>
    <n v="525"/>
    <n v="1216"/>
    <n v="123"/>
    <n v="6"/>
    <n v="210.64"/>
    <n v="0"/>
    <x v="453"/>
    <x v="2"/>
    <x v="127"/>
    <x v="13"/>
    <n v="64.680000000000007"/>
    <n v="0.05"/>
    <x v="0"/>
    <x v="4"/>
    <n v="105.98"/>
    <n v="1157.8599999999999"/>
    <x v="5"/>
  </r>
  <r>
    <n v="526"/>
    <n v="1217"/>
    <n v="59"/>
    <n v="5"/>
    <n v="48.83"/>
    <n v="0"/>
    <x v="454"/>
    <x v="0"/>
    <x v="102"/>
    <x v="17"/>
    <n v="16.510000000000002"/>
    <n v="7.0000000000000007E-2"/>
    <x v="1"/>
    <x v="5"/>
    <n v="162.32"/>
    <n v="81.829999999999984"/>
    <x v="1"/>
  </r>
  <r>
    <n v="527"/>
    <n v="1217"/>
    <n v="109"/>
    <n v="2"/>
    <n v="257.52"/>
    <n v="2.09"/>
    <x v="455"/>
    <x v="0"/>
    <x v="73"/>
    <x v="17"/>
    <n v="16.510000000000002"/>
    <n v="0.03"/>
    <x v="1"/>
    <x v="0"/>
    <n v="10.02"/>
    <n v="502.92999999999995"/>
    <x v="2"/>
  </r>
  <r>
    <n v="528"/>
    <n v="1218"/>
    <n v="3"/>
    <n v="2"/>
    <n v="22.56"/>
    <n v="0"/>
    <x v="456"/>
    <x v="0"/>
    <x v="34"/>
    <x v="17"/>
    <n v="0"/>
    <n v="0"/>
    <x v="0"/>
    <x v="3"/>
    <n v="93.44"/>
    <n v="-48.32"/>
    <x v="3"/>
  </r>
  <r>
    <n v="529"/>
    <n v="1218"/>
    <n v="52"/>
    <n v="3"/>
    <n v="59.3"/>
    <n v="0"/>
    <x v="457"/>
    <x v="0"/>
    <x v="121"/>
    <x v="17"/>
    <n v="0"/>
    <n v="0"/>
    <x v="0"/>
    <x v="4"/>
    <n v="134.91999999999999"/>
    <n v="42.97999999999999"/>
    <x v="0"/>
  </r>
  <r>
    <n v="530"/>
    <n v="1218"/>
    <n v="24"/>
    <n v="3"/>
    <n v="20.55"/>
    <n v="0"/>
    <x v="458"/>
    <x v="0"/>
    <x v="101"/>
    <x v="17"/>
    <n v="0"/>
    <n v="0"/>
    <x v="0"/>
    <x v="0"/>
    <n v="61.73"/>
    <n v="-7.9999999999991189E-2"/>
    <x v="6"/>
  </r>
  <r>
    <n v="531"/>
    <n v="1219"/>
    <n v="130"/>
    <n v="2"/>
    <n v="193.14"/>
    <n v="0"/>
    <x v="459"/>
    <x v="1"/>
    <x v="135"/>
    <x v="12"/>
    <n v="111.21"/>
    <n v="0.28999999999999998"/>
    <x v="1"/>
    <x v="3"/>
    <n v="142.87"/>
    <n v="243.40999999999997"/>
    <x v="3"/>
  </r>
  <r>
    <n v="532"/>
    <n v="1219"/>
    <n v="136"/>
    <n v="4"/>
    <n v="230.54"/>
    <n v="0"/>
    <x v="460"/>
    <x v="1"/>
    <x v="143"/>
    <x v="12"/>
    <n v="111.21"/>
    <n v="0.12"/>
    <x v="1"/>
    <x v="3"/>
    <n v="12.04"/>
    <n v="910.12"/>
    <x v="1"/>
  </r>
  <r>
    <n v="533"/>
    <n v="1220"/>
    <n v="91"/>
    <n v="7"/>
    <n v="170.65"/>
    <n v="0"/>
    <x v="461"/>
    <x v="3"/>
    <x v="32"/>
    <x v="14"/>
    <n v="64.290000000000006"/>
    <n v="0.05"/>
    <x v="1"/>
    <x v="1"/>
    <n v="135.82"/>
    <n v="1058.73"/>
    <x v="2"/>
  </r>
  <r>
    <n v="534"/>
    <n v="1220"/>
    <n v="105"/>
    <n v="2"/>
    <n v="288.82"/>
    <n v="0"/>
    <x v="462"/>
    <x v="3"/>
    <x v="146"/>
    <x v="14"/>
    <n v="64.290000000000006"/>
    <n v="0.11"/>
    <x v="1"/>
    <x v="2"/>
    <n v="23.47"/>
    <n v="554.16999999999996"/>
    <x v="2"/>
  </r>
  <r>
    <n v="535"/>
    <n v="1221"/>
    <n v="99"/>
    <n v="5"/>
    <n v="50.97"/>
    <n v="0"/>
    <x v="463"/>
    <x v="0"/>
    <x v="42"/>
    <x v="3"/>
    <n v="68.25"/>
    <n v="0.27"/>
    <x v="3"/>
    <x v="4"/>
    <n v="31.67"/>
    <n v="223.18"/>
    <x v="6"/>
  </r>
  <r>
    <n v="536"/>
    <n v="1222"/>
    <n v="126"/>
    <n v="2"/>
    <n v="32.17"/>
    <n v="0"/>
    <x v="150"/>
    <x v="4"/>
    <x v="107"/>
    <x v="13"/>
    <n v="50.47"/>
    <n v="0.78"/>
    <x v="3"/>
    <x v="3"/>
    <n v="104.51"/>
    <n v="-40.17"/>
    <x v="2"/>
  </r>
  <r>
    <n v="537"/>
    <n v="1223"/>
    <n v="32"/>
    <n v="4"/>
    <n v="221.16"/>
    <n v="12.73"/>
    <x v="464"/>
    <x v="2"/>
    <x v="88"/>
    <x v="12"/>
    <n v="60.76"/>
    <n v="7.0000000000000007E-2"/>
    <x v="3"/>
    <x v="1"/>
    <n v="99.37"/>
    <n v="772.54"/>
    <x v="5"/>
  </r>
  <r>
    <n v="538"/>
    <n v="1223"/>
    <n v="72"/>
    <n v="5"/>
    <n v="205.06"/>
    <n v="11.59"/>
    <x v="465"/>
    <x v="2"/>
    <x v="80"/>
    <x v="12"/>
    <n v="60.76"/>
    <n v="0.06"/>
    <x v="3"/>
    <x v="1"/>
    <n v="93.75"/>
    <n v="919.95999999999992"/>
    <x v="0"/>
  </r>
  <r>
    <n v="539"/>
    <n v="1223"/>
    <n v="92"/>
    <n v="8"/>
    <n v="23.27"/>
    <n v="10.33"/>
    <x v="466"/>
    <x v="2"/>
    <x v="91"/>
    <x v="12"/>
    <n v="60.76"/>
    <n v="0.35"/>
    <x v="3"/>
    <x v="1"/>
    <n v="81.27"/>
    <n v="94.559999999999988"/>
    <x v="3"/>
  </r>
  <r>
    <n v="540"/>
    <n v="1223"/>
    <n v="125"/>
    <n v="5"/>
    <n v="273.92"/>
    <n v="3.06"/>
    <x v="467"/>
    <x v="2"/>
    <x v="124"/>
    <x v="12"/>
    <n v="60.76"/>
    <n v="0.04"/>
    <x v="3"/>
    <x v="0"/>
    <n v="71.569999999999993"/>
    <n v="1294.9700000000003"/>
    <x v="3"/>
  </r>
  <r>
    <n v="541"/>
    <n v="1224"/>
    <n v="46"/>
    <n v="7"/>
    <n v="219.11"/>
    <n v="0"/>
    <x v="468"/>
    <x v="0"/>
    <x v="31"/>
    <x v="3"/>
    <n v="76.290000000000006"/>
    <n v="0.05"/>
    <x v="2"/>
    <x v="5"/>
    <n v="40.75"/>
    <n v="1493.02"/>
    <x v="4"/>
  </r>
  <r>
    <n v="542"/>
    <n v="1225"/>
    <n v="130"/>
    <n v="5"/>
    <n v="193.14"/>
    <n v="0"/>
    <x v="469"/>
    <x v="3"/>
    <x v="135"/>
    <x v="14"/>
    <n v="0"/>
    <n v="0"/>
    <x v="1"/>
    <x v="3"/>
    <n v="142.87"/>
    <n v="822.82999999999993"/>
    <x v="3"/>
  </r>
  <r>
    <n v="543"/>
    <n v="1225"/>
    <n v="9"/>
    <n v="7"/>
    <n v="235.32"/>
    <n v="0"/>
    <x v="16"/>
    <x v="3"/>
    <x v="16"/>
    <x v="14"/>
    <n v="0"/>
    <n v="0"/>
    <x v="1"/>
    <x v="1"/>
    <n v="120.72"/>
    <n v="1526.52"/>
    <x v="0"/>
  </r>
  <r>
    <n v="544"/>
    <n v="1225"/>
    <n v="99"/>
    <n v="8"/>
    <n v="50.97"/>
    <n v="5.4"/>
    <x v="470"/>
    <x v="3"/>
    <x v="42"/>
    <x v="14"/>
    <n v="0"/>
    <n v="0"/>
    <x v="1"/>
    <x v="4"/>
    <n v="31.67"/>
    <n v="370.69"/>
    <x v="6"/>
  </r>
  <r>
    <n v="545"/>
    <n v="1225"/>
    <n v="114"/>
    <n v="8"/>
    <n v="171.86"/>
    <n v="0"/>
    <x v="471"/>
    <x v="3"/>
    <x v="144"/>
    <x v="14"/>
    <n v="0"/>
    <n v="0"/>
    <x v="1"/>
    <x v="1"/>
    <n v="179.41"/>
    <n v="1195.47"/>
    <x v="4"/>
  </r>
  <r>
    <n v="546"/>
    <n v="1226"/>
    <n v="35"/>
    <n v="5"/>
    <n v="46.14"/>
    <n v="11.02"/>
    <x v="472"/>
    <x v="1"/>
    <x v="2"/>
    <x v="1"/>
    <n v="92.91"/>
    <n v="0.42"/>
    <x v="1"/>
    <x v="1"/>
    <n v="145.1"/>
    <n v="74.579999999999984"/>
    <x v="2"/>
  </r>
  <r>
    <n v="547"/>
    <n v="1226"/>
    <n v="29"/>
    <n v="8"/>
    <n v="33.25"/>
    <n v="10.24"/>
    <x v="473"/>
    <x v="1"/>
    <x v="94"/>
    <x v="1"/>
    <n v="92.91"/>
    <n v="0.36"/>
    <x v="1"/>
    <x v="1"/>
    <n v="48.38"/>
    <n v="207.38"/>
    <x v="5"/>
  </r>
  <r>
    <n v="548"/>
    <n v="1226"/>
    <n v="122"/>
    <n v="3"/>
    <n v="151.15"/>
    <n v="8.09"/>
    <x v="474"/>
    <x v="1"/>
    <x v="103"/>
    <x v="1"/>
    <n v="92.91"/>
    <n v="0.21"/>
    <x v="1"/>
    <x v="3"/>
    <n v="169.69"/>
    <n v="275.67000000000007"/>
    <x v="6"/>
  </r>
  <r>
    <n v="549"/>
    <n v="1226"/>
    <n v="68"/>
    <n v="8"/>
    <n v="138.85"/>
    <n v="9.27"/>
    <x v="475"/>
    <x v="1"/>
    <x v="61"/>
    <x v="1"/>
    <n v="92.91"/>
    <n v="0.08"/>
    <x v="1"/>
    <x v="2"/>
    <n v="23.97"/>
    <n v="1077.56"/>
    <x v="1"/>
  </r>
  <r>
    <n v="550"/>
    <n v="1227"/>
    <n v="88"/>
    <n v="7"/>
    <n v="109.3"/>
    <n v="0"/>
    <x v="41"/>
    <x v="0"/>
    <x v="38"/>
    <x v="3"/>
    <n v="10.55"/>
    <n v="0.01"/>
    <x v="3"/>
    <x v="1"/>
    <n v="77.599999999999994"/>
    <n v="687.5"/>
    <x v="3"/>
  </r>
  <r>
    <n v="551"/>
    <n v="1228"/>
    <n v="87"/>
    <n v="3"/>
    <n v="124.17"/>
    <n v="0"/>
    <x v="476"/>
    <x v="0"/>
    <x v="129"/>
    <x v="0"/>
    <n v="69.89"/>
    <n v="0.19"/>
    <x v="0"/>
    <x v="5"/>
    <n v="31.4"/>
    <n v="341.11"/>
    <x v="0"/>
  </r>
  <r>
    <n v="552"/>
    <n v="1229"/>
    <n v="83"/>
    <n v="2"/>
    <n v="269.23"/>
    <n v="0"/>
    <x v="215"/>
    <x v="0"/>
    <x v="67"/>
    <x v="18"/>
    <n v="0"/>
    <n v="0"/>
    <x v="2"/>
    <x v="1"/>
    <n v="147.63"/>
    <n v="390.83000000000004"/>
    <x v="5"/>
  </r>
  <r>
    <n v="553"/>
    <n v="1229"/>
    <n v="53"/>
    <n v="6"/>
    <n v="73.03"/>
    <n v="0"/>
    <x v="477"/>
    <x v="0"/>
    <x v="99"/>
    <x v="18"/>
    <n v="0"/>
    <n v="0"/>
    <x v="2"/>
    <x v="5"/>
    <n v="0"/>
    <n v="438.18"/>
    <x v="3"/>
  </r>
  <r>
    <n v="554"/>
    <n v="1229"/>
    <n v="43"/>
    <n v="5"/>
    <n v="277.02999999999997"/>
    <n v="6.09"/>
    <x v="478"/>
    <x v="0"/>
    <x v="63"/>
    <x v="18"/>
    <n v="0"/>
    <n v="0"/>
    <x v="2"/>
    <x v="0"/>
    <n v="88.44"/>
    <n v="1290.6199999999999"/>
    <x v="6"/>
  </r>
  <r>
    <n v="555"/>
    <n v="1229"/>
    <n v="52"/>
    <n v="8"/>
    <n v="59.3"/>
    <n v="0"/>
    <x v="206"/>
    <x v="0"/>
    <x v="121"/>
    <x v="18"/>
    <n v="0"/>
    <n v="0"/>
    <x v="2"/>
    <x v="4"/>
    <n v="134.91999999999999"/>
    <n v="339.48"/>
    <x v="0"/>
  </r>
  <r>
    <n v="556"/>
    <n v="1230"/>
    <n v="147"/>
    <n v="7"/>
    <n v="133.41"/>
    <n v="0"/>
    <x v="223"/>
    <x v="3"/>
    <x v="8"/>
    <x v="5"/>
    <n v="0"/>
    <n v="0"/>
    <x v="3"/>
    <x v="0"/>
    <n v="128.44999999999999"/>
    <n v="805.42000000000007"/>
    <x v="1"/>
  </r>
  <r>
    <n v="557"/>
    <n v="1230"/>
    <n v="149"/>
    <n v="2"/>
    <n v="258.51"/>
    <n v="0"/>
    <x v="479"/>
    <x v="3"/>
    <x v="148"/>
    <x v="5"/>
    <n v="0"/>
    <n v="0"/>
    <x v="3"/>
    <x v="3"/>
    <n v="140.22"/>
    <n v="376.79999999999995"/>
    <x v="0"/>
  </r>
  <r>
    <n v="558"/>
    <n v="1230"/>
    <n v="18"/>
    <n v="8"/>
    <n v="60.59"/>
    <n v="0"/>
    <x v="480"/>
    <x v="3"/>
    <x v="138"/>
    <x v="5"/>
    <n v="0"/>
    <n v="0"/>
    <x v="3"/>
    <x v="5"/>
    <n v="31.75"/>
    <n v="452.97"/>
    <x v="6"/>
  </r>
  <r>
    <n v="559"/>
    <n v="1231"/>
    <n v="52"/>
    <n v="7"/>
    <n v="59.3"/>
    <n v="6.63"/>
    <x v="481"/>
    <x v="1"/>
    <x v="121"/>
    <x v="1"/>
    <n v="97.84"/>
    <n v="0.24"/>
    <x v="3"/>
    <x v="4"/>
    <n v="134.91999999999999"/>
    <n v="273.54999999999995"/>
    <x v="0"/>
  </r>
  <r>
    <n v="560"/>
    <n v="1231"/>
    <n v="141"/>
    <n v="3"/>
    <n v="15.33"/>
    <n v="0"/>
    <x v="482"/>
    <x v="1"/>
    <x v="65"/>
    <x v="1"/>
    <n v="97.84"/>
    <n v="2.13"/>
    <x v="3"/>
    <x v="5"/>
    <n v="149.36000000000001"/>
    <n v="-103.37"/>
    <x v="2"/>
  </r>
  <r>
    <n v="561"/>
    <n v="1231"/>
    <n v="148"/>
    <n v="8"/>
    <n v="124.32"/>
    <n v="3.98"/>
    <x v="483"/>
    <x v="1"/>
    <x v="60"/>
    <x v="1"/>
    <n v="97.84"/>
    <n v="0.1"/>
    <x v="3"/>
    <x v="0"/>
    <n v="101.47"/>
    <n v="889.1099999999999"/>
    <x v="3"/>
  </r>
  <r>
    <n v="562"/>
    <n v="1232"/>
    <n v="39"/>
    <n v="5"/>
    <n v="129.30000000000001"/>
    <n v="12.82"/>
    <x v="484"/>
    <x v="3"/>
    <x v="75"/>
    <x v="14"/>
    <n v="0"/>
    <n v="0"/>
    <x v="2"/>
    <x v="2"/>
    <n v="42.41"/>
    <n v="591.27"/>
    <x v="5"/>
  </r>
  <r>
    <n v="563"/>
    <n v="1232"/>
    <n v="82"/>
    <n v="2"/>
    <n v="243.4"/>
    <n v="9.8699999999999992"/>
    <x v="485"/>
    <x v="3"/>
    <x v="27"/>
    <x v="14"/>
    <n v="0"/>
    <n v="0"/>
    <x v="2"/>
    <x v="5"/>
    <n v="84.88"/>
    <n v="392.05"/>
    <x v="3"/>
  </r>
  <r>
    <n v="564"/>
    <n v="1233"/>
    <n v="104"/>
    <n v="4"/>
    <n v="199.55"/>
    <n v="0"/>
    <x v="486"/>
    <x v="1"/>
    <x v="69"/>
    <x v="1"/>
    <n v="118.99"/>
    <n v="0.15"/>
    <x v="1"/>
    <x v="2"/>
    <n v="17.07"/>
    <n v="781.13"/>
    <x v="2"/>
  </r>
  <r>
    <n v="565"/>
    <n v="1233"/>
    <n v="8"/>
    <n v="4"/>
    <n v="118.07"/>
    <n v="0"/>
    <x v="487"/>
    <x v="1"/>
    <x v="39"/>
    <x v="1"/>
    <n v="118.99"/>
    <n v="0.25"/>
    <x v="1"/>
    <x v="1"/>
    <n v="159.94999999999999"/>
    <n v="312.33"/>
    <x v="1"/>
  </r>
  <r>
    <n v="566"/>
    <n v="1234"/>
    <n v="141"/>
    <n v="3"/>
    <n v="15.33"/>
    <n v="0"/>
    <x v="482"/>
    <x v="1"/>
    <x v="65"/>
    <x v="8"/>
    <n v="50.04"/>
    <n v="1.0900000000000001"/>
    <x v="0"/>
    <x v="5"/>
    <n v="149.36000000000001"/>
    <n v="-103.37"/>
    <x v="2"/>
  </r>
  <r>
    <n v="567"/>
    <n v="1234"/>
    <n v="125"/>
    <n v="1"/>
    <n v="273.92"/>
    <n v="0"/>
    <x v="214"/>
    <x v="1"/>
    <x v="124"/>
    <x v="8"/>
    <n v="50.04"/>
    <n v="0.18"/>
    <x v="0"/>
    <x v="0"/>
    <n v="71.569999999999993"/>
    <n v="202.35000000000002"/>
    <x v="3"/>
  </r>
  <r>
    <n v="568"/>
    <n v="1234"/>
    <n v="81"/>
    <n v="5"/>
    <n v="244.17"/>
    <n v="13.14"/>
    <x v="488"/>
    <x v="1"/>
    <x v="47"/>
    <x v="8"/>
    <n v="50.04"/>
    <n v="0.04"/>
    <x v="0"/>
    <x v="4"/>
    <n v="43.3"/>
    <n v="1164.4099999999999"/>
    <x v="0"/>
  </r>
  <r>
    <n v="569"/>
    <n v="1235"/>
    <n v="128"/>
    <n v="2"/>
    <n v="143.38999999999999"/>
    <n v="0"/>
    <x v="489"/>
    <x v="4"/>
    <x v="51"/>
    <x v="15"/>
    <n v="54.98"/>
    <n v="0.19"/>
    <x v="0"/>
    <x v="2"/>
    <n v="5.47"/>
    <n v="281.30999999999995"/>
    <x v="0"/>
  </r>
  <r>
    <n v="570"/>
    <n v="1235"/>
    <n v="81"/>
    <n v="6"/>
    <n v="244.17"/>
    <n v="12.65"/>
    <x v="490"/>
    <x v="4"/>
    <x v="47"/>
    <x v="15"/>
    <n v="54.98"/>
    <n v="0.04"/>
    <x v="0"/>
    <x v="4"/>
    <n v="43.3"/>
    <n v="1409.07"/>
    <x v="0"/>
  </r>
  <r>
    <n v="571"/>
    <n v="1235"/>
    <n v="61"/>
    <n v="7"/>
    <n v="293.22000000000003"/>
    <n v="0"/>
    <x v="491"/>
    <x v="4"/>
    <x v="19"/>
    <x v="15"/>
    <n v="54.98"/>
    <n v="0.03"/>
    <x v="0"/>
    <x v="3"/>
    <n v="156.31"/>
    <n v="1896.23"/>
    <x v="7"/>
  </r>
  <r>
    <n v="572"/>
    <n v="1236"/>
    <n v="122"/>
    <n v="4"/>
    <n v="151.15"/>
    <n v="0"/>
    <x v="492"/>
    <x v="2"/>
    <x v="103"/>
    <x v="4"/>
    <n v="108.77"/>
    <n v="0.18"/>
    <x v="0"/>
    <x v="3"/>
    <n v="169.69"/>
    <n v="434.91"/>
    <x v="6"/>
  </r>
  <r>
    <n v="573"/>
    <n v="1236"/>
    <n v="93"/>
    <n v="8"/>
    <n v="277.07"/>
    <n v="0"/>
    <x v="493"/>
    <x v="2"/>
    <x v="122"/>
    <x v="4"/>
    <n v="108.77"/>
    <n v="0.05"/>
    <x v="0"/>
    <x v="2"/>
    <n v="152.09"/>
    <n v="2064.4699999999998"/>
    <x v="2"/>
  </r>
  <r>
    <n v="574"/>
    <n v="1236"/>
    <n v="6"/>
    <n v="1"/>
    <n v="256.54000000000002"/>
    <n v="0"/>
    <x v="494"/>
    <x v="2"/>
    <x v="10"/>
    <x v="4"/>
    <n v="108.77"/>
    <n v="0.42"/>
    <x v="0"/>
    <x v="3"/>
    <n v="21.93"/>
    <n v="234.61"/>
    <x v="0"/>
  </r>
  <r>
    <n v="575"/>
    <n v="1236"/>
    <n v="62"/>
    <n v="5"/>
    <n v="109.67"/>
    <n v="0"/>
    <x v="495"/>
    <x v="2"/>
    <x v="17"/>
    <x v="4"/>
    <n v="108.77"/>
    <n v="0.2"/>
    <x v="0"/>
    <x v="3"/>
    <n v="133.9"/>
    <n v="414.45000000000005"/>
    <x v="6"/>
  </r>
  <r>
    <n v="576"/>
    <n v="1237"/>
    <n v="24"/>
    <n v="4"/>
    <n v="20.55"/>
    <n v="0"/>
    <x v="374"/>
    <x v="2"/>
    <x v="101"/>
    <x v="4"/>
    <n v="111.47"/>
    <n v="1.36"/>
    <x v="2"/>
    <x v="0"/>
    <n v="61.73"/>
    <n v="20.470000000000006"/>
    <x v="6"/>
  </r>
  <r>
    <n v="577"/>
    <n v="1237"/>
    <n v="113"/>
    <n v="6"/>
    <n v="84.34"/>
    <n v="13.31"/>
    <x v="496"/>
    <x v="2"/>
    <x v="142"/>
    <x v="4"/>
    <n v="111.47"/>
    <n v="0.23"/>
    <x v="2"/>
    <x v="2"/>
    <n v="75.77"/>
    <n v="416.96000000000004"/>
    <x v="1"/>
  </r>
  <r>
    <n v="578"/>
    <n v="1237"/>
    <n v="9"/>
    <n v="5"/>
    <n v="235.32"/>
    <n v="13.13"/>
    <x v="497"/>
    <x v="2"/>
    <x v="16"/>
    <x v="4"/>
    <n v="111.47"/>
    <n v="0.1"/>
    <x v="2"/>
    <x v="1"/>
    <n v="120.72"/>
    <n v="1042.7499999999998"/>
    <x v="0"/>
  </r>
  <r>
    <n v="579"/>
    <n v="1238"/>
    <n v="141"/>
    <n v="6"/>
    <n v="15.33"/>
    <n v="0"/>
    <x v="193"/>
    <x v="1"/>
    <x v="65"/>
    <x v="8"/>
    <n v="102.25"/>
    <n v="1.1100000000000001"/>
    <x v="0"/>
    <x v="5"/>
    <n v="149.36000000000001"/>
    <n v="-57.38000000000001"/>
    <x v="2"/>
  </r>
  <r>
    <n v="580"/>
    <n v="1238"/>
    <n v="14"/>
    <n v="3"/>
    <n v="33.86"/>
    <n v="0"/>
    <x v="498"/>
    <x v="1"/>
    <x v="37"/>
    <x v="8"/>
    <n v="102.25"/>
    <n v="1.01"/>
    <x v="0"/>
    <x v="4"/>
    <n v="75.2"/>
    <n v="26.379999999999995"/>
    <x v="6"/>
  </r>
  <r>
    <n v="581"/>
    <n v="1238"/>
    <n v="1"/>
    <n v="7"/>
    <n v="84.79"/>
    <n v="0"/>
    <x v="499"/>
    <x v="1"/>
    <x v="120"/>
    <x v="8"/>
    <n v="102.25"/>
    <n v="0.17"/>
    <x v="0"/>
    <x v="3"/>
    <n v="134.77000000000001"/>
    <n v="458.7600000000001"/>
    <x v="0"/>
  </r>
  <r>
    <n v="582"/>
    <n v="1238"/>
    <n v="81"/>
    <n v="2"/>
    <n v="244.17"/>
    <n v="0"/>
    <x v="500"/>
    <x v="1"/>
    <x v="47"/>
    <x v="8"/>
    <n v="102.25"/>
    <n v="0.21"/>
    <x v="0"/>
    <x v="4"/>
    <n v="43.3"/>
    <n v="445.03999999999996"/>
    <x v="0"/>
  </r>
  <r>
    <n v="583"/>
    <n v="1239"/>
    <n v="73"/>
    <n v="4"/>
    <n v="134.83000000000001"/>
    <n v="0"/>
    <x v="364"/>
    <x v="3"/>
    <x v="1"/>
    <x v="10"/>
    <n v="0"/>
    <n v="0"/>
    <x v="1"/>
    <x v="0"/>
    <n v="27.28"/>
    <n v="512.04000000000008"/>
    <x v="1"/>
  </r>
  <r>
    <n v="584"/>
    <n v="1239"/>
    <n v="47"/>
    <n v="7"/>
    <n v="100.5"/>
    <n v="0"/>
    <x v="501"/>
    <x v="3"/>
    <x v="113"/>
    <x v="10"/>
    <n v="0"/>
    <n v="0"/>
    <x v="1"/>
    <x v="1"/>
    <n v="122.55"/>
    <n v="580.95000000000005"/>
    <x v="2"/>
  </r>
  <r>
    <n v="585"/>
    <n v="1239"/>
    <n v="6"/>
    <n v="1"/>
    <n v="256.54000000000002"/>
    <n v="0"/>
    <x v="494"/>
    <x v="3"/>
    <x v="10"/>
    <x v="10"/>
    <n v="0"/>
    <n v="0"/>
    <x v="1"/>
    <x v="3"/>
    <n v="21.93"/>
    <n v="234.61"/>
    <x v="0"/>
  </r>
  <r>
    <n v="586"/>
    <n v="1240"/>
    <n v="13"/>
    <n v="7"/>
    <n v="236.16"/>
    <n v="0"/>
    <x v="502"/>
    <x v="2"/>
    <x v="115"/>
    <x v="13"/>
    <n v="87.36"/>
    <n v="0.05"/>
    <x v="3"/>
    <x v="0"/>
    <n v="152.5"/>
    <n v="1500.62"/>
    <x v="3"/>
  </r>
  <r>
    <n v="587"/>
    <n v="1240"/>
    <n v="39"/>
    <n v="2"/>
    <n v="129.30000000000001"/>
    <n v="0"/>
    <x v="503"/>
    <x v="2"/>
    <x v="75"/>
    <x v="13"/>
    <n v="87.36"/>
    <n v="0.34"/>
    <x v="3"/>
    <x v="2"/>
    <n v="42.41"/>
    <n v="216.19000000000003"/>
    <x v="5"/>
  </r>
  <r>
    <n v="588"/>
    <n v="1241"/>
    <n v="74"/>
    <n v="8"/>
    <n v="130.72999999999999"/>
    <n v="6.35"/>
    <x v="504"/>
    <x v="3"/>
    <x v="141"/>
    <x v="5"/>
    <n v="31.32"/>
    <n v="0.03"/>
    <x v="1"/>
    <x v="5"/>
    <n v="104.59"/>
    <n v="934.9"/>
    <x v="7"/>
  </r>
  <r>
    <n v="589"/>
    <n v="1241"/>
    <n v="53"/>
    <n v="4"/>
    <n v="73.03"/>
    <n v="0"/>
    <x v="135"/>
    <x v="3"/>
    <x v="99"/>
    <x v="5"/>
    <n v="31.32"/>
    <n v="0.11"/>
    <x v="1"/>
    <x v="5"/>
    <n v="0"/>
    <n v="292.12"/>
    <x v="3"/>
  </r>
  <r>
    <n v="590"/>
    <n v="1241"/>
    <n v="49"/>
    <n v="7"/>
    <n v="280.98"/>
    <n v="0"/>
    <x v="505"/>
    <x v="3"/>
    <x v="23"/>
    <x v="5"/>
    <n v="31.32"/>
    <n v="0.02"/>
    <x v="1"/>
    <x v="1"/>
    <n v="51.41"/>
    <n v="1915.45"/>
    <x v="3"/>
  </r>
  <r>
    <n v="591"/>
    <n v="1242"/>
    <n v="83"/>
    <n v="7"/>
    <n v="269.23"/>
    <n v="10.62"/>
    <x v="506"/>
    <x v="2"/>
    <x v="67"/>
    <x v="13"/>
    <n v="58.63"/>
    <n v="0.03"/>
    <x v="0"/>
    <x v="1"/>
    <n v="147.63"/>
    <n v="1726.3600000000001"/>
    <x v="5"/>
  </r>
  <r>
    <n v="592"/>
    <n v="1242"/>
    <n v="109"/>
    <n v="5"/>
    <n v="257.52"/>
    <n v="0"/>
    <x v="507"/>
    <x v="2"/>
    <x v="73"/>
    <x v="13"/>
    <n v="58.63"/>
    <n v="0.05"/>
    <x v="0"/>
    <x v="0"/>
    <n v="10.02"/>
    <n v="1277.58"/>
    <x v="2"/>
  </r>
  <r>
    <n v="593"/>
    <n v="1243"/>
    <n v="102"/>
    <n v="6"/>
    <n v="71.52"/>
    <n v="0"/>
    <x v="508"/>
    <x v="1"/>
    <x v="95"/>
    <x v="7"/>
    <n v="34.21"/>
    <n v="0.08"/>
    <x v="0"/>
    <x v="2"/>
    <n v="169.76"/>
    <n v="259.36"/>
    <x v="2"/>
  </r>
  <r>
    <n v="594"/>
    <n v="1243"/>
    <n v="149"/>
    <n v="3"/>
    <n v="258.51"/>
    <n v="4.6399999999999997"/>
    <x v="509"/>
    <x v="1"/>
    <x v="148"/>
    <x v="7"/>
    <n v="34.21"/>
    <n v="0.04"/>
    <x v="0"/>
    <x v="3"/>
    <n v="140.22"/>
    <n v="630.66999999999996"/>
    <x v="0"/>
  </r>
  <r>
    <n v="595"/>
    <n v="1243"/>
    <n v="87"/>
    <n v="8"/>
    <n v="124.17"/>
    <n v="0"/>
    <x v="365"/>
    <x v="1"/>
    <x v="129"/>
    <x v="7"/>
    <n v="34.21"/>
    <n v="0.03"/>
    <x v="0"/>
    <x v="5"/>
    <n v="31.4"/>
    <n v="961.96"/>
    <x v="0"/>
  </r>
  <r>
    <n v="596"/>
    <n v="1244"/>
    <n v="133"/>
    <n v="6"/>
    <n v="214.42"/>
    <n v="0"/>
    <x v="510"/>
    <x v="2"/>
    <x v="128"/>
    <x v="12"/>
    <n v="8.16"/>
    <n v="0.01"/>
    <x v="3"/>
    <x v="5"/>
    <n v="125.52"/>
    <n v="1161"/>
    <x v="0"/>
  </r>
  <r>
    <n v="597"/>
    <n v="1244"/>
    <n v="81"/>
    <n v="8"/>
    <n v="244.17"/>
    <n v="0"/>
    <x v="265"/>
    <x v="2"/>
    <x v="47"/>
    <x v="12"/>
    <n v="8.16"/>
    <n v="0"/>
    <x v="3"/>
    <x v="4"/>
    <n v="43.3"/>
    <n v="1910.06"/>
    <x v="0"/>
  </r>
  <r>
    <n v="598"/>
    <n v="1244"/>
    <n v="143"/>
    <n v="8"/>
    <n v="171.53"/>
    <n v="0"/>
    <x v="511"/>
    <x v="2"/>
    <x v="41"/>
    <x v="12"/>
    <n v="8.16"/>
    <n v="0.01"/>
    <x v="3"/>
    <x v="3"/>
    <n v="40.619999999999997"/>
    <n v="1331.6200000000001"/>
    <x v="5"/>
  </r>
  <r>
    <n v="599"/>
    <n v="1245"/>
    <n v="144"/>
    <n v="8"/>
    <n v="194.56"/>
    <n v="0"/>
    <x v="512"/>
    <x v="0"/>
    <x v="58"/>
    <x v="17"/>
    <n v="28.64"/>
    <n v="0.02"/>
    <x v="0"/>
    <x v="3"/>
    <n v="10.050000000000001"/>
    <n v="1546.43"/>
    <x v="5"/>
  </r>
  <r>
    <n v="600"/>
    <n v="1245"/>
    <n v="38"/>
    <n v="2"/>
    <n v="256.88"/>
    <n v="0"/>
    <x v="513"/>
    <x v="0"/>
    <x v="147"/>
    <x v="17"/>
    <n v="28.64"/>
    <n v="0.06"/>
    <x v="0"/>
    <x v="5"/>
    <n v="167.11"/>
    <n v="346.65"/>
    <x v="6"/>
  </r>
  <r>
    <n v="601"/>
    <n v="1245"/>
    <n v="73"/>
    <n v="3"/>
    <n v="134.83000000000001"/>
    <n v="0"/>
    <x v="514"/>
    <x v="0"/>
    <x v="1"/>
    <x v="17"/>
    <n v="28.64"/>
    <n v="7.0000000000000007E-2"/>
    <x v="0"/>
    <x v="0"/>
    <n v="27.28"/>
    <n v="377.21000000000004"/>
    <x v="1"/>
  </r>
  <r>
    <n v="602"/>
    <n v="1246"/>
    <n v="85"/>
    <n v="1"/>
    <n v="163.57"/>
    <n v="0"/>
    <x v="515"/>
    <x v="0"/>
    <x v="3"/>
    <x v="0"/>
    <n v="111.78"/>
    <n v="0.68"/>
    <x v="2"/>
    <x v="0"/>
    <n v="139.02000000000001"/>
    <n v="24.549999999999983"/>
    <x v="3"/>
  </r>
  <r>
    <n v="603"/>
    <n v="1247"/>
    <n v="117"/>
    <n v="5"/>
    <n v="293.33"/>
    <n v="0"/>
    <x v="516"/>
    <x v="0"/>
    <x v="70"/>
    <x v="0"/>
    <n v="14.74"/>
    <n v="0.01"/>
    <x v="1"/>
    <x v="0"/>
    <n v="131.80000000000001"/>
    <n v="1334.85"/>
    <x v="5"/>
  </r>
  <r>
    <n v="604"/>
    <n v="1247"/>
    <n v="85"/>
    <n v="1"/>
    <n v="163.57"/>
    <n v="10.19"/>
    <x v="517"/>
    <x v="0"/>
    <x v="3"/>
    <x v="0"/>
    <n v="14.74"/>
    <n v="0.1"/>
    <x v="1"/>
    <x v="0"/>
    <n v="139.02000000000001"/>
    <n v="14.359999999999985"/>
    <x v="3"/>
  </r>
  <r>
    <n v="605"/>
    <n v="1247"/>
    <n v="84"/>
    <n v="3"/>
    <n v="150.28"/>
    <n v="0"/>
    <x v="518"/>
    <x v="0"/>
    <x v="49"/>
    <x v="0"/>
    <n v="14.74"/>
    <n v="0.03"/>
    <x v="1"/>
    <x v="0"/>
    <n v="135.13999999999999"/>
    <n v="315.70000000000005"/>
    <x v="5"/>
  </r>
  <r>
    <n v="606"/>
    <n v="1247"/>
    <n v="73"/>
    <n v="6"/>
    <n v="134.83000000000001"/>
    <n v="0"/>
    <x v="85"/>
    <x v="0"/>
    <x v="1"/>
    <x v="0"/>
    <n v="14.74"/>
    <n v="0.02"/>
    <x v="1"/>
    <x v="0"/>
    <n v="27.28"/>
    <n v="781.7"/>
    <x v="1"/>
  </r>
  <r>
    <n v="607"/>
    <n v="1248"/>
    <n v="73"/>
    <n v="3"/>
    <n v="134.83000000000001"/>
    <n v="2.69"/>
    <x v="519"/>
    <x v="0"/>
    <x v="1"/>
    <x v="18"/>
    <n v="53.08"/>
    <n v="0.13"/>
    <x v="1"/>
    <x v="0"/>
    <n v="27.28"/>
    <n v="374.52"/>
    <x v="1"/>
  </r>
  <r>
    <n v="608"/>
    <n v="1248"/>
    <n v="111"/>
    <n v="5"/>
    <n v="39.4"/>
    <n v="0"/>
    <x v="520"/>
    <x v="0"/>
    <x v="139"/>
    <x v="18"/>
    <n v="53.08"/>
    <n v="0.27"/>
    <x v="1"/>
    <x v="2"/>
    <n v="170.91"/>
    <n v="26.090000000000003"/>
    <x v="6"/>
  </r>
  <r>
    <n v="609"/>
    <n v="1248"/>
    <n v="92"/>
    <n v="2"/>
    <n v="23.27"/>
    <n v="0"/>
    <x v="220"/>
    <x v="0"/>
    <x v="91"/>
    <x v="18"/>
    <n v="53.08"/>
    <n v="1.1399999999999999"/>
    <x v="1"/>
    <x v="1"/>
    <n v="81.27"/>
    <n v="-34.729999999999997"/>
    <x v="3"/>
  </r>
  <r>
    <n v="610"/>
    <n v="1248"/>
    <n v="126"/>
    <n v="8"/>
    <n v="32.17"/>
    <n v="13.4"/>
    <x v="521"/>
    <x v="0"/>
    <x v="107"/>
    <x v="18"/>
    <n v="53.08"/>
    <n v="0.22"/>
    <x v="1"/>
    <x v="3"/>
    <n v="104.51"/>
    <n v="139.44999999999999"/>
    <x v="2"/>
  </r>
  <r>
    <n v="611"/>
    <n v="1249"/>
    <n v="119"/>
    <n v="4"/>
    <n v="27.97"/>
    <n v="0"/>
    <x v="391"/>
    <x v="2"/>
    <x v="57"/>
    <x v="11"/>
    <n v="64.680000000000007"/>
    <n v="0.57999999999999996"/>
    <x v="0"/>
    <x v="4"/>
    <n v="27.15"/>
    <n v="84.72999999999999"/>
    <x v="6"/>
  </r>
  <r>
    <n v="612"/>
    <n v="1249"/>
    <n v="127"/>
    <n v="2"/>
    <n v="38.14"/>
    <n v="5.07"/>
    <x v="522"/>
    <x v="2"/>
    <x v="45"/>
    <x v="11"/>
    <n v="64.680000000000007"/>
    <n v="0.91"/>
    <x v="0"/>
    <x v="3"/>
    <n v="51.31"/>
    <n v="19.900000000000006"/>
    <x v="3"/>
  </r>
  <r>
    <n v="613"/>
    <n v="1249"/>
    <n v="21"/>
    <n v="8"/>
    <n v="60.07"/>
    <n v="0"/>
    <x v="523"/>
    <x v="2"/>
    <x v="119"/>
    <x v="11"/>
    <n v="64.680000000000007"/>
    <n v="0.13"/>
    <x v="0"/>
    <x v="1"/>
    <n v="56.36"/>
    <n v="424.2"/>
    <x v="4"/>
  </r>
  <r>
    <n v="614"/>
    <n v="1250"/>
    <n v="119"/>
    <n v="5"/>
    <n v="27.97"/>
    <n v="0"/>
    <x v="524"/>
    <x v="0"/>
    <x v="57"/>
    <x v="17"/>
    <n v="89.9"/>
    <n v="0.64"/>
    <x v="2"/>
    <x v="4"/>
    <n v="27.15"/>
    <n v="112.69999999999999"/>
    <x v="6"/>
  </r>
  <r>
    <n v="615"/>
    <n v="1251"/>
    <n v="117"/>
    <n v="8"/>
    <n v="293.33"/>
    <n v="0"/>
    <x v="84"/>
    <x v="0"/>
    <x v="70"/>
    <x v="0"/>
    <n v="5.54"/>
    <n v="0"/>
    <x v="1"/>
    <x v="0"/>
    <n v="131.80000000000001"/>
    <n v="2214.8399999999997"/>
    <x v="5"/>
  </r>
  <r>
    <n v="616"/>
    <n v="1251"/>
    <n v="88"/>
    <n v="3"/>
    <n v="109.3"/>
    <n v="0"/>
    <x v="525"/>
    <x v="0"/>
    <x v="38"/>
    <x v="0"/>
    <n v="5.54"/>
    <n v="0.02"/>
    <x v="1"/>
    <x v="1"/>
    <n v="77.599999999999994"/>
    <n v="250.29999999999998"/>
    <x v="3"/>
  </r>
  <r>
    <n v="617"/>
    <n v="1251"/>
    <n v="67"/>
    <n v="2"/>
    <n v="291.56"/>
    <n v="0"/>
    <x v="526"/>
    <x v="0"/>
    <x v="5"/>
    <x v="0"/>
    <n v="5.54"/>
    <n v="0.01"/>
    <x v="1"/>
    <x v="2"/>
    <n v="25.18"/>
    <n v="557.94000000000005"/>
    <x v="4"/>
  </r>
  <r>
    <n v="618"/>
    <n v="1252"/>
    <n v="102"/>
    <n v="5"/>
    <n v="71.52"/>
    <n v="0"/>
    <x v="278"/>
    <x v="4"/>
    <x v="95"/>
    <x v="15"/>
    <n v="0"/>
    <n v="0"/>
    <x v="0"/>
    <x v="2"/>
    <n v="169.76"/>
    <n v="187.83999999999997"/>
    <x v="2"/>
  </r>
  <r>
    <n v="619"/>
    <n v="1252"/>
    <n v="4"/>
    <n v="4"/>
    <n v="94.28"/>
    <n v="0"/>
    <x v="305"/>
    <x v="4"/>
    <x v="79"/>
    <x v="15"/>
    <n v="0"/>
    <n v="0"/>
    <x v="0"/>
    <x v="0"/>
    <n v="83.61"/>
    <n v="293.51"/>
    <x v="2"/>
  </r>
  <r>
    <n v="620"/>
    <n v="1252"/>
    <n v="49"/>
    <n v="1"/>
    <n v="280.98"/>
    <n v="0"/>
    <x v="527"/>
    <x v="4"/>
    <x v="23"/>
    <x v="15"/>
    <n v="0"/>
    <n v="0"/>
    <x v="0"/>
    <x v="1"/>
    <n v="51.41"/>
    <n v="229.57000000000002"/>
    <x v="3"/>
  </r>
  <r>
    <n v="621"/>
    <n v="1253"/>
    <n v="78"/>
    <n v="8"/>
    <n v="71.75"/>
    <n v="3.07"/>
    <x v="528"/>
    <x v="2"/>
    <x v="46"/>
    <x v="11"/>
    <n v="108.68"/>
    <n v="0.19"/>
    <x v="0"/>
    <x v="0"/>
    <n v="44.31"/>
    <n v="526.61999999999989"/>
    <x v="3"/>
  </r>
  <r>
    <n v="622"/>
    <n v="1254"/>
    <n v="76"/>
    <n v="7"/>
    <n v="160.68"/>
    <n v="0"/>
    <x v="529"/>
    <x v="0"/>
    <x v="100"/>
    <x v="18"/>
    <n v="119.89"/>
    <n v="0.11"/>
    <x v="0"/>
    <x v="3"/>
    <n v="123.23"/>
    <n v="1001.53"/>
    <x v="5"/>
  </r>
  <r>
    <n v="623"/>
    <n v="1254"/>
    <n v="27"/>
    <n v="7"/>
    <n v="165.39"/>
    <n v="14.71"/>
    <x v="530"/>
    <x v="0"/>
    <x v="74"/>
    <x v="18"/>
    <n v="119.89"/>
    <n v="0.1"/>
    <x v="0"/>
    <x v="1"/>
    <n v="33.9"/>
    <n v="1109.1199999999999"/>
    <x v="5"/>
  </r>
  <r>
    <n v="624"/>
    <n v="1255"/>
    <n v="109"/>
    <n v="6"/>
    <n v="257.52"/>
    <n v="0"/>
    <x v="322"/>
    <x v="4"/>
    <x v="73"/>
    <x v="15"/>
    <n v="17.57"/>
    <n v="0.01"/>
    <x v="1"/>
    <x v="0"/>
    <n v="10.02"/>
    <n v="1535.1"/>
    <x v="2"/>
  </r>
  <r>
    <n v="625"/>
    <n v="1256"/>
    <n v="121"/>
    <n v="6"/>
    <n v="151.43"/>
    <n v="0"/>
    <x v="531"/>
    <x v="2"/>
    <x v="78"/>
    <x v="11"/>
    <n v="96.33"/>
    <n v="0.11"/>
    <x v="1"/>
    <x v="3"/>
    <n v="54.76"/>
    <n v="853.82"/>
    <x v="6"/>
  </r>
  <r>
    <n v="626"/>
    <n v="1256"/>
    <n v="87"/>
    <n v="8"/>
    <n v="124.17"/>
    <n v="0"/>
    <x v="365"/>
    <x v="2"/>
    <x v="129"/>
    <x v="11"/>
    <n v="96.33"/>
    <n v="0.1"/>
    <x v="1"/>
    <x v="5"/>
    <n v="31.4"/>
    <n v="961.96"/>
    <x v="0"/>
  </r>
  <r>
    <n v="627"/>
    <n v="1257"/>
    <n v="52"/>
    <n v="3"/>
    <n v="59.3"/>
    <n v="0"/>
    <x v="457"/>
    <x v="0"/>
    <x v="121"/>
    <x v="0"/>
    <n v="45.62"/>
    <n v="0.26"/>
    <x v="2"/>
    <x v="4"/>
    <n v="134.91999999999999"/>
    <n v="42.97999999999999"/>
    <x v="0"/>
  </r>
  <r>
    <n v="628"/>
    <n v="1257"/>
    <n v="107"/>
    <n v="8"/>
    <n v="223.34"/>
    <n v="0"/>
    <x v="6"/>
    <x v="0"/>
    <x v="6"/>
    <x v="0"/>
    <n v="45.62"/>
    <n v="0.03"/>
    <x v="2"/>
    <x v="3"/>
    <n v="81.23"/>
    <n v="1705.49"/>
    <x v="5"/>
  </r>
  <r>
    <n v="629"/>
    <n v="1258"/>
    <n v="30"/>
    <n v="4"/>
    <n v="35.229999999999997"/>
    <n v="0"/>
    <x v="532"/>
    <x v="4"/>
    <x v="9"/>
    <x v="15"/>
    <n v="94.73"/>
    <n v="0.67"/>
    <x v="0"/>
    <x v="0"/>
    <n v="43.54"/>
    <n v="97.38"/>
    <x v="3"/>
  </r>
  <r>
    <n v="630"/>
    <n v="1258"/>
    <n v="125"/>
    <n v="5"/>
    <n v="273.92"/>
    <n v="0"/>
    <x v="533"/>
    <x v="4"/>
    <x v="124"/>
    <x v="15"/>
    <n v="94.73"/>
    <n v="7.0000000000000007E-2"/>
    <x v="0"/>
    <x v="0"/>
    <n v="71.569999999999993"/>
    <n v="1298.0300000000002"/>
    <x v="3"/>
  </r>
  <r>
    <n v="631"/>
    <n v="1258"/>
    <n v="12"/>
    <n v="5"/>
    <n v="61.57"/>
    <n v="0"/>
    <x v="534"/>
    <x v="4"/>
    <x v="35"/>
    <x v="15"/>
    <n v="94.73"/>
    <n v="0.31"/>
    <x v="0"/>
    <x v="5"/>
    <n v="132.6"/>
    <n v="175.25000000000003"/>
    <x v="7"/>
  </r>
  <r>
    <n v="632"/>
    <n v="1258"/>
    <n v="13"/>
    <n v="8"/>
    <n v="236.16"/>
    <n v="0"/>
    <x v="535"/>
    <x v="4"/>
    <x v="115"/>
    <x v="15"/>
    <n v="94.73"/>
    <n v="0.05"/>
    <x v="0"/>
    <x v="0"/>
    <n v="152.5"/>
    <n v="1736.78"/>
    <x v="3"/>
  </r>
  <r>
    <n v="633"/>
    <n v="1259"/>
    <n v="93"/>
    <n v="3"/>
    <n v="277.07"/>
    <n v="11.2"/>
    <x v="536"/>
    <x v="0"/>
    <x v="122"/>
    <x v="17"/>
    <n v="42.81"/>
    <n v="0.05"/>
    <x v="1"/>
    <x v="2"/>
    <n v="152.09"/>
    <n v="667.92"/>
    <x v="2"/>
  </r>
  <r>
    <n v="634"/>
    <n v="1259"/>
    <n v="130"/>
    <n v="8"/>
    <n v="193.14"/>
    <n v="0"/>
    <x v="322"/>
    <x v="0"/>
    <x v="135"/>
    <x v="17"/>
    <n v="42.81"/>
    <n v="0.03"/>
    <x v="1"/>
    <x v="3"/>
    <n v="142.87"/>
    <n v="1402.25"/>
    <x v="3"/>
  </r>
  <r>
    <n v="635"/>
    <n v="1260"/>
    <n v="130"/>
    <n v="3"/>
    <n v="193.14"/>
    <n v="0"/>
    <x v="537"/>
    <x v="0"/>
    <x v="135"/>
    <x v="19"/>
    <n v="108.18"/>
    <n v="0.19"/>
    <x v="2"/>
    <x v="3"/>
    <n v="142.87"/>
    <n v="436.54999999999995"/>
    <x v="3"/>
  </r>
  <r>
    <n v="636"/>
    <n v="1260"/>
    <n v="107"/>
    <n v="6"/>
    <n v="223.34"/>
    <n v="0"/>
    <x v="538"/>
    <x v="0"/>
    <x v="6"/>
    <x v="19"/>
    <n v="108.18"/>
    <n v="0.08"/>
    <x v="2"/>
    <x v="3"/>
    <n v="81.23"/>
    <n v="1258.81"/>
    <x v="5"/>
  </r>
  <r>
    <n v="637"/>
    <n v="1260"/>
    <n v="39"/>
    <n v="7"/>
    <n v="129.30000000000001"/>
    <n v="0"/>
    <x v="539"/>
    <x v="0"/>
    <x v="75"/>
    <x v="19"/>
    <n v="108.18"/>
    <n v="0.12"/>
    <x v="2"/>
    <x v="2"/>
    <n v="42.41"/>
    <n v="862.69000000000017"/>
    <x v="5"/>
  </r>
  <r>
    <n v="638"/>
    <n v="1261"/>
    <n v="22"/>
    <n v="6"/>
    <n v="159.69"/>
    <n v="0"/>
    <x v="540"/>
    <x v="2"/>
    <x v="43"/>
    <x v="11"/>
    <n v="92.07"/>
    <n v="0.1"/>
    <x v="0"/>
    <x v="4"/>
    <n v="138.34"/>
    <n v="819.8"/>
    <x v="1"/>
  </r>
  <r>
    <n v="639"/>
    <n v="1262"/>
    <n v="108"/>
    <n v="7"/>
    <n v="143.47999999999999"/>
    <n v="0"/>
    <x v="541"/>
    <x v="0"/>
    <x v="112"/>
    <x v="3"/>
    <n v="76.430000000000007"/>
    <n v="0.08"/>
    <x v="1"/>
    <x v="3"/>
    <n v="53.81"/>
    <n v="950.55"/>
    <x v="3"/>
  </r>
  <r>
    <n v="640"/>
    <n v="1262"/>
    <n v="81"/>
    <n v="6"/>
    <n v="244.17"/>
    <n v="0"/>
    <x v="277"/>
    <x v="0"/>
    <x v="47"/>
    <x v="3"/>
    <n v="76.430000000000007"/>
    <n v="0.05"/>
    <x v="1"/>
    <x v="4"/>
    <n v="43.3"/>
    <n v="1421.72"/>
    <x v="0"/>
  </r>
  <r>
    <n v="641"/>
    <n v="1262"/>
    <n v="136"/>
    <n v="3"/>
    <n v="230.54"/>
    <n v="10.8"/>
    <x v="542"/>
    <x v="0"/>
    <x v="143"/>
    <x v="3"/>
    <n v="76.430000000000007"/>
    <n v="0.11"/>
    <x v="1"/>
    <x v="3"/>
    <n v="12.04"/>
    <n v="668.78000000000009"/>
    <x v="1"/>
  </r>
  <r>
    <n v="642"/>
    <n v="1263"/>
    <n v="100"/>
    <n v="3"/>
    <n v="233.57"/>
    <n v="0"/>
    <x v="543"/>
    <x v="3"/>
    <x v="111"/>
    <x v="14"/>
    <n v="32"/>
    <n v="0.05"/>
    <x v="0"/>
    <x v="4"/>
    <n v="127.41"/>
    <n v="573.30000000000007"/>
    <x v="3"/>
  </r>
  <r>
    <n v="643"/>
    <n v="1263"/>
    <n v="55"/>
    <n v="2"/>
    <n v="110.06"/>
    <n v="0"/>
    <x v="544"/>
    <x v="3"/>
    <x v="125"/>
    <x v="14"/>
    <n v="32"/>
    <n v="0.15"/>
    <x v="0"/>
    <x v="3"/>
    <n v="12.72"/>
    <n v="207.4"/>
    <x v="2"/>
  </r>
  <r>
    <n v="644"/>
    <n v="1263"/>
    <n v="134"/>
    <n v="6"/>
    <n v="26.36"/>
    <n v="0"/>
    <x v="173"/>
    <x v="3"/>
    <x v="85"/>
    <x v="14"/>
    <n v="32"/>
    <n v="0.2"/>
    <x v="0"/>
    <x v="0"/>
    <n v="19.079999999999998"/>
    <n v="139.07999999999998"/>
    <x v="5"/>
  </r>
  <r>
    <n v="645"/>
    <n v="1264"/>
    <n v="130"/>
    <n v="6"/>
    <n v="193.14"/>
    <n v="0"/>
    <x v="545"/>
    <x v="0"/>
    <x v="135"/>
    <x v="17"/>
    <n v="81.36"/>
    <n v="7.0000000000000007E-2"/>
    <x v="0"/>
    <x v="3"/>
    <n v="142.87"/>
    <n v="1015.9699999999999"/>
    <x v="3"/>
  </r>
  <r>
    <n v="646"/>
    <n v="1264"/>
    <n v="115"/>
    <n v="5"/>
    <n v="80.7"/>
    <n v="0"/>
    <x v="546"/>
    <x v="0"/>
    <x v="123"/>
    <x v="17"/>
    <n v="81.36"/>
    <n v="0.2"/>
    <x v="0"/>
    <x v="2"/>
    <n v="58.66"/>
    <n v="344.84000000000003"/>
    <x v="5"/>
  </r>
  <r>
    <n v="647"/>
    <n v="1264"/>
    <n v="117"/>
    <n v="6"/>
    <n v="293.33"/>
    <n v="0"/>
    <x v="349"/>
    <x v="0"/>
    <x v="70"/>
    <x v="17"/>
    <n v="81.36"/>
    <n v="0.05"/>
    <x v="0"/>
    <x v="0"/>
    <n v="131.80000000000001"/>
    <n v="1628.18"/>
    <x v="5"/>
  </r>
  <r>
    <n v="648"/>
    <n v="1265"/>
    <n v="93"/>
    <n v="8"/>
    <n v="277.07"/>
    <n v="2.37"/>
    <x v="547"/>
    <x v="1"/>
    <x v="122"/>
    <x v="7"/>
    <n v="55.76"/>
    <n v="0.03"/>
    <x v="3"/>
    <x v="2"/>
    <n v="152.09"/>
    <n v="2062.1"/>
    <x v="2"/>
  </r>
  <r>
    <n v="649"/>
    <n v="1265"/>
    <n v="106"/>
    <n v="2"/>
    <n v="65.2"/>
    <n v="2.29"/>
    <x v="548"/>
    <x v="1"/>
    <x v="20"/>
    <x v="7"/>
    <n v="55.76"/>
    <n v="0.44"/>
    <x v="3"/>
    <x v="4"/>
    <n v="0"/>
    <n v="128.11000000000001"/>
    <x v="7"/>
  </r>
  <r>
    <n v="650"/>
    <n v="1266"/>
    <n v="113"/>
    <n v="8"/>
    <n v="84.34"/>
    <n v="11.24"/>
    <x v="549"/>
    <x v="2"/>
    <x v="142"/>
    <x v="2"/>
    <n v="0"/>
    <n v="0"/>
    <x v="0"/>
    <x v="2"/>
    <n v="75.77"/>
    <n v="587.71"/>
    <x v="1"/>
  </r>
  <r>
    <n v="651"/>
    <n v="1266"/>
    <n v="42"/>
    <n v="3"/>
    <n v="169.53"/>
    <n v="8.08"/>
    <x v="550"/>
    <x v="2"/>
    <x v="109"/>
    <x v="2"/>
    <n v="0"/>
    <n v="0"/>
    <x v="0"/>
    <x v="3"/>
    <n v="106.36"/>
    <n v="394.15000000000003"/>
    <x v="3"/>
  </r>
  <r>
    <n v="652"/>
    <n v="1266"/>
    <n v="118"/>
    <n v="3"/>
    <n v="242.65"/>
    <n v="0"/>
    <x v="551"/>
    <x v="2"/>
    <x v="15"/>
    <x v="2"/>
    <n v="0"/>
    <n v="0"/>
    <x v="0"/>
    <x v="1"/>
    <n v="44.81"/>
    <n v="683.1400000000001"/>
    <x v="3"/>
  </r>
  <r>
    <n v="653"/>
    <n v="1266"/>
    <n v="55"/>
    <n v="8"/>
    <n v="110.06"/>
    <n v="0"/>
    <x v="552"/>
    <x v="2"/>
    <x v="125"/>
    <x v="2"/>
    <n v="0"/>
    <n v="0"/>
    <x v="0"/>
    <x v="3"/>
    <n v="12.72"/>
    <n v="867.76"/>
    <x v="2"/>
  </r>
  <r>
    <n v="654"/>
    <n v="1267"/>
    <n v="31"/>
    <n v="6"/>
    <n v="35.19"/>
    <n v="0"/>
    <x v="553"/>
    <x v="2"/>
    <x v="84"/>
    <x v="4"/>
    <n v="47.09"/>
    <n v="0.22"/>
    <x v="0"/>
    <x v="1"/>
    <n v="155.44"/>
    <n v="55.699999999999989"/>
    <x v="0"/>
  </r>
  <r>
    <n v="655"/>
    <n v="1268"/>
    <n v="13"/>
    <n v="5"/>
    <n v="236.16"/>
    <n v="0"/>
    <x v="449"/>
    <x v="0"/>
    <x v="115"/>
    <x v="18"/>
    <n v="19.41"/>
    <n v="0.02"/>
    <x v="1"/>
    <x v="0"/>
    <n v="152.5"/>
    <n v="1028.3"/>
    <x v="3"/>
  </r>
  <r>
    <n v="656"/>
    <n v="1268"/>
    <n v="47"/>
    <n v="8"/>
    <n v="100.5"/>
    <n v="0"/>
    <x v="411"/>
    <x v="0"/>
    <x v="113"/>
    <x v="18"/>
    <n v="19.41"/>
    <n v="0.02"/>
    <x v="1"/>
    <x v="1"/>
    <n v="122.55"/>
    <n v="681.45"/>
    <x v="2"/>
  </r>
  <r>
    <n v="657"/>
    <n v="1268"/>
    <n v="18"/>
    <n v="1"/>
    <n v="60.59"/>
    <n v="0"/>
    <x v="554"/>
    <x v="0"/>
    <x v="138"/>
    <x v="18"/>
    <n v="19.41"/>
    <n v="0.32"/>
    <x v="1"/>
    <x v="5"/>
    <n v="31.75"/>
    <n v="28.840000000000003"/>
    <x v="6"/>
  </r>
  <r>
    <n v="658"/>
    <n v="1268"/>
    <n v="145"/>
    <n v="8"/>
    <n v="172.39"/>
    <n v="13.6"/>
    <x v="555"/>
    <x v="0"/>
    <x v="71"/>
    <x v="18"/>
    <n v="19.41"/>
    <n v="0.01"/>
    <x v="1"/>
    <x v="2"/>
    <n v="101.4"/>
    <n v="1264.1199999999999"/>
    <x v="7"/>
  </r>
  <r>
    <n v="659"/>
    <n v="1269"/>
    <n v="105"/>
    <n v="7"/>
    <n v="288.82"/>
    <n v="4.26"/>
    <x v="556"/>
    <x v="2"/>
    <x v="146"/>
    <x v="11"/>
    <n v="115.14"/>
    <n v="0.06"/>
    <x v="1"/>
    <x v="2"/>
    <n v="23.47"/>
    <n v="1994.01"/>
    <x v="2"/>
  </r>
  <r>
    <n v="660"/>
    <n v="1270"/>
    <n v="144"/>
    <n v="2"/>
    <n v="194.56"/>
    <n v="0"/>
    <x v="557"/>
    <x v="3"/>
    <x v="58"/>
    <x v="9"/>
    <n v="32.450000000000003"/>
    <n v="0.08"/>
    <x v="0"/>
    <x v="3"/>
    <n v="10.050000000000001"/>
    <n v="379.07"/>
    <x v="5"/>
  </r>
  <r>
    <n v="661"/>
    <n v="1270"/>
    <n v="50"/>
    <n v="1"/>
    <n v="252.62"/>
    <n v="0"/>
    <x v="392"/>
    <x v="3"/>
    <x v="140"/>
    <x v="9"/>
    <n v="32.450000000000003"/>
    <n v="0.13"/>
    <x v="0"/>
    <x v="3"/>
    <n v="32.61"/>
    <n v="220.01"/>
    <x v="4"/>
  </r>
  <r>
    <n v="662"/>
    <n v="1270"/>
    <n v="122"/>
    <n v="1"/>
    <n v="151.15"/>
    <n v="0"/>
    <x v="319"/>
    <x v="3"/>
    <x v="103"/>
    <x v="9"/>
    <n v="32.450000000000003"/>
    <n v="0.21"/>
    <x v="0"/>
    <x v="3"/>
    <n v="169.69"/>
    <n v="-18.539999999999992"/>
    <x v="6"/>
  </r>
  <r>
    <n v="663"/>
    <n v="1271"/>
    <n v="6"/>
    <n v="6"/>
    <n v="256.54000000000002"/>
    <n v="7.12"/>
    <x v="558"/>
    <x v="1"/>
    <x v="10"/>
    <x v="6"/>
    <n v="82.72"/>
    <n v="0.05"/>
    <x v="0"/>
    <x v="3"/>
    <n v="21.93"/>
    <n v="1510.1900000000003"/>
    <x v="0"/>
  </r>
  <r>
    <n v="664"/>
    <n v="1271"/>
    <n v="7"/>
    <n v="6"/>
    <n v="292.33999999999997"/>
    <n v="0"/>
    <x v="123"/>
    <x v="1"/>
    <x v="76"/>
    <x v="6"/>
    <n v="82.72"/>
    <n v="0.05"/>
    <x v="0"/>
    <x v="5"/>
    <n v="98.84"/>
    <n v="1655.2"/>
    <x v="6"/>
  </r>
  <r>
    <n v="665"/>
    <n v="1271"/>
    <n v="30"/>
    <n v="2"/>
    <n v="35.229999999999997"/>
    <n v="0"/>
    <x v="559"/>
    <x v="1"/>
    <x v="9"/>
    <x v="6"/>
    <n v="82.72"/>
    <n v="1.17"/>
    <x v="0"/>
    <x v="0"/>
    <n v="43.54"/>
    <n v="26.919999999999995"/>
    <x v="3"/>
  </r>
  <r>
    <n v="666"/>
    <n v="1271"/>
    <n v="37"/>
    <n v="3"/>
    <n v="258.95"/>
    <n v="0"/>
    <x v="560"/>
    <x v="1"/>
    <x v="145"/>
    <x v="6"/>
    <n v="82.72"/>
    <n v="0.11"/>
    <x v="0"/>
    <x v="5"/>
    <n v="146.4"/>
    <n v="630.44999999999993"/>
    <x v="0"/>
  </r>
  <r>
    <n v="667"/>
    <n v="1272"/>
    <n v="37"/>
    <n v="7"/>
    <n v="258.95"/>
    <n v="0"/>
    <x v="408"/>
    <x v="0"/>
    <x v="145"/>
    <x v="3"/>
    <n v="0"/>
    <n v="0"/>
    <x v="2"/>
    <x v="5"/>
    <n v="146.4"/>
    <n v="1666.2499999999998"/>
    <x v="0"/>
  </r>
  <r>
    <n v="668"/>
    <n v="1272"/>
    <n v="97"/>
    <n v="2"/>
    <n v="168.73"/>
    <n v="0"/>
    <x v="561"/>
    <x v="0"/>
    <x v="96"/>
    <x v="3"/>
    <n v="0"/>
    <n v="0"/>
    <x v="2"/>
    <x v="2"/>
    <n v="8.39"/>
    <n v="329.07"/>
    <x v="0"/>
  </r>
  <r>
    <n v="669"/>
    <n v="1272"/>
    <n v="61"/>
    <n v="8"/>
    <n v="293.22000000000003"/>
    <n v="8.1199999999999992"/>
    <x v="562"/>
    <x v="0"/>
    <x v="19"/>
    <x v="3"/>
    <n v="0"/>
    <n v="0"/>
    <x v="2"/>
    <x v="3"/>
    <n v="156.31"/>
    <n v="2181.3300000000004"/>
    <x v="7"/>
  </r>
  <r>
    <n v="670"/>
    <n v="1273"/>
    <n v="17"/>
    <n v="8"/>
    <n v="299.3"/>
    <n v="0"/>
    <x v="563"/>
    <x v="1"/>
    <x v="12"/>
    <x v="8"/>
    <n v="118.3"/>
    <n v="0.05"/>
    <x v="3"/>
    <x v="2"/>
    <n v="43.38"/>
    <n v="2351.02"/>
    <x v="2"/>
  </r>
  <r>
    <n v="671"/>
    <n v="1273"/>
    <n v="5"/>
    <n v="5"/>
    <n v="59.31"/>
    <n v="0"/>
    <x v="564"/>
    <x v="1"/>
    <x v="36"/>
    <x v="8"/>
    <n v="118.3"/>
    <n v="0.4"/>
    <x v="3"/>
    <x v="3"/>
    <n v="64.540000000000006"/>
    <n v="232.01"/>
    <x v="7"/>
  </r>
  <r>
    <n v="672"/>
    <n v="1273"/>
    <n v="64"/>
    <n v="3"/>
    <n v="247.73"/>
    <n v="5.26"/>
    <x v="565"/>
    <x v="1"/>
    <x v="87"/>
    <x v="8"/>
    <n v="118.3"/>
    <n v="0.16"/>
    <x v="3"/>
    <x v="5"/>
    <n v="43.93"/>
    <n v="694"/>
    <x v="6"/>
  </r>
  <r>
    <n v="673"/>
    <n v="1273"/>
    <n v="115"/>
    <n v="2"/>
    <n v="80.7"/>
    <n v="0"/>
    <x v="566"/>
    <x v="1"/>
    <x v="123"/>
    <x v="8"/>
    <n v="118.3"/>
    <n v="0.73"/>
    <x v="3"/>
    <x v="2"/>
    <n v="58.66"/>
    <n v="102.74000000000001"/>
    <x v="5"/>
  </r>
  <r>
    <n v="674"/>
    <n v="1274"/>
    <n v="43"/>
    <n v="1"/>
    <n v="277.02999999999997"/>
    <n v="1.84"/>
    <x v="567"/>
    <x v="2"/>
    <x v="63"/>
    <x v="13"/>
    <n v="69.319999999999993"/>
    <n v="0.25"/>
    <x v="0"/>
    <x v="0"/>
    <n v="88.44"/>
    <n v="186.75"/>
    <x v="6"/>
  </r>
  <r>
    <n v="675"/>
    <n v="1274"/>
    <n v="70"/>
    <n v="5"/>
    <n v="244.86"/>
    <n v="12.75"/>
    <x v="568"/>
    <x v="2"/>
    <x v="131"/>
    <x v="13"/>
    <n v="69.319999999999993"/>
    <n v="0.06"/>
    <x v="0"/>
    <x v="4"/>
    <n v="95.99"/>
    <n v="1115.5600000000002"/>
    <x v="2"/>
  </r>
  <r>
    <n v="676"/>
    <n v="1274"/>
    <n v="90"/>
    <n v="4"/>
    <n v="115.25"/>
    <n v="0"/>
    <x v="569"/>
    <x v="2"/>
    <x v="137"/>
    <x v="13"/>
    <n v="69.319999999999993"/>
    <n v="0.15"/>
    <x v="0"/>
    <x v="1"/>
    <n v="6.03"/>
    <n v="454.97"/>
    <x v="2"/>
  </r>
  <r>
    <n v="677"/>
    <n v="1275"/>
    <n v="88"/>
    <n v="5"/>
    <n v="109.3"/>
    <n v="14.71"/>
    <x v="570"/>
    <x v="1"/>
    <x v="38"/>
    <x v="8"/>
    <n v="562.09"/>
    <n v="1.06"/>
    <x v="1"/>
    <x v="1"/>
    <n v="77.599999999999994"/>
    <n v="454.18999999999994"/>
    <x v="3"/>
  </r>
  <r>
    <n v="678"/>
    <n v="1275"/>
    <n v="70"/>
    <n v="4"/>
    <n v="244.86"/>
    <n v="0"/>
    <x v="571"/>
    <x v="1"/>
    <x v="131"/>
    <x v="8"/>
    <n v="562.09"/>
    <n v="0.56999999999999995"/>
    <x v="1"/>
    <x v="4"/>
    <n v="95.99"/>
    <n v="883.45"/>
    <x v="2"/>
  </r>
  <r>
    <n v="679"/>
    <n v="1275"/>
    <n v="88"/>
    <n v="4"/>
    <n v="109.3"/>
    <n v="0"/>
    <x v="572"/>
    <x v="1"/>
    <x v="38"/>
    <x v="8"/>
    <n v="562.09"/>
    <n v="1.29"/>
    <x v="1"/>
    <x v="1"/>
    <n v="77.599999999999994"/>
    <n v="359.6"/>
    <x v="3"/>
  </r>
  <r>
    <n v="680"/>
    <n v="1276"/>
    <n v="138"/>
    <n v="1"/>
    <n v="106.5"/>
    <n v="13.5"/>
    <x v="573"/>
    <x v="4"/>
    <x v="86"/>
    <x v="15"/>
    <n v="116.76"/>
    <n v="1.26"/>
    <x v="0"/>
    <x v="3"/>
    <n v="76.459999999999994"/>
    <n v="16.540000000000006"/>
    <x v="5"/>
  </r>
  <r>
    <n v="681"/>
    <n v="1277"/>
    <n v="95"/>
    <n v="4"/>
    <n v="75.319999999999993"/>
    <n v="0"/>
    <x v="574"/>
    <x v="3"/>
    <x v="83"/>
    <x v="14"/>
    <n v="108.92"/>
    <n v="0.36"/>
    <x v="0"/>
    <x v="0"/>
    <n v="71.34"/>
    <n v="229.93999999999997"/>
    <x v="6"/>
  </r>
  <r>
    <n v="682"/>
    <n v="1277"/>
    <n v="6"/>
    <n v="5"/>
    <n v="256.54000000000002"/>
    <n v="0"/>
    <x v="429"/>
    <x v="3"/>
    <x v="10"/>
    <x v="14"/>
    <n v="108.92"/>
    <n v="0.08"/>
    <x v="0"/>
    <x v="3"/>
    <n v="21.93"/>
    <n v="1260.77"/>
    <x v="0"/>
  </r>
  <r>
    <n v="683"/>
    <n v="1277"/>
    <n v="50"/>
    <n v="2"/>
    <n v="252.62"/>
    <n v="0"/>
    <x v="575"/>
    <x v="3"/>
    <x v="140"/>
    <x v="14"/>
    <n v="108.92"/>
    <n v="0.22"/>
    <x v="0"/>
    <x v="3"/>
    <n v="32.61"/>
    <n v="472.63"/>
    <x v="4"/>
  </r>
  <r>
    <n v="684"/>
    <n v="1277"/>
    <n v="57"/>
    <n v="4"/>
    <n v="266.69"/>
    <n v="0"/>
    <x v="576"/>
    <x v="3"/>
    <x v="56"/>
    <x v="14"/>
    <n v="108.92"/>
    <n v="0.1"/>
    <x v="0"/>
    <x v="3"/>
    <n v="18.170000000000002"/>
    <n v="1048.5899999999999"/>
    <x v="6"/>
  </r>
  <r>
    <n v="685"/>
    <n v="1278"/>
    <n v="44"/>
    <n v="4"/>
    <n v="34.369999999999997"/>
    <n v="0"/>
    <x v="577"/>
    <x v="2"/>
    <x v="64"/>
    <x v="2"/>
    <n v="4.2300000000000004"/>
    <n v="0.03"/>
    <x v="3"/>
    <x v="2"/>
    <n v="16.989999999999998"/>
    <n v="120.49"/>
    <x v="0"/>
  </r>
  <r>
    <n v="686"/>
    <n v="1278"/>
    <n v="17"/>
    <n v="3"/>
    <n v="299.3"/>
    <n v="0"/>
    <x v="578"/>
    <x v="2"/>
    <x v="12"/>
    <x v="2"/>
    <n v="4.2300000000000004"/>
    <n v="0"/>
    <x v="3"/>
    <x v="2"/>
    <n v="43.38"/>
    <n v="854.5200000000001"/>
    <x v="2"/>
  </r>
  <r>
    <n v="687"/>
    <n v="1278"/>
    <n v="67"/>
    <n v="4"/>
    <n v="291.56"/>
    <n v="0"/>
    <x v="579"/>
    <x v="2"/>
    <x v="5"/>
    <x v="2"/>
    <n v="4.2300000000000004"/>
    <n v="0"/>
    <x v="3"/>
    <x v="2"/>
    <n v="25.18"/>
    <n v="1141.06"/>
    <x v="4"/>
  </r>
  <r>
    <n v="688"/>
    <n v="1278"/>
    <n v="50"/>
    <n v="1"/>
    <n v="252.62"/>
    <n v="0"/>
    <x v="392"/>
    <x v="2"/>
    <x v="140"/>
    <x v="2"/>
    <n v="4.2300000000000004"/>
    <n v="0.02"/>
    <x v="3"/>
    <x v="3"/>
    <n v="32.61"/>
    <n v="220.01"/>
    <x v="4"/>
  </r>
  <r>
    <n v="689"/>
    <n v="1279"/>
    <n v="127"/>
    <n v="6"/>
    <n v="38.14"/>
    <n v="0"/>
    <x v="580"/>
    <x v="2"/>
    <x v="45"/>
    <x v="11"/>
    <n v="115.1"/>
    <n v="0.5"/>
    <x v="3"/>
    <x v="3"/>
    <n v="51.31"/>
    <n v="177.53"/>
    <x v="3"/>
  </r>
  <r>
    <n v="690"/>
    <n v="1279"/>
    <n v="58"/>
    <n v="1"/>
    <n v="57.21"/>
    <n v="4.8899999999999997"/>
    <x v="581"/>
    <x v="2"/>
    <x v="110"/>
    <x v="11"/>
    <n v="115.1"/>
    <n v="2.2000000000000002"/>
    <x v="3"/>
    <x v="3"/>
    <n v="106.94"/>
    <n v="-54.62"/>
    <x v="6"/>
  </r>
  <r>
    <n v="691"/>
    <n v="1279"/>
    <n v="137"/>
    <n v="8"/>
    <n v="181.82"/>
    <n v="5.43"/>
    <x v="582"/>
    <x v="2"/>
    <x v="14"/>
    <x v="11"/>
    <n v="115.1"/>
    <n v="0.08"/>
    <x v="3"/>
    <x v="1"/>
    <n v="36.76"/>
    <n v="1412.37"/>
    <x v="5"/>
  </r>
  <r>
    <n v="692"/>
    <n v="1279"/>
    <n v="50"/>
    <n v="6"/>
    <n v="252.62"/>
    <n v="0"/>
    <x v="418"/>
    <x v="2"/>
    <x v="140"/>
    <x v="11"/>
    <n v="115.1"/>
    <n v="0.08"/>
    <x v="3"/>
    <x v="3"/>
    <n v="32.61"/>
    <n v="1483.1100000000001"/>
    <x v="4"/>
  </r>
  <r>
    <n v="693"/>
    <n v="1280"/>
    <n v="8"/>
    <n v="8"/>
    <n v="118.07"/>
    <n v="0"/>
    <x v="261"/>
    <x v="1"/>
    <x v="39"/>
    <x v="1"/>
    <n v="101.5"/>
    <n v="0.11"/>
    <x v="1"/>
    <x v="1"/>
    <n v="159.94999999999999"/>
    <n v="784.6099999999999"/>
    <x v="1"/>
  </r>
  <r>
    <n v="694"/>
    <n v="1281"/>
    <n v="113"/>
    <n v="2"/>
    <n v="84.34"/>
    <n v="0"/>
    <x v="363"/>
    <x v="0"/>
    <x v="142"/>
    <x v="3"/>
    <n v="40.340000000000003"/>
    <n v="0.24"/>
    <x v="0"/>
    <x v="2"/>
    <n v="75.77"/>
    <n v="92.910000000000011"/>
    <x v="1"/>
  </r>
  <r>
    <n v="695"/>
    <n v="1282"/>
    <n v="17"/>
    <n v="2"/>
    <n v="299.3"/>
    <n v="0"/>
    <x v="583"/>
    <x v="2"/>
    <x v="12"/>
    <x v="11"/>
    <n v="72.19"/>
    <n v="0.12"/>
    <x v="3"/>
    <x v="2"/>
    <n v="43.38"/>
    <n v="555.22"/>
    <x v="2"/>
  </r>
  <r>
    <n v="696"/>
    <n v="1282"/>
    <n v="76"/>
    <n v="7"/>
    <n v="160.68"/>
    <n v="6.62"/>
    <x v="584"/>
    <x v="2"/>
    <x v="100"/>
    <x v="11"/>
    <n v="72.19"/>
    <n v="0.06"/>
    <x v="3"/>
    <x v="3"/>
    <n v="123.23"/>
    <n v="994.91000000000008"/>
    <x v="5"/>
  </r>
  <r>
    <n v="697"/>
    <n v="1282"/>
    <n v="60"/>
    <n v="1"/>
    <n v="115.8"/>
    <n v="7.35"/>
    <x v="585"/>
    <x v="2"/>
    <x v="18"/>
    <x v="11"/>
    <n v="72.19"/>
    <n v="0.67"/>
    <x v="3"/>
    <x v="0"/>
    <n v="121.71"/>
    <n v="-13.259999999999991"/>
    <x v="3"/>
  </r>
  <r>
    <n v="698"/>
    <n v="1282"/>
    <n v="110"/>
    <n v="2"/>
    <n v="112"/>
    <n v="0"/>
    <x v="90"/>
    <x v="2"/>
    <x v="72"/>
    <x v="11"/>
    <n v="72.19"/>
    <n v="0.32"/>
    <x v="3"/>
    <x v="0"/>
    <n v="144.62"/>
    <n v="79.38"/>
    <x v="3"/>
  </r>
  <r>
    <n v="699"/>
    <n v="1283"/>
    <n v="91"/>
    <n v="7"/>
    <n v="170.65"/>
    <n v="7.74"/>
    <x v="586"/>
    <x v="3"/>
    <x v="32"/>
    <x v="14"/>
    <n v="40.1"/>
    <n v="0.03"/>
    <x v="1"/>
    <x v="1"/>
    <n v="135.82"/>
    <n v="1050.99"/>
    <x v="2"/>
  </r>
  <r>
    <n v="700"/>
    <n v="1283"/>
    <n v="48"/>
    <n v="4"/>
    <n v="299.56"/>
    <n v="0"/>
    <x v="587"/>
    <x v="3"/>
    <x v="62"/>
    <x v="14"/>
    <n v="40.1"/>
    <n v="0.03"/>
    <x v="1"/>
    <x v="1"/>
    <n v="85.2"/>
    <n v="1113.04"/>
    <x v="0"/>
  </r>
  <r>
    <n v="701"/>
    <n v="1283"/>
    <n v="16"/>
    <n v="3"/>
    <n v="168.61"/>
    <n v="5.36"/>
    <x v="588"/>
    <x v="3"/>
    <x v="134"/>
    <x v="14"/>
    <n v="40.1"/>
    <n v="0.08"/>
    <x v="1"/>
    <x v="0"/>
    <n v="135.37"/>
    <n v="365.1"/>
    <x v="7"/>
  </r>
  <r>
    <n v="702"/>
    <n v="1284"/>
    <n v="3"/>
    <n v="3"/>
    <n v="22.56"/>
    <n v="0"/>
    <x v="222"/>
    <x v="1"/>
    <x v="34"/>
    <x v="1"/>
    <n v="102.83"/>
    <n v="1.52"/>
    <x v="3"/>
    <x v="3"/>
    <n v="93.44"/>
    <n v="-25.760000000000005"/>
    <x v="3"/>
  </r>
  <r>
    <n v="703"/>
    <n v="1284"/>
    <n v="109"/>
    <n v="6"/>
    <n v="257.52"/>
    <n v="0"/>
    <x v="322"/>
    <x v="1"/>
    <x v="73"/>
    <x v="1"/>
    <n v="102.83"/>
    <n v="7.0000000000000007E-2"/>
    <x v="3"/>
    <x v="0"/>
    <n v="10.02"/>
    <n v="1535.1"/>
    <x v="2"/>
  </r>
  <r>
    <n v="704"/>
    <n v="1284"/>
    <n v="52"/>
    <n v="2"/>
    <n v="59.3"/>
    <n v="5.78"/>
    <x v="589"/>
    <x v="1"/>
    <x v="121"/>
    <x v="1"/>
    <n v="102.83"/>
    <n v="0.91"/>
    <x v="3"/>
    <x v="4"/>
    <n v="134.91999999999999"/>
    <n v="-22.099999999999994"/>
    <x v="0"/>
  </r>
  <r>
    <n v="705"/>
    <n v="1285"/>
    <n v="127"/>
    <n v="4"/>
    <n v="38.14"/>
    <n v="0"/>
    <x v="49"/>
    <x v="1"/>
    <x v="45"/>
    <x v="6"/>
    <n v="28.72"/>
    <n v="0.19"/>
    <x v="0"/>
    <x v="3"/>
    <n v="51.31"/>
    <n v="101.25"/>
    <x v="3"/>
  </r>
  <r>
    <n v="706"/>
    <n v="1286"/>
    <n v="19"/>
    <n v="6"/>
    <n v="298.89"/>
    <n v="0"/>
    <x v="210"/>
    <x v="2"/>
    <x v="53"/>
    <x v="2"/>
    <n v="26.55"/>
    <n v="0.01"/>
    <x v="0"/>
    <x v="3"/>
    <n v="71.78"/>
    <n v="1721.56"/>
    <x v="0"/>
  </r>
  <r>
    <n v="707"/>
    <n v="1287"/>
    <n v="68"/>
    <n v="3"/>
    <n v="138.85"/>
    <n v="0"/>
    <x v="590"/>
    <x v="3"/>
    <x v="61"/>
    <x v="14"/>
    <n v="47.96"/>
    <n v="0.12"/>
    <x v="3"/>
    <x v="2"/>
    <n v="23.97"/>
    <n v="392.57999999999993"/>
    <x v="1"/>
  </r>
  <r>
    <n v="708"/>
    <n v="1287"/>
    <n v="46"/>
    <n v="4"/>
    <n v="219.11"/>
    <n v="0"/>
    <x v="126"/>
    <x v="3"/>
    <x v="31"/>
    <x v="14"/>
    <n v="47.96"/>
    <n v="0.05"/>
    <x v="3"/>
    <x v="5"/>
    <n v="40.75"/>
    <n v="835.69"/>
    <x v="4"/>
  </r>
  <r>
    <n v="709"/>
    <n v="1288"/>
    <n v="44"/>
    <n v="7"/>
    <n v="34.369999999999997"/>
    <n v="0"/>
    <x v="591"/>
    <x v="1"/>
    <x v="64"/>
    <x v="1"/>
    <n v="117.33"/>
    <n v="0.49"/>
    <x v="1"/>
    <x v="2"/>
    <n v="16.989999999999998"/>
    <n v="223.59999999999997"/>
    <x v="0"/>
  </r>
  <r>
    <n v="710"/>
    <n v="1288"/>
    <n v="31"/>
    <n v="3"/>
    <n v="35.19"/>
    <n v="0"/>
    <x v="592"/>
    <x v="1"/>
    <x v="84"/>
    <x v="1"/>
    <n v="117.33"/>
    <n v="1.1100000000000001"/>
    <x v="1"/>
    <x v="1"/>
    <n v="155.44"/>
    <n v="-49.870000000000005"/>
    <x v="0"/>
  </r>
  <r>
    <n v="711"/>
    <n v="1288"/>
    <n v="49"/>
    <n v="4"/>
    <n v="280.98"/>
    <n v="0"/>
    <x v="593"/>
    <x v="1"/>
    <x v="23"/>
    <x v="1"/>
    <n v="117.33"/>
    <n v="0.1"/>
    <x v="1"/>
    <x v="1"/>
    <n v="51.41"/>
    <n v="1072.51"/>
    <x v="3"/>
  </r>
  <r>
    <n v="712"/>
    <n v="1289"/>
    <n v="72"/>
    <n v="3"/>
    <n v="205.06"/>
    <n v="12.92"/>
    <x v="594"/>
    <x v="1"/>
    <x v="80"/>
    <x v="1"/>
    <n v="95.02"/>
    <n v="0.16"/>
    <x v="3"/>
    <x v="1"/>
    <n v="93.75"/>
    <n v="508.5100000000001"/>
    <x v="0"/>
  </r>
  <r>
    <n v="713"/>
    <n v="1290"/>
    <n v="128"/>
    <n v="8"/>
    <n v="143.38999999999999"/>
    <n v="0"/>
    <x v="404"/>
    <x v="4"/>
    <x v="51"/>
    <x v="16"/>
    <n v="56.44"/>
    <n v="0.05"/>
    <x v="1"/>
    <x v="2"/>
    <n v="5.47"/>
    <n v="1141.6499999999999"/>
    <x v="0"/>
  </r>
  <r>
    <n v="714"/>
    <n v="1290"/>
    <n v="135"/>
    <n v="8"/>
    <n v="41.03"/>
    <n v="11.02"/>
    <x v="595"/>
    <x v="4"/>
    <x v="108"/>
    <x v="16"/>
    <n v="56.44"/>
    <n v="0.18"/>
    <x v="1"/>
    <x v="4"/>
    <n v="48.81"/>
    <n v="268.41000000000003"/>
    <x v="4"/>
  </r>
  <r>
    <n v="715"/>
    <n v="1290"/>
    <n v="122"/>
    <n v="5"/>
    <n v="151.15"/>
    <n v="0"/>
    <x v="141"/>
    <x v="4"/>
    <x v="103"/>
    <x v="16"/>
    <n v="56.44"/>
    <n v="7.0000000000000007E-2"/>
    <x v="1"/>
    <x v="3"/>
    <n v="169.69"/>
    <n v="586.05999999999995"/>
    <x v="6"/>
  </r>
  <r>
    <n v="716"/>
    <n v="1291"/>
    <n v="141"/>
    <n v="2"/>
    <n v="15.33"/>
    <n v="0"/>
    <x v="76"/>
    <x v="2"/>
    <x v="65"/>
    <x v="4"/>
    <n v="54.17"/>
    <n v="1.77"/>
    <x v="1"/>
    <x v="5"/>
    <n v="149.36000000000001"/>
    <n v="-118.70000000000002"/>
    <x v="2"/>
  </r>
  <r>
    <n v="717"/>
    <n v="1291"/>
    <n v="76"/>
    <n v="8"/>
    <n v="160.68"/>
    <n v="0"/>
    <x v="136"/>
    <x v="2"/>
    <x v="100"/>
    <x v="4"/>
    <n v="54.17"/>
    <n v="0.04"/>
    <x v="1"/>
    <x v="3"/>
    <n v="123.23"/>
    <n v="1162.21"/>
    <x v="5"/>
  </r>
  <r>
    <n v="718"/>
    <n v="1291"/>
    <n v="150"/>
    <n v="1"/>
    <n v="100.09"/>
    <n v="0"/>
    <x v="219"/>
    <x v="2"/>
    <x v="54"/>
    <x v="4"/>
    <n v="54.17"/>
    <n v="0.54"/>
    <x v="1"/>
    <x v="3"/>
    <n v="54.5"/>
    <n v="45.59"/>
    <x v="1"/>
  </r>
  <r>
    <n v="719"/>
    <n v="1292"/>
    <n v="68"/>
    <n v="2"/>
    <n v="138.85"/>
    <n v="0"/>
    <x v="596"/>
    <x v="2"/>
    <x v="61"/>
    <x v="4"/>
    <n v="45.79"/>
    <n v="0.16"/>
    <x v="1"/>
    <x v="2"/>
    <n v="23.97"/>
    <n v="253.73"/>
    <x v="1"/>
  </r>
  <r>
    <n v="720"/>
    <n v="1292"/>
    <n v="76"/>
    <n v="2"/>
    <n v="160.68"/>
    <n v="0"/>
    <x v="597"/>
    <x v="2"/>
    <x v="100"/>
    <x v="4"/>
    <n v="45.79"/>
    <n v="0.14000000000000001"/>
    <x v="1"/>
    <x v="3"/>
    <n v="123.23"/>
    <n v="198.13"/>
    <x v="5"/>
  </r>
  <r>
    <n v="721"/>
    <n v="1293"/>
    <n v="49"/>
    <n v="3"/>
    <n v="280.98"/>
    <n v="0"/>
    <x v="598"/>
    <x v="1"/>
    <x v="23"/>
    <x v="7"/>
    <n v="0"/>
    <n v="0"/>
    <x v="1"/>
    <x v="1"/>
    <n v="51.41"/>
    <n v="791.53000000000009"/>
    <x v="3"/>
  </r>
  <r>
    <n v="722"/>
    <n v="1293"/>
    <n v="3"/>
    <n v="5"/>
    <n v="22.56"/>
    <n v="0"/>
    <x v="599"/>
    <x v="1"/>
    <x v="34"/>
    <x v="7"/>
    <n v="0"/>
    <n v="0"/>
    <x v="1"/>
    <x v="3"/>
    <n v="93.44"/>
    <n v="19.36"/>
    <x v="3"/>
  </r>
  <r>
    <n v="723"/>
    <n v="1293"/>
    <n v="104"/>
    <n v="7"/>
    <n v="199.55"/>
    <n v="0"/>
    <x v="600"/>
    <x v="1"/>
    <x v="69"/>
    <x v="7"/>
    <n v="0"/>
    <n v="0"/>
    <x v="1"/>
    <x v="2"/>
    <n v="17.07"/>
    <n v="1379.7800000000002"/>
    <x v="2"/>
  </r>
  <r>
    <n v="724"/>
    <n v="1294"/>
    <n v="122"/>
    <n v="4"/>
    <n v="151.15"/>
    <n v="8.2200000000000006"/>
    <x v="601"/>
    <x v="3"/>
    <x v="103"/>
    <x v="9"/>
    <n v="28.31"/>
    <n v="0.05"/>
    <x v="1"/>
    <x v="3"/>
    <n v="169.69"/>
    <n v="426.69"/>
    <x v="6"/>
  </r>
  <r>
    <n v="725"/>
    <n v="1294"/>
    <n v="119"/>
    <n v="6"/>
    <n v="27.97"/>
    <n v="0"/>
    <x v="602"/>
    <x v="3"/>
    <x v="57"/>
    <x v="9"/>
    <n v="28.31"/>
    <n v="0.17"/>
    <x v="1"/>
    <x v="4"/>
    <n v="27.15"/>
    <n v="140.66999999999999"/>
    <x v="6"/>
  </r>
  <r>
    <n v="726"/>
    <n v="1295"/>
    <n v="128"/>
    <n v="6"/>
    <n v="143.38999999999999"/>
    <n v="5.76"/>
    <x v="603"/>
    <x v="3"/>
    <x v="51"/>
    <x v="10"/>
    <n v="92.49"/>
    <n v="0.11"/>
    <x v="1"/>
    <x v="2"/>
    <n v="5.47"/>
    <n v="849.1099999999999"/>
    <x v="0"/>
  </r>
  <r>
    <n v="727"/>
    <n v="1296"/>
    <n v="85"/>
    <n v="7"/>
    <n v="163.57"/>
    <n v="0"/>
    <x v="604"/>
    <x v="0"/>
    <x v="3"/>
    <x v="18"/>
    <n v="70.06"/>
    <n v="0.06"/>
    <x v="0"/>
    <x v="0"/>
    <n v="139.02000000000001"/>
    <n v="1005.97"/>
    <x v="3"/>
  </r>
  <r>
    <n v="728"/>
    <n v="1296"/>
    <n v="101"/>
    <n v="2"/>
    <n v="45.81"/>
    <n v="0"/>
    <x v="605"/>
    <x v="0"/>
    <x v="77"/>
    <x v="18"/>
    <n v="70.06"/>
    <n v="0.76"/>
    <x v="0"/>
    <x v="3"/>
    <n v="173.83"/>
    <n v="-82.210000000000008"/>
    <x v="0"/>
  </r>
  <r>
    <n v="729"/>
    <n v="1297"/>
    <n v="126"/>
    <n v="1"/>
    <n v="32.17"/>
    <n v="0"/>
    <x v="606"/>
    <x v="0"/>
    <x v="107"/>
    <x v="17"/>
    <n v="31.03"/>
    <n v="0.96"/>
    <x v="0"/>
    <x v="3"/>
    <n v="104.51"/>
    <n v="-72.34"/>
    <x v="2"/>
  </r>
  <r>
    <n v="730"/>
    <n v="1298"/>
    <n v="106"/>
    <n v="7"/>
    <n v="65.2"/>
    <n v="0"/>
    <x v="287"/>
    <x v="2"/>
    <x v="20"/>
    <x v="4"/>
    <n v="22.42"/>
    <n v="0.05"/>
    <x v="0"/>
    <x v="4"/>
    <n v="0"/>
    <n v="456.40000000000003"/>
    <x v="7"/>
  </r>
  <r>
    <n v="731"/>
    <n v="1298"/>
    <n v="34"/>
    <n v="7"/>
    <n v="222.79"/>
    <n v="0"/>
    <x v="607"/>
    <x v="2"/>
    <x v="89"/>
    <x v="4"/>
    <n v="22.42"/>
    <n v="0.01"/>
    <x v="0"/>
    <x v="1"/>
    <n v="86.73"/>
    <n v="1472.8"/>
    <x v="2"/>
  </r>
  <r>
    <n v="732"/>
    <n v="1298"/>
    <n v="100"/>
    <n v="4"/>
    <n v="233.57"/>
    <n v="0"/>
    <x v="608"/>
    <x v="2"/>
    <x v="111"/>
    <x v="4"/>
    <n v="22.42"/>
    <n v="0.02"/>
    <x v="0"/>
    <x v="4"/>
    <n v="127.41"/>
    <n v="806.87"/>
    <x v="3"/>
  </r>
  <r>
    <n v="733"/>
    <n v="1299"/>
    <n v="115"/>
    <n v="2"/>
    <n v="80.7"/>
    <n v="0"/>
    <x v="566"/>
    <x v="2"/>
    <x v="123"/>
    <x v="13"/>
    <n v="0"/>
    <n v="0"/>
    <x v="1"/>
    <x v="2"/>
    <n v="58.66"/>
    <n v="102.74000000000001"/>
    <x v="5"/>
  </r>
  <r>
    <n v="734"/>
    <n v="1299"/>
    <n v="135"/>
    <n v="6"/>
    <n v="41.03"/>
    <n v="13.74"/>
    <x v="609"/>
    <x v="2"/>
    <x v="108"/>
    <x v="13"/>
    <n v="0"/>
    <n v="0"/>
    <x v="1"/>
    <x v="4"/>
    <n v="48.81"/>
    <n v="183.63"/>
    <x v="4"/>
  </r>
  <r>
    <n v="735"/>
    <n v="1300"/>
    <n v="89"/>
    <n v="5"/>
    <n v="126"/>
    <n v="0"/>
    <x v="610"/>
    <x v="0"/>
    <x v="92"/>
    <x v="3"/>
    <n v="37.86"/>
    <n v="0.06"/>
    <x v="0"/>
    <x v="3"/>
    <n v="150.76"/>
    <n v="479.24"/>
    <x v="6"/>
  </r>
  <r>
    <n v="736"/>
    <n v="1300"/>
    <n v="107"/>
    <n v="4"/>
    <n v="223.34"/>
    <n v="3.51"/>
    <x v="611"/>
    <x v="0"/>
    <x v="6"/>
    <x v="3"/>
    <n v="37.86"/>
    <n v="0.04"/>
    <x v="0"/>
    <x v="3"/>
    <n v="81.23"/>
    <n v="808.62"/>
    <x v="5"/>
  </r>
  <r>
    <n v="737"/>
    <n v="1300"/>
    <n v="118"/>
    <n v="7"/>
    <n v="229.49"/>
    <n v="0"/>
    <x v="612"/>
    <x v="0"/>
    <x v="15"/>
    <x v="3"/>
    <n v="37.86"/>
    <n v="0.02"/>
    <x v="0"/>
    <x v="1"/>
    <n v="44.81"/>
    <n v="1561.6200000000001"/>
    <x v="3"/>
  </r>
  <r>
    <n v="738"/>
    <n v="1300"/>
    <n v="101"/>
    <n v="1"/>
    <n v="45.81"/>
    <n v="0"/>
    <x v="613"/>
    <x v="0"/>
    <x v="77"/>
    <x v="3"/>
    <n v="37.86"/>
    <n v="0.83"/>
    <x v="0"/>
    <x v="3"/>
    <n v="173.83"/>
    <n v="-128.02000000000001"/>
    <x v="0"/>
  </r>
  <r>
    <n v="739"/>
    <n v="1301"/>
    <n v="27"/>
    <n v="6"/>
    <n v="165.39"/>
    <n v="0"/>
    <x v="94"/>
    <x v="2"/>
    <x v="74"/>
    <x v="2"/>
    <n v="9.18"/>
    <n v="0.01"/>
    <x v="0"/>
    <x v="1"/>
    <n v="33.9"/>
    <n v="958.43999999999994"/>
    <x v="5"/>
  </r>
  <r>
    <n v="740"/>
    <n v="1302"/>
    <n v="10"/>
    <n v="1"/>
    <n v="144.22"/>
    <n v="0"/>
    <x v="614"/>
    <x v="1"/>
    <x v="106"/>
    <x v="12"/>
    <n v="15.66"/>
    <n v="0.11"/>
    <x v="2"/>
    <x v="0"/>
    <n v="71.52"/>
    <n v="72.7"/>
    <x v="3"/>
  </r>
  <r>
    <n v="741"/>
    <n v="1302"/>
    <n v="84"/>
    <n v="8"/>
    <n v="150.28"/>
    <n v="0"/>
    <x v="615"/>
    <x v="1"/>
    <x v="49"/>
    <x v="12"/>
    <n v="15.66"/>
    <n v="0.01"/>
    <x v="2"/>
    <x v="0"/>
    <n v="135.13999999999999"/>
    <n v="1067.0999999999999"/>
    <x v="5"/>
  </r>
  <r>
    <n v="742"/>
    <n v="1302"/>
    <n v="22"/>
    <n v="4"/>
    <n v="159.69"/>
    <n v="10.99"/>
    <x v="616"/>
    <x v="1"/>
    <x v="43"/>
    <x v="12"/>
    <n v="15.66"/>
    <n v="0.02"/>
    <x v="2"/>
    <x v="4"/>
    <n v="138.34"/>
    <n v="489.42999999999995"/>
    <x v="1"/>
  </r>
  <r>
    <n v="743"/>
    <n v="1302"/>
    <n v="36"/>
    <n v="8"/>
    <n v="94.39"/>
    <n v="0"/>
    <x v="617"/>
    <x v="1"/>
    <x v="116"/>
    <x v="12"/>
    <n v="15.66"/>
    <n v="0.02"/>
    <x v="2"/>
    <x v="0"/>
    <n v="78.83"/>
    <n v="676.29"/>
    <x v="5"/>
  </r>
  <r>
    <n v="744"/>
    <n v="1303"/>
    <n v="40"/>
    <n v="8"/>
    <n v="90.58"/>
    <n v="0"/>
    <x v="357"/>
    <x v="0"/>
    <x v="81"/>
    <x v="0"/>
    <n v="4.54"/>
    <n v="0.01"/>
    <x v="0"/>
    <x v="1"/>
    <n v="177.43"/>
    <n v="547.21"/>
    <x v="2"/>
  </r>
  <r>
    <n v="745"/>
    <n v="1303"/>
    <n v="9"/>
    <n v="4"/>
    <n v="235.32"/>
    <n v="0"/>
    <x v="618"/>
    <x v="0"/>
    <x v="16"/>
    <x v="0"/>
    <n v="4.54"/>
    <n v="0"/>
    <x v="0"/>
    <x v="1"/>
    <n v="120.72"/>
    <n v="820.56"/>
    <x v="0"/>
  </r>
  <r>
    <n v="746"/>
    <n v="1303"/>
    <n v="134"/>
    <n v="2"/>
    <n v="26.36"/>
    <n v="0"/>
    <x v="619"/>
    <x v="0"/>
    <x v="85"/>
    <x v="0"/>
    <n v="4.54"/>
    <n v="0.09"/>
    <x v="0"/>
    <x v="0"/>
    <n v="19.079999999999998"/>
    <n v="33.64"/>
    <x v="5"/>
  </r>
  <r>
    <n v="747"/>
    <n v="1304"/>
    <n v="8"/>
    <n v="1"/>
    <n v="118.07"/>
    <n v="0"/>
    <x v="282"/>
    <x v="1"/>
    <x v="39"/>
    <x v="7"/>
    <n v="49.83"/>
    <n v="0.42"/>
    <x v="0"/>
    <x v="1"/>
    <n v="159.94999999999999"/>
    <n v="-41.879999999999995"/>
    <x v="1"/>
  </r>
  <r>
    <n v="748"/>
    <n v="1304"/>
    <n v="17"/>
    <n v="4"/>
    <n v="299.3"/>
    <n v="0"/>
    <x v="620"/>
    <x v="1"/>
    <x v="12"/>
    <x v="7"/>
    <n v="49.83"/>
    <n v="0.04"/>
    <x v="0"/>
    <x v="2"/>
    <n v="43.38"/>
    <n v="1153.82"/>
    <x v="2"/>
  </r>
  <r>
    <n v="749"/>
    <n v="1304"/>
    <n v="43"/>
    <n v="3"/>
    <n v="277.02999999999997"/>
    <n v="0"/>
    <x v="621"/>
    <x v="1"/>
    <x v="63"/>
    <x v="7"/>
    <n v="49.83"/>
    <n v="0.06"/>
    <x v="0"/>
    <x v="0"/>
    <n v="88.44"/>
    <n v="742.64999999999986"/>
    <x v="6"/>
  </r>
  <r>
    <n v="750"/>
    <n v="1304"/>
    <n v="84"/>
    <n v="6"/>
    <n v="150.28"/>
    <n v="0"/>
    <x v="113"/>
    <x v="1"/>
    <x v="49"/>
    <x v="7"/>
    <n v="49.83"/>
    <n v="0.06"/>
    <x v="0"/>
    <x v="0"/>
    <n v="135.13999999999999"/>
    <n v="766.54000000000008"/>
    <x v="5"/>
  </r>
  <r>
    <n v="751"/>
    <n v="1305"/>
    <n v="81"/>
    <n v="1"/>
    <n v="244.17"/>
    <n v="6.45"/>
    <x v="622"/>
    <x v="2"/>
    <x v="47"/>
    <x v="12"/>
    <n v="0"/>
    <n v="0"/>
    <x v="1"/>
    <x v="4"/>
    <n v="43.3"/>
    <n v="194.42000000000002"/>
    <x v="0"/>
  </r>
  <r>
    <n v="752"/>
    <n v="1305"/>
    <n v="57"/>
    <n v="2"/>
    <n v="266.69"/>
    <n v="0"/>
    <x v="623"/>
    <x v="2"/>
    <x v="56"/>
    <x v="12"/>
    <n v="0"/>
    <n v="0"/>
    <x v="1"/>
    <x v="3"/>
    <n v="18.170000000000002"/>
    <n v="515.21"/>
    <x v="6"/>
  </r>
  <r>
    <n v="753"/>
    <n v="1305"/>
    <n v="95"/>
    <n v="1"/>
    <n v="75.319999999999993"/>
    <n v="0"/>
    <x v="624"/>
    <x v="2"/>
    <x v="83"/>
    <x v="12"/>
    <n v="0"/>
    <n v="0"/>
    <x v="1"/>
    <x v="0"/>
    <n v="71.34"/>
    <n v="3.9799999999999898"/>
    <x v="6"/>
  </r>
  <r>
    <n v="754"/>
    <n v="1305"/>
    <n v="106"/>
    <n v="5"/>
    <n v="65.2"/>
    <n v="11.75"/>
    <x v="625"/>
    <x v="2"/>
    <x v="20"/>
    <x v="12"/>
    <n v="0"/>
    <n v="0"/>
    <x v="1"/>
    <x v="4"/>
    <n v="0"/>
    <n v="314.25"/>
    <x v="7"/>
  </r>
  <r>
    <n v="755"/>
    <n v="1306"/>
    <n v="65"/>
    <n v="2"/>
    <n v="203.11"/>
    <n v="9.4"/>
    <x v="626"/>
    <x v="0"/>
    <x v="52"/>
    <x v="17"/>
    <n v="42.87"/>
    <n v="0.11"/>
    <x v="0"/>
    <x v="1"/>
    <n v="44.01"/>
    <n v="352.81000000000006"/>
    <x v="1"/>
  </r>
  <r>
    <n v="756"/>
    <n v="1306"/>
    <n v="35"/>
    <n v="6"/>
    <n v="46.14"/>
    <n v="0"/>
    <x v="70"/>
    <x v="0"/>
    <x v="2"/>
    <x v="17"/>
    <n v="42.87"/>
    <n v="0.15"/>
    <x v="0"/>
    <x v="1"/>
    <n v="145.1"/>
    <n v="131.74000000000004"/>
    <x v="2"/>
  </r>
  <r>
    <n v="757"/>
    <n v="1307"/>
    <n v="60"/>
    <n v="1"/>
    <n v="115.8"/>
    <n v="0"/>
    <x v="627"/>
    <x v="4"/>
    <x v="18"/>
    <x v="16"/>
    <n v="91.84"/>
    <n v="0.79"/>
    <x v="1"/>
    <x v="0"/>
    <n v="121.71"/>
    <n v="-5.9099999999999966"/>
    <x v="3"/>
  </r>
  <r>
    <n v="758"/>
    <n v="1308"/>
    <n v="53"/>
    <n v="1"/>
    <n v="73.03"/>
    <n v="4.33"/>
    <x v="628"/>
    <x v="4"/>
    <x v="99"/>
    <x v="15"/>
    <n v="0"/>
    <n v="0"/>
    <x v="1"/>
    <x v="5"/>
    <n v="0"/>
    <n v="68.7"/>
    <x v="3"/>
  </r>
  <r>
    <n v="759"/>
    <n v="1308"/>
    <n v="85"/>
    <n v="3"/>
    <n v="163.57"/>
    <n v="0"/>
    <x v="3"/>
    <x v="4"/>
    <x v="3"/>
    <x v="15"/>
    <n v="0"/>
    <n v="0"/>
    <x v="1"/>
    <x v="0"/>
    <n v="139.02000000000001"/>
    <n v="351.68999999999994"/>
    <x v="3"/>
  </r>
  <r>
    <n v="760"/>
    <n v="1308"/>
    <n v="134"/>
    <n v="7"/>
    <n v="26.36"/>
    <n v="0"/>
    <x v="111"/>
    <x v="4"/>
    <x v="85"/>
    <x v="15"/>
    <n v="0"/>
    <n v="0"/>
    <x v="1"/>
    <x v="0"/>
    <n v="19.079999999999998"/>
    <n v="165.44"/>
    <x v="5"/>
  </r>
  <r>
    <n v="761"/>
    <n v="1308"/>
    <n v="7"/>
    <n v="4"/>
    <n v="292.33999999999997"/>
    <n v="0"/>
    <x v="629"/>
    <x v="4"/>
    <x v="76"/>
    <x v="15"/>
    <n v="0"/>
    <n v="0"/>
    <x v="1"/>
    <x v="5"/>
    <n v="98.84"/>
    <n v="1070.52"/>
    <x v="6"/>
  </r>
  <r>
    <n v="762"/>
    <n v="1309"/>
    <n v="57"/>
    <n v="7"/>
    <n v="266.69"/>
    <n v="0"/>
    <x v="630"/>
    <x v="3"/>
    <x v="56"/>
    <x v="5"/>
    <n v="77.59"/>
    <n v="0.04"/>
    <x v="0"/>
    <x v="3"/>
    <n v="18.170000000000002"/>
    <n v="1848.6599999999999"/>
    <x v="6"/>
  </r>
  <r>
    <n v="763"/>
    <n v="1309"/>
    <n v="114"/>
    <n v="1"/>
    <n v="171.86"/>
    <n v="1.9"/>
    <x v="631"/>
    <x v="3"/>
    <x v="144"/>
    <x v="5"/>
    <n v="77.59"/>
    <n v="0.46"/>
    <x v="0"/>
    <x v="1"/>
    <n v="179.41"/>
    <n v="-9.4499999999999886"/>
    <x v="4"/>
  </r>
  <r>
    <n v="764"/>
    <n v="1310"/>
    <n v="130"/>
    <n v="2"/>
    <n v="193.14"/>
    <n v="6.97"/>
    <x v="632"/>
    <x v="3"/>
    <x v="135"/>
    <x v="9"/>
    <n v="32.880000000000003"/>
    <n v="0.09"/>
    <x v="0"/>
    <x v="3"/>
    <n v="142.87"/>
    <n v="236.43999999999994"/>
    <x v="3"/>
  </r>
  <r>
    <n v="765"/>
    <n v="1310"/>
    <n v="80"/>
    <n v="3"/>
    <n v="84.54"/>
    <n v="0"/>
    <x v="103"/>
    <x v="3"/>
    <x v="82"/>
    <x v="9"/>
    <n v="32.880000000000003"/>
    <n v="0.13"/>
    <x v="0"/>
    <x v="1"/>
    <n v="91.52"/>
    <n v="162.10000000000002"/>
    <x v="3"/>
  </r>
  <r>
    <n v="766"/>
    <n v="1311"/>
    <n v="43"/>
    <n v="8"/>
    <n v="277.02999999999997"/>
    <n v="7.18"/>
    <x v="633"/>
    <x v="4"/>
    <x v="63"/>
    <x v="15"/>
    <n v="39.479999999999997"/>
    <n v="0.02"/>
    <x v="3"/>
    <x v="0"/>
    <n v="88.44"/>
    <n v="2120.62"/>
    <x v="6"/>
  </r>
  <r>
    <n v="767"/>
    <n v="1311"/>
    <n v="40"/>
    <n v="8"/>
    <n v="90.58"/>
    <n v="1.28"/>
    <x v="634"/>
    <x v="4"/>
    <x v="81"/>
    <x v="15"/>
    <n v="39.479999999999997"/>
    <n v="0.05"/>
    <x v="3"/>
    <x v="1"/>
    <n v="177.43"/>
    <n v="545.93000000000006"/>
    <x v="2"/>
  </r>
  <r>
    <n v="768"/>
    <n v="1311"/>
    <n v="110"/>
    <n v="2"/>
    <n v="112"/>
    <n v="0"/>
    <x v="90"/>
    <x v="4"/>
    <x v="72"/>
    <x v="15"/>
    <n v="39.479999999999997"/>
    <n v="0.18"/>
    <x v="3"/>
    <x v="0"/>
    <n v="144.62"/>
    <n v="79.38"/>
    <x v="3"/>
  </r>
  <r>
    <n v="769"/>
    <n v="1311"/>
    <n v="138"/>
    <n v="3"/>
    <n v="106.5"/>
    <n v="0"/>
    <x v="635"/>
    <x v="4"/>
    <x v="86"/>
    <x v="15"/>
    <n v="39.479999999999997"/>
    <n v="0.12"/>
    <x v="3"/>
    <x v="3"/>
    <n v="76.459999999999994"/>
    <n v="243.04000000000002"/>
    <x v="5"/>
  </r>
  <r>
    <n v="770"/>
    <n v="1312"/>
    <n v="40"/>
    <n v="4"/>
    <n v="90.58"/>
    <n v="0"/>
    <x v="636"/>
    <x v="1"/>
    <x v="81"/>
    <x v="6"/>
    <n v="39.71"/>
    <n v="0.11"/>
    <x v="1"/>
    <x v="1"/>
    <n v="177.43"/>
    <n v="184.89"/>
    <x v="2"/>
  </r>
  <r>
    <n v="771"/>
    <n v="1312"/>
    <n v="126"/>
    <n v="7"/>
    <n v="32.17"/>
    <n v="13.96"/>
    <x v="637"/>
    <x v="1"/>
    <x v="107"/>
    <x v="6"/>
    <n v="39.71"/>
    <n v="0.19"/>
    <x v="1"/>
    <x v="3"/>
    <n v="104.51"/>
    <n v="106.71999999999998"/>
    <x v="2"/>
  </r>
  <r>
    <n v="772"/>
    <n v="1313"/>
    <n v="112"/>
    <n v="5"/>
    <n v="154.88"/>
    <n v="0"/>
    <x v="638"/>
    <x v="3"/>
    <x v="98"/>
    <x v="10"/>
    <n v="111.48"/>
    <n v="0.14000000000000001"/>
    <x v="0"/>
    <x v="3"/>
    <n v="118.03"/>
    <n v="656.37"/>
    <x v="3"/>
  </r>
  <r>
    <n v="773"/>
    <n v="1313"/>
    <n v="131"/>
    <n v="8"/>
    <n v="57.46"/>
    <n v="0"/>
    <x v="639"/>
    <x v="3"/>
    <x v="117"/>
    <x v="10"/>
    <n v="111.48"/>
    <n v="0.24"/>
    <x v="0"/>
    <x v="1"/>
    <n v="44.34"/>
    <n v="415.34000000000003"/>
    <x v="0"/>
  </r>
  <r>
    <n v="774"/>
    <n v="1314"/>
    <n v="38"/>
    <n v="5"/>
    <n v="256.88"/>
    <n v="0"/>
    <x v="640"/>
    <x v="2"/>
    <x v="147"/>
    <x v="12"/>
    <n v="71.09"/>
    <n v="0.06"/>
    <x v="1"/>
    <x v="5"/>
    <n v="167.11"/>
    <n v="1117.29"/>
    <x v="6"/>
  </r>
  <r>
    <n v="775"/>
    <n v="1315"/>
    <n v="21"/>
    <n v="4"/>
    <n v="60.07"/>
    <n v="0"/>
    <x v="641"/>
    <x v="0"/>
    <x v="119"/>
    <x v="0"/>
    <n v="392.62"/>
    <n v="1.63"/>
    <x v="1"/>
    <x v="1"/>
    <n v="56.36"/>
    <n v="183.92000000000002"/>
    <x v="4"/>
  </r>
  <r>
    <n v="776"/>
    <n v="1315"/>
    <n v="110"/>
    <n v="5"/>
    <n v="112"/>
    <n v="10.69"/>
    <x v="642"/>
    <x v="0"/>
    <x v="72"/>
    <x v="0"/>
    <n v="392.62"/>
    <n v="0.71"/>
    <x v="1"/>
    <x v="0"/>
    <n v="144.62"/>
    <n v="404.68999999999994"/>
    <x v="3"/>
  </r>
  <r>
    <n v="777"/>
    <n v="1315"/>
    <n v="79"/>
    <n v="7"/>
    <n v="234.02"/>
    <n v="0"/>
    <x v="373"/>
    <x v="0"/>
    <x v="25"/>
    <x v="0"/>
    <n v="392.62"/>
    <n v="0.24"/>
    <x v="1"/>
    <x v="5"/>
    <n v="111.97"/>
    <n v="1526.17"/>
    <x v="3"/>
  </r>
  <r>
    <n v="778"/>
    <n v="1315"/>
    <n v="28"/>
    <n v="6"/>
    <n v="206.43"/>
    <n v="0"/>
    <x v="643"/>
    <x v="0"/>
    <x v="55"/>
    <x v="0"/>
    <n v="392.62"/>
    <n v="0.32"/>
    <x v="1"/>
    <x v="2"/>
    <n v="74.819999999999993"/>
    <n v="1163.76"/>
    <x v="3"/>
  </r>
  <r>
    <n v="779"/>
    <n v="1316"/>
    <n v="74"/>
    <n v="7"/>
    <n v="130.72999999999999"/>
    <n v="0"/>
    <x v="644"/>
    <x v="0"/>
    <x v="141"/>
    <x v="0"/>
    <n v="55.12"/>
    <n v="0.06"/>
    <x v="2"/>
    <x v="5"/>
    <n v="104.59"/>
    <n v="810.51999999999987"/>
    <x v="7"/>
  </r>
  <r>
    <n v="780"/>
    <n v="1316"/>
    <n v="48"/>
    <n v="3"/>
    <n v="299.56"/>
    <n v="0"/>
    <x v="645"/>
    <x v="0"/>
    <x v="62"/>
    <x v="0"/>
    <n v="55.12"/>
    <n v="0.06"/>
    <x v="2"/>
    <x v="1"/>
    <n v="85.2"/>
    <n v="813.48"/>
    <x v="0"/>
  </r>
  <r>
    <n v="781"/>
    <n v="1316"/>
    <n v="129"/>
    <n v="2"/>
    <n v="95.57"/>
    <n v="0"/>
    <x v="646"/>
    <x v="0"/>
    <x v="104"/>
    <x v="0"/>
    <n v="55.12"/>
    <n v="0.28999999999999998"/>
    <x v="2"/>
    <x v="3"/>
    <n v="55.42"/>
    <n v="135.71999999999997"/>
    <x v="6"/>
  </r>
  <r>
    <n v="782"/>
    <n v="1316"/>
    <n v="48"/>
    <n v="4"/>
    <n v="299.56"/>
    <n v="0"/>
    <x v="587"/>
    <x v="0"/>
    <x v="62"/>
    <x v="0"/>
    <n v="55.12"/>
    <n v="0.05"/>
    <x v="2"/>
    <x v="1"/>
    <n v="85.2"/>
    <n v="1113.04"/>
    <x v="0"/>
  </r>
  <r>
    <n v="783"/>
    <n v="1317"/>
    <n v="17"/>
    <n v="6"/>
    <n v="299.3"/>
    <n v="0"/>
    <x v="647"/>
    <x v="1"/>
    <x v="12"/>
    <x v="1"/>
    <n v="15.23"/>
    <n v="0.01"/>
    <x v="2"/>
    <x v="2"/>
    <n v="43.38"/>
    <n v="1752.42"/>
    <x v="2"/>
  </r>
  <r>
    <n v="784"/>
    <n v="1317"/>
    <n v="123"/>
    <n v="8"/>
    <n v="210.64"/>
    <n v="0"/>
    <x v="229"/>
    <x v="1"/>
    <x v="127"/>
    <x v="1"/>
    <n v="15.23"/>
    <n v="0.01"/>
    <x v="2"/>
    <x v="4"/>
    <n v="105.98"/>
    <n v="1579.1399999999999"/>
    <x v="5"/>
  </r>
  <r>
    <n v="785"/>
    <n v="1317"/>
    <n v="3"/>
    <n v="1"/>
    <n v="22.56"/>
    <n v="0"/>
    <x v="91"/>
    <x v="1"/>
    <x v="34"/>
    <x v="1"/>
    <n v="15.23"/>
    <n v="0.68"/>
    <x v="2"/>
    <x v="3"/>
    <n v="93.44"/>
    <n v="-70.88"/>
    <x v="3"/>
  </r>
  <r>
    <n v="786"/>
    <n v="1318"/>
    <n v="87"/>
    <n v="6"/>
    <n v="124.17"/>
    <n v="0"/>
    <x v="648"/>
    <x v="1"/>
    <x v="129"/>
    <x v="8"/>
    <n v="18.260000000000002"/>
    <n v="0.02"/>
    <x v="2"/>
    <x v="5"/>
    <n v="31.4"/>
    <n v="713.62"/>
    <x v="0"/>
  </r>
  <r>
    <n v="787"/>
    <n v="1318"/>
    <n v="81"/>
    <n v="4"/>
    <n v="244.17"/>
    <n v="14.17"/>
    <x v="649"/>
    <x v="1"/>
    <x v="47"/>
    <x v="8"/>
    <n v="18.260000000000002"/>
    <n v="0.02"/>
    <x v="2"/>
    <x v="4"/>
    <n v="43.3"/>
    <n v="919.21"/>
    <x v="0"/>
  </r>
  <r>
    <n v="788"/>
    <n v="1318"/>
    <n v="97"/>
    <n v="1"/>
    <n v="168.73"/>
    <n v="0"/>
    <x v="650"/>
    <x v="1"/>
    <x v="96"/>
    <x v="8"/>
    <n v="18.260000000000002"/>
    <n v="0.11"/>
    <x v="2"/>
    <x v="2"/>
    <n v="8.39"/>
    <n v="160.33999999999997"/>
    <x v="0"/>
  </r>
  <r>
    <n v="789"/>
    <n v="1318"/>
    <n v="26"/>
    <n v="1"/>
    <n v="166.82"/>
    <n v="7.4"/>
    <x v="651"/>
    <x v="1"/>
    <x v="126"/>
    <x v="8"/>
    <n v="18.260000000000002"/>
    <n v="0.11"/>
    <x v="2"/>
    <x v="5"/>
    <n v="176.15"/>
    <n v="-16.730000000000018"/>
    <x v="5"/>
  </r>
  <r>
    <n v="790"/>
    <n v="1319"/>
    <n v="132"/>
    <n v="7"/>
    <n v="240.9"/>
    <n v="0"/>
    <x v="652"/>
    <x v="2"/>
    <x v="68"/>
    <x v="13"/>
    <n v="89.18"/>
    <n v="0.05"/>
    <x v="1"/>
    <x v="1"/>
    <n v="15.44"/>
    <n v="1670.86"/>
    <x v="7"/>
  </r>
  <r>
    <n v="791"/>
    <n v="1319"/>
    <n v="83"/>
    <n v="1"/>
    <n v="269.23"/>
    <n v="0"/>
    <x v="653"/>
    <x v="2"/>
    <x v="67"/>
    <x v="13"/>
    <n v="89.18"/>
    <n v="0.33"/>
    <x v="1"/>
    <x v="1"/>
    <n v="147.63"/>
    <n v="121.60000000000002"/>
    <x v="5"/>
  </r>
  <r>
    <n v="792"/>
    <n v="1319"/>
    <n v="84"/>
    <n v="8"/>
    <n v="150.28"/>
    <n v="4.2699999999999996"/>
    <x v="654"/>
    <x v="2"/>
    <x v="49"/>
    <x v="13"/>
    <n v="89.18"/>
    <n v="7.0000000000000007E-2"/>
    <x v="1"/>
    <x v="0"/>
    <n v="135.13999999999999"/>
    <n v="1062.83"/>
    <x v="5"/>
  </r>
  <r>
    <n v="793"/>
    <n v="1319"/>
    <n v="103"/>
    <n v="2"/>
    <n v="241.92"/>
    <n v="5.88"/>
    <x v="655"/>
    <x v="2"/>
    <x v="4"/>
    <x v="13"/>
    <n v="89.18"/>
    <n v="0.19"/>
    <x v="1"/>
    <x v="0"/>
    <n v="145.97"/>
    <n v="331.99"/>
    <x v="1"/>
  </r>
  <r>
    <n v="794"/>
    <n v="1320"/>
    <n v="78"/>
    <n v="8"/>
    <n v="71.75"/>
    <n v="3.35"/>
    <x v="656"/>
    <x v="4"/>
    <x v="46"/>
    <x v="16"/>
    <n v="31.94"/>
    <n v="0.06"/>
    <x v="1"/>
    <x v="0"/>
    <n v="44.31"/>
    <n v="526.33999999999992"/>
    <x v="3"/>
  </r>
  <r>
    <n v="795"/>
    <n v="1321"/>
    <n v="99"/>
    <n v="5"/>
    <n v="50.97"/>
    <n v="0"/>
    <x v="463"/>
    <x v="2"/>
    <x v="42"/>
    <x v="11"/>
    <n v="109.58"/>
    <n v="0.43"/>
    <x v="0"/>
    <x v="4"/>
    <n v="31.67"/>
    <n v="223.18"/>
    <x v="6"/>
  </r>
  <r>
    <n v="796"/>
    <n v="1321"/>
    <n v="122"/>
    <n v="2"/>
    <n v="151.15"/>
    <n v="10.32"/>
    <x v="657"/>
    <x v="2"/>
    <x v="103"/>
    <x v="11"/>
    <n v="109.58"/>
    <n v="0.38"/>
    <x v="0"/>
    <x v="3"/>
    <n v="169.69"/>
    <n v="122.29000000000002"/>
    <x v="6"/>
  </r>
  <r>
    <n v="797"/>
    <n v="1321"/>
    <n v="24"/>
    <n v="6"/>
    <n v="20.55"/>
    <n v="0"/>
    <x v="436"/>
    <x v="2"/>
    <x v="101"/>
    <x v="11"/>
    <n v="109.58"/>
    <n v="0.89"/>
    <x v="0"/>
    <x v="0"/>
    <n v="61.73"/>
    <n v="61.570000000000014"/>
    <x v="6"/>
  </r>
  <r>
    <n v="798"/>
    <n v="1322"/>
    <n v="75"/>
    <n v="2"/>
    <n v="180.3"/>
    <n v="0"/>
    <x v="658"/>
    <x v="2"/>
    <x v="48"/>
    <x v="11"/>
    <n v="70.45"/>
    <n v="0.2"/>
    <x v="1"/>
    <x v="1"/>
    <n v="80.23"/>
    <n v="280.37"/>
    <x v="1"/>
  </r>
  <r>
    <n v="799"/>
    <n v="1323"/>
    <n v="100"/>
    <n v="7"/>
    <n v="233.57"/>
    <n v="0"/>
    <x v="288"/>
    <x v="0"/>
    <x v="111"/>
    <x v="19"/>
    <n v="0"/>
    <n v="0"/>
    <x v="0"/>
    <x v="4"/>
    <n v="127.41"/>
    <n v="1507.58"/>
    <x v="3"/>
  </r>
  <r>
    <n v="800"/>
    <n v="1323"/>
    <n v="33"/>
    <n v="4"/>
    <n v="42.63"/>
    <n v="0"/>
    <x v="659"/>
    <x v="0"/>
    <x v="97"/>
    <x v="19"/>
    <n v="0"/>
    <n v="0"/>
    <x v="0"/>
    <x v="3"/>
    <n v="38.32"/>
    <n v="132.20000000000002"/>
    <x v="5"/>
  </r>
  <r>
    <n v="801"/>
    <n v="1324"/>
    <n v="128"/>
    <n v="8"/>
    <n v="143.38999999999999"/>
    <n v="0"/>
    <x v="404"/>
    <x v="2"/>
    <x v="51"/>
    <x v="13"/>
    <n v="0"/>
    <n v="0"/>
    <x v="1"/>
    <x v="2"/>
    <n v="5.47"/>
    <n v="1141.6499999999999"/>
    <x v="0"/>
  </r>
  <r>
    <n v="802"/>
    <n v="1324"/>
    <n v="38"/>
    <n v="1"/>
    <n v="256.88"/>
    <n v="0"/>
    <x v="660"/>
    <x v="2"/>
    <x v="147"/>
    <x v="13"/>
    <n v="0"/>
    <n v="0"/>
    <x v="1"/>
    <x v="5"/>
    <n v="167.11"/>
    <n v="89.769999999999982"/>
    <x v="6"/>
  </r>
  <r>
    <n v="803"/>
    <n v="1325"/>
    <n v="56"/>
    <n v="8"/>
    <n v="172.23"/>
    <n v="5.08"/>
    <x v="661"/>
    <x v="3"/>
    <x v="11"/>
    <x v="10"/>
    <n v="0"/>
    <n v="0"/>
    <x v="1"/>
    <x v="3"/>
    <n v="134.72"/>
    <n v="1238.04"/>
    <x v="1"/>
  </r>
  <r>
    <n v="804"/>
    <n v="1325"/>
    <n v="16"/>
    <n v="6"/>
    <n v="168.61"/>
    <n v="0"/>
    <x v="377"/>
    <x v="3"/>
    <x v="134"/>
    <x v="10"/>
    <n v="0"/>
    <n v="0"/>
    <x v="1"/>
    <x v="0"/>
    <n v="135.37"/>
    <n v="876.29000000000008"/>
    <x v="7"/>
  </r>
  <r>
    <n v="805"/>
    <n v="1325"/>
    <n v="58"/>
    <n v="1"/>
    <n v="57.21"/>
    <n v="0"/>
    <x v="662"/>
    <x v="3"/>
    <x v="110"/>
    <x v="10"/>
    <n v="0"/>
    <n v="0"/>
    <x v="1"/>
    <x v="3"/>
    <n v="106.94"/>
    <n v="-49.73"/>
    <x v="6"/>
  </r>
  <r>
    <n v="806"/>
    <n v="1325"/>
    <n v="125"/>
    <n v="7"/>
    <n v="273.92"/>
    <n v="0"/>
    <x v="663"/>
    <x v="3"/>
    <x v="124"/>
    <x v="10"/>
    <n v="0"/>
    <n v="0"/>
    <x v="1"/>
    <x v="0"/>
    <n v="71.569999999999993"/>
    <n v="1845.8700000000001"/>
    <x v="3"/>
  </r>
  <r>
    <n v="807"/>
    <n v="1326"/>
    <n v="90"/>
    <n v="7"/>
    <n v="115.25"/>
    <n v="0"/>
    <x v="664"/>
    <x v="2"/>
    <x v="137"/>
    <x v="4"/>
    <n v="0"/>
    <n v="0"/>
    <x v="2"/>
    <x v="1"/>
    <n v="6.03"/>
    <n v="800.72"/>
    <x v="2"/>
  </r>
  <r>
    <n v="808"/>
    <n v="1326"/>
    <n v="73"/>
    <n v="4"/>
    <n v="134.83000000000001"/>
    <n v="10.82"/>
    <x v="665"/>
    <x v="2"/>
    <x v="1"/>
    <x v="4"/>
    <n v="0"/>
    <n v="0"/>
    <x v="2"/>
    <x v="0"/>
    <n v="27.28"/>
    <n v="501.22"/>
    <x v="1"/>
  </r>
  <r>
    <n v="809"/>
    <n v="1326"/>
    <n v="25"/>
    <n v="3"/>
    <n v="265.23"/>
    <n v="0"/>
    <x v="666"/>
    <x v="2"/>
    <x v="136"/>
    <x v="4"/>
    <n v="0"/>
    <n v="0"/>
    <x v="2"/>
    <x v="1"/>
    <n v="15.14"/>
    <n v="780.55000000000007"/>
    <x v="1"/>
  </r>
  <r>
    <n v="810"/>
    <n v="1326"/>
    <n v="78"/>
    <n v="8"/>
    <n v="71.75"/>
    <n v="0"/>
    <x v="667"/>
    <x v="2"/>
    <x v="46"/>
    <x v="4"/>
    <n v="0"/>
    <n v="0"/>
    <x v="2"/>
    <x v="0"/>
    <n v="44.31"/>
    <n v="529.69000000000005"/>
    <x v="3"/>
  </r>
  <r>
    <n v="811"/>
    <n v="1327"/>
    <n v="51"/>
    <n v="1"/>
    <n v="204.07"/>
    <n v="0"/>
    <x v="668"/>
    <x v="4"/>
    <x v="133"/>
    <x v="15"/>
    <n v="0"/>
    <n v="0"/>
    <x v="1"/>
    <x v="3"/>
    <n v="57.39"/>
    <n v="146.68"/>
    <x v="6"/>
  </r>
  <r>
    <n v="812"/>
    <n v="1327"/>
    <n v="38"/>
    <n v="7"/>
    <n v="256.88"/>
    <n v="14.31"/>
    <x v="669"/>
    <x v="4"/>
    <x v="147"/>
    <x v="15"/>
    <n v="0"/>
    <n v="0"/>
    <x v="1"/>
    <x v="5"/>
    <n v="167.11"/>
    <n v="1616.7399999999998"/>
    <x v="6"/>
  </r>
  <r>
    <n v="813"/>
    <n v="1328"/>
    <n v="46"/>
    <n v="1"/>
    <n v="219.11"/>
    <n v="0"/>
    <x v="402"/>
    <x v="3"/>
    <x v="31"/>
    <x v="9"/>
    <n v="94"/>
    <n v="0.43"/>
    <x v="0"/>
    <x v="5"/>
    <n v="40.75"/>
    <n v="178.36"/>
    <x v="4"/>
  </r>
  <r>
    <n v="814"/>
    <n v="1328"/>
    <n v="112"/>
    <n v="3"/>
    <n v="154.88"/>
    <n v="9.7799999999999994"/>
    <x v="670"/>
    <x v="3"/>
    <x v="98"/>
    <x v="9"/>
    <n v="94"/>
    <n v="0.21"/>
    <x v="0"/>
    <x v="3"/>
    <n v="118.03"/>
    <n v="336.83000000000004"/>
    <x v="3"/>
  </r>
  <r>
    <n v="815"/>
    <n v="1328"/>
    <n v="63"/>
    <n v="1"/>
    <n v="214.86"/>
    <n v="2.66"/>
    <x v="671"/>
    <x v="3"/>
    <x v="24"/>
    <x v="9"/>
    <n v="94"/>
    <n v="0.44"/>
    <x v="0"/>
    <x v="1"/>
    <n v="32.86"/>
    <n v="179.34000000000003"/>
    <x v="3"/>
  </r>
  <r>
    <n v="816"/>
    <n v="1328"/>
    <n v="126"/>
    <n v="5"/>
    <n v="32.17"/>
    <n v="0"/>
    <x v="672"/>
    <x v="3"/>
    <x v="107"/>
    <x v="9"/>
    <n v="94"/>
    <n v="0.57999999999999996"/>
    <x v="0"/>
    <x v="3"/>
    <n v="104.51"/>
    <n v="56.340000000000018"/>
    <x v="2"/>
  </r>
  <r>
    <n v="817"/>
    <n v="1329"/>
    <n v="95"/>
    <n v="1"/>
    <n v="75.319999999999993"/>
    <n v="0"/>
    <x v="624"/>
    <x v="2"/>
    <x v="83"/>
    <x v="4"/>
    <n v="0"/>
    <n v="0"/>
    <x v="1"/>
    <x v="0"/>
    <n v="71.34"/>
    <n v="3.9799999999999898"/>
    <x v="6"/>
  </r>
  <r>
    <n v="818"/>
    <n v="1329"/>
    <n v="32"/>
    <n v="8"/>
    <n v="221.16"/>
    <n v="0"/>
    <x v="673"/>
    <x v="2"/>
    <x v="88"/>
    <x v="4"/>
    <n v="0"/>
    <n v="0"/>
    <x v="1"/>
    <x v="1"/>
    <n v="99.37"/>
    <n v="1669.9099999999999"/>
    <x v="5"/>
  </r>
  <r>
    <n v="819"/>
    <n v="1329"/>
    <n v="6"/>
    <n v="8"/>
    <n v="256.54000000000002"/>
    <n v="0"/>
    <x v="674"/>
    <x v="2"/>
    <x v="10"/>
    <x v="4"/>
    <n v="0"/>
    <n v="0"/>
    <x v="1"/>
    <x v="3"/>
    <n v="21.93"/>
    <n v="2030.39"/>
    <x v="0"/>
  </r>
  <r>
    <n v="820"/>
    <n v="1329"/>
    <n v="47"/>
    <n v="7"/>
    <n v="100.5"/>
    <n v="7.78"/>
    <x v="675"/>
    <x v="2"/>
    <x v="113"/>
    <x v="4"/>
    <n v="0"/>
    <n v="0"/>
    <x v="1"/>
    <x v="1"/>
    <n v="122.55"/>
    <n v="573.17000000000007"/>
    <x v="2"/>
  </r>
  <r>
    <n v="821"/>
    <n v="1330"/>
    <n v="104"/>
    <n v="1"/>
    <n v="199.55"/>
    <n v="6.51"/>
    <x v="676"/>
    <x v="3"/>
    <x v="69"/>
    <x v="10"/>
    <n v="103.99"/>
    <n v="0.54"/>
    <x v="3"/>
    <x v="2"/>
    <n v="17.07"/>
    <n v="175.97000000000003"/>
    <x v="2"/>
  </r>
  <r>
    <n v="822"/>
    <n v="1330"/>
    <n v="17"/>
    <n v="2"/>
    <n v="299.3"/>
    <n v="0"/>
    <x v="583"/>
    <x v="3"/>
    <x v="12"/>
    <x v="10"/>
    <n v="103.99"/>
    <n v="0.17"/>
    <x v="3"/>
    <x v="2"/>
    <n v="43.38"/>
    <n v="555.22"/>
    <x v="2"/>
  </r>
  <r>
    <n v="823"/>
    <n v="1331"/>
    <n v="42"/>
    <n v="2"/>
    <n v="169.53"/>
    <n v="0"/>
    <x v="677"/>
    <x v="3"/>
    <x v="109"/>
    <x v="10"/>
    <n v="117.34"/>
    <n v="0.35"/>
    <x v="1"/>
    <x v="3"/>
    <n v="106.36"/>
    <n v="232.7"/>
    <x v="3"/>
  </r>
  <r>
    <n v="824"/>
    <n v="1331"/>
    <n v="22"/>
    <n v="2"/>
    <n v="159.69"/>
    <n v="0"/>
    <x v="678"/>
    <x v="3"/>
    <x v="43"/>
    <x v="10"/>
    <n v="117.34"/>
    <n v="0.37"/>
    <x v="1"/>
    <x v="4"/>
    <n v="138.34"/>
    <n v="181.04"/>
    <x v="1"/>
  </r>
  <r>
    <n v="825"/>
    <n v="1332"/>
    <n v="148"/>
    <n v="8"/>
    <n v="124.32"/>
    <n v="0"/>
    <x v="679"/>
    <x v="1"/>
    <x v="60"/>
    <x v="1"/>
    <n v="20.43"/>
    <n v="0.02"/>
    <x v="0"/>
    <x v="0"/>
    <n v="101.47"/>
    <n v="893.08999999999992"/>
    <x v="3"/>
  </r>
  <r>
    <n v="826"/>
    <n v="1332"/>
    <n v="138"/>
    <n v="4"/>
    <n v="106.5"/>
    <n v="0"/>
    <x v="680"/>
    <x v="1"/>
    <x v="86"/>
    <x v="1"/>
    <n v="20.43"/>
    <n v="0.05"/>
    <x v="0"/>
    <x v="3"/>
    <n v="76.459999999999994"/>
    <n v="349.54"/>
    <x v="5"/>
  </r>
  <r>
    <n v="827"/>
    <n v="1333"/>
    <n v="109"/>
    <n v="2"/>
    <n v="257.52"/>
    <n v="0"/>
    <x v="681"/>
    <x v="3"/>
    <x v="73"/>
    <x v="5"/>
    <n v="113.06"/>
    <n v="0.22"/>
    <x v="3"/>
    <x v="0"/>
    <n v="10.02"/>
    <n v="505.02"/>
    <x v="2"/>
  </r>
  <r>
    <n v="828"/>
    <n v="1333"/>
    <n v="98"/>
    <n v="3"/>
    <n v="285.64"/>
    <n v="0"/>
    <x v="682"/>
    <x v="3"/>
    <x v="130"/>
    <x v="5"/>
    <n v="113.06"/>
    <n v="0.13"/>
    <x v="3"/>
    <x v="3"/>
    <n v="136.99"/>
    <n v="719.93"/>
    <x v="0"/>
  </r>
  <r>
    <n v="829"/>
    <n v="1334"/>
    <n v="108"/>
    <n v="3"/>
    <n v="143.47999999999999"/>
    <n v="5.43"/>
    <x v="683"/>
    <x v="3"/>
    <x v="112"/>
    <x v="14"/>
    <n v="65.650000000000006"/>
    <n v="0.15"/>
    <x v="3"/>
    <x v="3"/>
    <n v="53.81"/>
    <n v="371.19999999999993"/>
    <x v="3"/>
  </r>
  <r>
    <n v="830"/>
    <n v="1334"/>
    <n v="98"/>
    <n v="1"/>
    <n v="285.64"/>
    <n v="0"/>
    <x v="684"/>
    <x v="3"/>
    <x v="130"/>
    <x v="14"/>
    <n v="65.650000000000006"/>
    <n v="0.23"/>
    <x v="3"/>
    <x v="3"/>
    <n v="136.99"/>
    <n v="148.64999999999998"/>
    <x v="0"/>
  </r>
  <r>
    <n v="831"/>
    <n v="1335"/>
    <n v="58"/>
    <n v="5"/>
    <n v="57.21"/>
    <n v="1.1399999999999999"/>
    <x v="685"/>
    <x v="0"/>
    <x v="110"/>
    <x v="0"/>
    <n v="15.08"/>
    <n v="0.05"/>
    <x v="3"/>
    <x v="3"/>
    <n v="106.94"/>
    <n v="177.97000000000003"/>
    <x v="6"/>
  </r>
  <r>
    <n v="832"/>
    <n v="1335"/>
    <n v="57"/>
    <n v="7"/>
    <n v="266.69"/>
    <n v="0"/>
    <x v="630"/>
    <x v="0"/>
    <x v="56"/>
    <x v="0"/>
    <n v="15.08"/>
    <n v="0.01"/>
    <x v="3"/>
    <x v="3"/>
    <n v="18.170000000000002"/>
    <n v="1848.6599999999999"/>
    <x v="6"/>
  </r>
  <r>
    <n v="833"/>
    <n v="1336"/>
    <n v="82"/>
    <n v="7"/>
    <n v="243.4"/>
    <n v="3.53"/>
    <x v="686"/>
    <x v="1"/>
    <x v="27"/>
    <x v="8"/>
    <n v="47.94"/>
    <n v="0.03"/>
    <x v="0"/>
    <x v="5"/>
    <n v="84.88"/>
    <n v="1615.3899999999999"/>
    <x v="3"/>
  </r>
  <r>
    <n v="834"/>
    <n v="1336"/>
    <n v="123"/>
    <n v="3"/>
    <n v="210.64"/>
    <n v="0"/>
    <x v="687"/>
    <x v="1"/>
    <x v="127"/>
    <x v="8"/>
    <n v="47.94"/>
    <n v="0.08"/>
    <x v="0"/>
    <x v="4"/>
    <n v="105.98"/>
    <n v="525.93999999999994"/>
    <x v="5"/>
  </r>
  <r>
    <n v="835"/>
    <n v="1337"/>
    <n v="91"/>
    <n v="8"/>
    <n v="170.65"/>
    <n v="0"/>
    <x v="688"/>
    <x v="2"/>
    <x v="32"/>
    <x v="2"/>
    <n v="13.81"/>
    <n v="0.01"/>
    <x v="2"/>
    <x v="1"/>
    <n v="135.82"/>
    <n v="1229.3800000000001"/>
    <x v="2"/>
  </r>
  <r>
    <n v="836"/>
    <n v="1337"/>
    <n v="110"/>
    <n v="4"/>
    <n v="112"/>
    <n v="0"/>
    <x v="689"/>
    <x v="2"/>
    <x v="72"/>
    <x v="2"/>
    <n v="13.81"/>
    <n v="0.03"/>
    <x v="2"/>
    <x v="0"/>
    <n v="144.62"/>
    <n v="303.38"/>
    <x v="3"/>
  </r>
  <r>
    <n v="837"/>
    <n v="1337"/>
    <n v="79"/>
    <n v="7"/>
    <n v="234.02"/>
    <n v="0"/>
    <x v="373"/>
    <x v="2"/>
    <x v="25"/>
    <x v="2"/>
    <n v="13.81"/>
    <n v="0.01"/>
    <x v="2"/>
    <x v="5"/>
    <n v="111.97"/>
    <n v="1526.17"/>
    <x v="3"/>
  </r>
  <r>
    <n v="838"/>
    <n v="1337"/>
    <n v="21"/>
    <n v="2"/>
    <n v="60.07"/>
    <n v="0"/>
    <x v="690"/>
    <x v="2"/>
    <x v="119"/>
    <x v="2"/>
    <n v="13.81"/>
    <n v="0.11"/>
    <x v="2"/>
    <x v="1"/>
    <n v="56.36"/>
    <n v="63.78"/>
    <x v="4"/>
  </r>
  <r>
    <n v="839"/>
    <n v="1338"/>
    <n v="132"/>
    <n v="2"/>
    <n v="240.9"/>
    <n v="0"/>
    <x v="691"/>
    <x v="4"/>
    <x v="68"/>
    <x v="16"/>
    <n v="114.49"/>
    <n v="0.24"/>
    <x v="1"/>
    <x v="1"/>
    <n v="15.44"/>
    <n v="466.36"/>
    <x v="7"/>
  </r>
  <r>
    <n v="840"/>
    <n v="1338"/>
    <n v="2"/>
    <n v="7"/>
    <n v="135.25"/>
    <n v="0"/>
    <x v="442"/>
    <x v="4"/>
    <x v="59"/>
    <x v="16"/>
    <n v="114.49"/>
    <n v="0.12"/>
    <x v="1"/>
    <x v="3"/>
    <n v="20.21"/>
    <n v="926.54"/>
    <x v="0"/>
  </r>
  <r>
    <n v="841"/>
    <n v="1338"/>
    <n v="63"/>
    <n v="1"/>
    <n v="214.86"/>
    <n v="0"/>
    <x v="445"/>
    <x v="4"/>
    <x v="24"/>
    <x v="16"/>
    <n v="114.49"/>
    <n v="0.53"/>
    <x v="1"/>
    <x v="1"/>
    <n v="32.86"/>
    <n v="182"/>
    <x v="3"/>
  </r>
  <r>
    <n v="842"/>
    <n v="1338"/>
    <n v="135"/>
    <n v="4"/>
    <n v="41.03"/>
    <n v="0"/>
    <x v="692"/>
    <x v="4"/>
    <x v="108"/>
    <x v="16"/>
    <n v="114.49"/>
    <n v="0.7"/>
    <x v="1"/>
    <x v="4"/>
    <n v="48.81"/>
    <n v="115.31"/>
    <x v="4"/>
  </r>
  <r>
    <n v="843"/>
    <n v="1339"/>
    <n v="75"/>
    <n v="5"/>
    <n v="180.3"/>
    <n v="0"/>
    <x v="693"/>
    <x v="0"/>
    <x v="48"/>
    <x v="17"/>
    <n v="0"/>
    <n v="0"/>
    <x v="1"/>
    <x v="1"/>
    <n v="80.23"/>
    <n v="821.27"/>
    <x v="1"/>
  </r>
  <r>
    <n v="844"/>
    <n v="1340"/>
    <n v="119"/>
    <n v="8"/>
    <n v="27.97"/>
    <n v="0"/>
    <x v="694"/>
    <x v="2"/>
    <x v="57"/>
    <x v="4"/>
    <n v="38.61"/>
    <n v="0.17"/>
    <x v="3"/>
    <x v="4"/>
    <n v="27.15"/>
    <n v="196.60999999999999"/>
    <x v="6"/>
  </r>
  <r>
    <n v="845"/>
    <n v="1341"/>
    <n v="51"/>
    <n v="2"/>
    <n v="204.07"/>
    <n v="0"/>
    <x v="695"/>
    <x v="2"/>
    <x v="133"/>
    <x v="12"/>
    <n v="118.77"/>
    <n v="0.28999999999999998"/>
    <x v="0"/>
    <x v="3"/>
    <n v="57.39"/>
    <n v="350.75"/>
    <x v="6"/>
  </r>
  <r>
    <n v="846"/>
    <n v="1341"/>
    <n v="106"/>
    <n v="2"/>
    <n v="65.2"/>
    <n v="0"/>
    <x v="696"/>
    <x v="2"/>
    <x v="20"/>
    <x v="12"/>
    <n v="118.77"/>
    <n v="0.91"/>
    <x v="0"/>
    <x v="4"/>
    <n v="0"/>
    <n v="130.4"/>
    <x v="7"/>
  </r>
  <r>
    <n v="847"/>
    <n v="1341"/>
    <n v="40"/>
    <n v="5"/>
    <n v="90.58"/>
    <n v="4.17"/>
    <x v="697"/>
    <x v="2"/>
    <x v="81"/>
    <x v="12"/>
    <n v="118.77"/>
    <n v="0.26"/>
    <x v="0"/>
    <x v="1"/>
    <n v="177.43"/>
    <n v="271.29999999999995"/>
    <x v="2"/>
  </r>
  <r>
    <n v="848"/>
    <n v="1341"/>
    <n v="96"/>
    <n v="5"/>
    <n v="252.1"/>
    <n v="0"/>
    <x v="698"/>
    <x v="2"/>
    <x v="33"/>
    <x v="12"/>
    <n v="118.77"/>
    <n v="0.09"/>
    <x v="0"/>
    <x v="5"/>
    <n v="136.6"/>
    <n v="1123.9000000000001"/>
    <x v="2"/>
  </r>
  <r>
    <n v="849"/>
    <n v="1342"/>
    <n v="51"/>
    <n v="2"/>
    <n v="204.07"/>
    <n v="0"/>
    <x v="695"/>
    <x v="2"/>
    <x v="133"/>
    <x v="12"/>
    <n v="52.85"/>
    <n v="0.13"/>
    <x v="2"/>
    <x v="3"/>
    <n v="57.39"/>
    <n v="350.75"/>
    <x v="6"/>
  </r>
  <r>
    <n v="850"/>
    <n v="1342"/>
    <n v="35"/>
    <n v="7"/>
    <n v="46.14"/>
    <n v="0"/>
    <x v="699"/>
    <x v="2"/>
    <x v="2"/>
    <x v="12"/>
    <n v="52.85"/>
    <n v="0.16"/>
    <x v="2"/>
    <x v="1"/>
    <n v="145.1"/>
    <n v="177.88000000000002"/>
    <x v="2"/>
  </r>
  <r>
    <n v="851"/>
    <n v="1342"/>
    <n v="9"/>
    <n v="3"/>
    <n v="235.32"/>
    <n v="10.33"/>
    <x v="700"/>
    <x v="2"/>
    <x v="16"/>
    <x v="12"/>
    <n v="52.85"/>
    <n v="0.08"/>
    <x v="2"/>
    <x v="1"/>
    <n v="120.72"/>
    <n v="574.91"/>
    <x v="0"/>
  </r>
  <r>
    <n v="852"/>
    <n v="1343"/>
    <n v="34"/>
    <n v="2"/>
    <n v="222.79"/>
    <n v="0"/>
    <x v="701"/>
    <x v="2"/>
    <x v="89"/>
    <x v="2"/>
    <n v="92.26"/>
    <n v="0.21"/>
    <x v="1"/>
    <x v="1"/>
    <n v="86.73"/>
    <n v="358.84999999999997"/>
    <x v="2"/>
  </r>
  <r>
    <n v="853"/>
    <n v="1343"/>
    <n v="33"/>
    <n v="3"/>
    <n v="42.63"/>
    <n v="0"/>
    <x v="281"/>
    <x v="2"/>
    <x v="97"/>
    <x v="2"/>
    <n v="92.26"/>
    <n v="0.72"/>
    <x v="1"/>
    <x v="3"/>
    <n v="38.32"/>
    <n v="89.570000000000022"/>
    <x v="5"/>
  </r>
  <r>
    <n v="854"/>
    <n v="1343"/>
    <n v="61"/>
    <n v="1"/>
    <n v="293.22000000000003"/>
    <n v="0"/>
    <x v="149"/>
    <x v="2"/>
    <x v="19"/>
    <x v="2"/>
    <n v="92.26"/>
    <n v="0.31"/>
    <x v="1"/>
    <x v="3"/>
    <n v="156.31"/>
    <n v="136.91000000000003"/>
    <x v="7"/>
  </r>
  <r>
    <n v="855"/>
    <n v="1343"/>
    <n v="110"/>
    <n v="1"/>
    <n v="112"/>
    <n v="0"/>
    <x v="702"/>
    <x v="2"/>
    <x v="72"/>
    <x v="2"/>
    <n v="92.26"/>
    <n v="0.82"/>
    <x v="1"/>
    <x v="0"/>
    <n v="144.62"/>
    <n v="-32.620000000000005"/>
    <x v="3"/>
  </r>
  <r>
    <n v="856"/>
    <n v="1344"/>
    <n v="110"/>
    <n v="4"/>
    <n v="112"/>
    <n v="0"/>
    <x v="689"/>
    <x v="1"/>
    <x v="72"/>
    <x v="8"/>
    <n v="50.55"/>
    <n v="0.11"/>
    <x v="3"/>
    <x v="0"/>
    <n v="144.62"/>
    <n v="303.38"/>
    <x v="3"/>
  </r>
  <r>
    <n v="857"/>
    <n v="1344"/>
    <n v="129"/>
    <n v="3"/>
    <n v="95.57"/>
    <n v="0"/>
    <x v="703"/>
    <x v="1"/>
    <x v="104"/>
    <x v="8"/>
    <n v="50.55"/>
    <n v="0.18"/>
    <x v="3"/>
    <x v="3"/>
    <n v="55.42"/>
    <n v="231.28999999999996"/>
    <x v="6"/>
  </r>
  <r>
    <n v="858"/>
    <n v="1345"/>
    <n v="98"/>
    <n v="7"/>
    <n v="285.64"/>
    <n v="0"/>
    <x v="378"/>
    <x v="0"/>
    <x v="130"/>
    <x v="18"/>
    <n v="59.59"/>
    <n v="0.03"/>
    <x v="1"/>
    <x v="3"/>
    <n v="136.99"/>
    <n v="1862.49"/>
    <x v="0"/>
  </r>
  <r>
    <n v="859"/>
    <n v="1346"/>
    <n v="108"/>
    <n v="4"/>
    <n v="143.47999999999999"/>
    <n v="0"/>
    <x v="415"/>
    <x v="0"/>
    <x v="112"/>
    <x v="17"/>
    <n v="0"/>
    <n v="0"/>
    <x v="3"/>
    <x v="3"/>
    <n v="53.81"/>
    <n v="520.1099999999999"/>
    <x v="3"/>
  </r>
  <r>
    <n v="860"/>
    <n v="1346"/>
    <n v="47"/>
    <n v="1"/>
    <n v="100.5"/>
    <n v="0"/>
    <x v="704"/>
    <x v="0"/>
    <x v="113"/>
    <x v="17"/>
    <n v="0"/>
    <n v="0"/>
    <x v="3"/>
    <x v="1"/>
    <n v="122.55"/>
    <n v="-22.049999999999997"/>
    <x v="2"/>
  </r>
  <r>
    <n v="861"/>
    <n v="1346"/>
    <n v="55"/>
    <n v="5"/>
    <n v="110.06"/>
    <n v="0"/>
    <x v="705"/>
    <x v="0"/>
    <x v="125"/>
    <x v="17"/>
    <n v="0"/>
    <n v="0"/>
    <x v="3"/>
    <x v="3"/>
    <n v="12.72"/>
    <n v="537.57999999999993"/>
    <x v="2"/>
  </r>
  <r>
    <n v="862"/>
    <n v="1347"/>
    <n v="29"/>
    <n v="2"/>
    <n v="33.25"/>
    <n v="0"/>
    <x v="706"/>
    <x v="1"/>
    <x v="94"/>
    <x v="7"/>
    <n v="14.12"/>
    <n v="0.21"/>
    <x v="3"/>
    <x v="1"/>
    <n v="48.38"/>
    <n v="18.119999999999997"/>
    <x v="5"/>
  </r>
  <r>
    <n v="863"/>
    <n v="1347"/>
    <n v="85"/>
    <n v="6"/>
    <n v="163.57"/>
    <n v="0"/>
    <x v="707"/>
    <x v="1"/>
    <x v="3"/>
    <x v="7"/>
    <n v="14.12"/>
    <n v="0.01"/>
    <x v="3"/>
    <x v="0"/>
    <n v="139.02000000000001"/>
    <n v="842.4"/>
    <x v="3"/>
  </r>
  <r>
    <n v="864"/>
    <n v="1347"/>
    <n v="136"/>
    <n v="6"/>
    <n v="230.54"/>
    <n v="0"/>
    <x v="708"/>
    <x v="1"/>
    <x v="143"/>
    <x v="7"/>
    <n v="14.12"/>
    <n v="0.01"/>
    <x v="3"/>
    <x v="3"/>
    <n v="12.04"/>
    <n v="1371.2"/>
    <x v="1"/>
  </r>
  <r>
    <n v="865"/>
    <n v="1348"/>
    <n v="20"/>
    <n v="6"/>
    <n v="168.04"/>
    <n v="5.22"/>
    <x v="709"/>
    <x v="3"/>
    <x v="7"/>
    <x v="14"/>
    <n v="9.08"/>
    <n v="0.01"/>
    <x v="1"/>
    <x v="3"/>
    <n v="124.3"/>
    <n v="878.72"/>
    <x v="6"/>
  </r>
  <r>
    <n v="866"/>
    <n v="1349"/>
    <n v="112"/>
    <n v="2"/>
    <n v="154.88"/>
    <n v="0"/>
    <x v="710"/>
    <x v="1"/>
    <x v="98"/>
    <x v="12"/>
    <n v="37.6"/>
    <n v="0.12"/>
    <x v="2"/>
    <x v="3"/>
    <n v="118.03"/>
    <n v="191.73"/>
    <x v="3"/>
  </r>
  <r>
    <n v="867"/>
    <n v="1350"/>
    <n v="43"/>
    <n v="8"/>
    <n v="277.02999999999997"/>
    <n v="11.51"/>
    <x v="711"/>
    <x v="4"/>
    <x v="63"/>
    <x v="15"/>
    <n v="74.44"/>
    <n v="0.03"/>
    <x v="0"/>
    <x v="0"/>
    <n v="88.44"/>
    <n v="2116.2899999999995"/>
    <x v="6"/>
  </r>
  <r>
    <n v="868"/>
    <n v="1351"/>
    <n v="129"/>
    <n v="5"/>
    <n v="95.57"/>
    <n v="0"/>
    <x v="260"/>
    <x v="3"/>
    <x v="104"/>
    <x v="5"/>
    <n v="78.52"/>
    <n v="0.16"/>
    <x v="1"/>
    <x v="3"/>
    <n v="55.42"/>
    <n v="422.42999999999995"/>
    <x v="6"/>
  </r>
  <r>
    <n v="869"/>
    <n v="1351"/>
    <n v="76"/>
    <n v="5"/>
    <n v="160.68"/>
    <n v="0"/>
    <x v="712"/>
    <x v="3"/>
    <x v="100"/>
    <x v="5"/>
    <n v="78.52"/>
    <n v="0.1"/>
    <x v="1"/>
    <x v="3"/>
    <n v="123.23"/>
    <n v="680.17000000000007"/>
    <x v="5"/>
  </r>
  <r>
    <n v="870"/>
    <n v="1351"/>
    <n v="58"/>
    <n v="1"/>
    <n v="57.21"/>
    <n v="0"/>
    <x v="662"/>
    <x v="3"/>
    <x v="110"/>
    <x v="5"/>
    <n v="78.52"/>
    <n v="1.37"/>
    <x v="1"/>
    <x v="3"/>
    <n v="106.94"/>
    <n v="-49.73"/>
    <x v="6"/>
  </r>
  <r>
    <n v="871"/>
    <n v="1351"/>
    <n v="11"/>
    <n v="3"/>
    <n v="91.09"/>
    <n v="0"/>
    <x v="713"/>
    <x v="3"/>
    <x v="149"/>
    <x v="5"/>
    <n v="78.52"/>
    <n v="0.28999999999999998"/>
    <x v="1"/>
    <x v="4"/>
    <n v="41.66"/>
    <n v="231.60999999999999"/>
    <x v="4"/>
  </r>
  <r>
    <n v="872"/>
    <n v="1352"/>
    <n v="22"/>
    <n v="5"/>
    <n v="159.69"/>
    <n v="11.11"/>
    <x v="714"/>
    <x v="1"/>
    <x v="43"/>
    <x v="12"/>
    <n v="66.34"/>
    <n v="0.08"/>
    <x v="0"/>
    <x v="4"/>
    <n v="138.34"/>
    <n v="649"/>
    <x v="1"/>
  </r>
  <r>
    <n v="873"/>
    <n v="1352"/>
    <n v="76"/>
    <n v="6"/>
    <n v="160.68"/>
    <n v="0"/>
    <x v="715"/>
    <x v="1"/>
    <x v="100"/>
    <x v="12"/>
    <n v="66.34"/>
    <n v="7.0000000000000007E-2"/>
    <x v="0"/>
    <x v="3"/>
    <n v="123.23"/>
    <n v="840.85"/>
    <x v="5"/>
  </r>
  <r>
    <n v="874"/>
    <n v="1352"/>
    <n v="92"/>
    <n v="4"/>
    <n v="23.27"/>
    <n v="0"/>
    <x v="716"/>
    <x v="1"/>
    <x v="91"/>
    <x v="12"/>
    <n v="66.34"/>
    <n v="0.71"/>
    <x v="0"/>
    <x v="1"/>
    <n v="81.27"/>
    <n v="11.810000000000002"/>
    <x v="3"/>
  </r>
  <r>
    <n v="875"/>
    <n v="1353"/>
    <n v="114"/>
    <n v="4"/>
    <n v="171.86"/>
    <n v="0"/>
    <x v="717"/>
    <x v="1"/>
    <x v="144"/>
    <x v="7"/>
    <n v="108.65"/>
    <n v="0.16"/>
    <x v="1"/>
    <x v="1"/>
    <n v="179.41"/>
    <n v="508.03000000000009"/>
    <x v="4"/>
  </r>
  <r>
    <n v="876"/>
    <n v="1353"/>
    <n v="149"/>
    <n v="7"/>
    <n v="258.51"/>
    <n v="0"/>
    <x v="718"/>
    <x v="1"/>
    <x v="148"/>
    <x v="7"/>
    <n v="108.65"/>
    <n v="0.06"/>
    <x v="1"/>
    <x v="3"/>
    <n v="140.22"/>
    <n v="1669.35"/>
    <x v="0"/>
  </r>
  <r>
    <n v="877"/>
    <n v="1354"/>
    <n v="73"/>
    <n v="1"/>
    <n v="134.83000000000001"/>
    <n v="0"/>
    <x v="719"/>
    <x v="3"/>
    <x v="1"/>
    <x v="14"/>
    <n v="109.46"/>
    <n v="0.81"/>
    <x v="0"/>
    <x v="0"/>
    <n v="27.28"/>
    <n v="107.55000000000001"/>
    <x v="1"/>
  </r>
  <r>
    <n v="878"/>
    <n v="1354"/>
    <n v="101"/>
    <n v="4"/>
    <n v="45.81"/>
    <n v="0"/>
    <x v="720"/>
    <x v="3"/>
    <x v="77"/>
    <x v="14"/>
    <n v="109.46"/>
    <n v="0.6"/>
    <x v="0"/>
    <x v="3"/>
    <n v="173.83"/>
    <n v="9.4099999999999966"/>
    <x v="0"/>
  </r>
  <r>
    <n v="879"/>
    <n v="1355"/>
    <n v="4"/>
    <n v="1"/>
    <n v="94.28"/>
    <n v="0"/>
    <x v="721"/>
    <x v="0"/>
    <x v="79"/>
    <x v="17"/>
    <n v="5.57"/>
    <n v="0.06"/>
    <x v="2"/>
    <x v="0"/>
    <n v="83.61"/>
    <n v="10.670000000000002"/>
    <x v="2"/>
  </r>
  <r>
    <n v="880"/>
    <n v="1356"/>
    <n v="42"/>
    <n v="5"/>
    <n v="169.53"/>
    <n v="0"/>
    <x v="722"/>
    <x v="3"/>
    <x v="109"/>
    <x v="14"/>
    <n v="6.78"/>
    <n v="0.01"/>
    <x v="2"/>
    <x v="3"/>
    <n v="106.36"/>
    <n v="741.29"/>
    <x v="3"/>
  </r>
  <r>
    <n v="881"/>
    <n v="1356"/>
    <n v="63"/>
    <n v="1"/>
    <n v="214.86"/>
    <n v="0"/>
    <x v="445"/>
    <x v="3"/>
    <x v="24"/>
    <x v="14"/>
    <n v="6.78"/>
    <n v="0.03"/>
    <x v="2"/>
    <x v="1"/>
    <n v="32.86"/>
    <n v="182"/>
    <x v="3"/>
  </r>
  <r>
    <n v="882"/>
    <n v="1356"/>
    <n v="140"/>
    <n v="2"/>
    <n v="86.93"/>
    <n v="0"/>
    <x v="723"/>
    <x v="3"/>
    <x v="30"/>
    <x v="14"/>
    <n v="6.78"/>
    <n v="0.04"/>
    <x v="2"/>
    <x v="3"/>
    <n v="20.41"/>
    <n v="153.45000000000002"/>
    <x v="6"/>
  </r>
  <r>
    <n v="883"/>
    <n v="1356"/>
    <n v="27"/>
    <n v="5"/>
    <n v="165.39"/>
    <n v="2.44"/>
    <x v="724"/>
    <x v="3"/>
    <x v="74"/>
    <x v="14"/>
    <n v="6.78"/>
    <n v="0.01"/>
    <x v="2"/>
    <x v="1"/>
    <n v="33.9"/>
    <n v="790.6099999999999"/>
    <x v="5"/>
  </r>
  <r>
    <n v="884"/>
    <n v="1357"/>
    <n v="126"/>
    <n v="3"/>
    <n v="32.17"/>
    <n v="0"/>
    <x v="266"/>
    <x v="3"/>
    <x v="107"/>
    <x v="5"/>
    <n v="12.85"/>
    <n v="0.13"/>
    <x v="2"/>
    <x v="3"/>
    <n v="104.51"/>
    <n v="-8"/>
    <x v="2"/>
  </r>
  <r>
    <n v="885"/>
    <n v="1358"/>
    <n v="47"/>
    <n v="7"/>
    <n v="100.5"/>
    <n v="0"/>
    <x v="501"/>
    <x v="3"/>
    <x v="113"/>
    <x v="9"/>
    <n v="41.15"/>
    <n v="0.06"/>
    <x v="2"/>
    <x v="1"/>
    <n v="122.55"/>
    <n v="580.95000000000005"/>
    <x v="2"/>
  </r>
  <r>
    <n v="886"/>
    <n v="1358"/>
    <n v="74"/>
    <n v="6"/>
    <n v="130.72999999999999"/>
    <n v="0"/>
    <x v="725"/>
    <x v="3"/>
    <x v="141"/>
    <x v="9"/>
    <n v="41.15"/>
    <n v="0.05"/>
    <x v="2"/>
    <x v="5"/>
    <n v="104.59"/>
    <n v="679.78999999999985"/>
    <x v="7"/>
  </r>
  <r>
    <n v="887"/>
    <n v="1358"/>
    <n v="128"/>
    <n v="6"/>
    <n v="143.38999999999999"/>
    <n v="0"/>
    <x v="292"/>
    <x v="3"/>
    <x v="51"/>
    <x v="9"/>
    <n v="41.15"/>
    <n v="0.05"/>
    <x v="2"/>
    <x v="2"/>
    <n v="5.47"/>
    <n v="854.86999999999989"/>
    <x v="0"/>
  </r>
  <r>
    <n v="888"/>
    <n v="1359"/>
    <n v="38"/>
    <n v="2"/>
    <n v="256.88"/>
    <n v="0"/>
    <x v="513"/>
    <x v="0"/>
    <x v="147"/>
    <x v="17"/>
    <n v="20.03"/>
    <n v="0.04"/>
    <x v="2"/>
    <x v="5"/>
    <n v="167.11"/>
    <n v="346.65"/>
    <x v="6"/>
  </r>
  <r>
    <n v="889"/>
    <n v="1359"/>
    <n v="47"/>
    <n v="7"/>
    <n v="100.5"/>
    <n v="5.94"/>
    <x v="726"/>
    <x v="0"/>
    <x v="113"/>
    <x v="17"/>
    <n v="20.03"/>
    <n v="0.03"/>
    <x v="2"/>
    <x v="1"/>
    <n v="122.55"/>
    <n v="575.01"/>
    <x v="2"/>
  </r>
  <r>
    <n v="890"/>
    <n v="1359"/>
    <n v="109"/>
    <n v="8"/>
    <n v="257.52"/>
    <n v="10.71"/>
    <x v="727"/>
    <x v="0"/>
    <x v="73"/>
    <x v="17"/>
    <n v="20.03"/>
    <n v="0.01"/>
    <x v="2"/>
    <x v="0"/>
    <n v="10.02"/>
    <n v="2039.4299999999998"/>
    <x v="2"/>
  </r>
  <r>
    <n v="891"/>
    <n v="1360"/>
    <n v="99"/>
    <n v="2"/>
    <n v="50.97"/>
    <n v="9.1300000000000008"/>
    <x v="728"/>
    <x v="4"/>
    <x v="42"/>
    <x v="15"/>
    <n v="607.11"/>
    <n v="6.54"/>
    <x v="0"/>
    <x v="4"/>
    <n v="31.67"/>
    <n v="61.14"/>
    <x v="6"/>
  </r>
  <r>
    <n v="892"/>
    <n v="1360"/>
    <n v="135"/>
    <n v="4"/>
    <n v="41.03"/>
    <n v="0"/>
    <x v="692"/>
    <x v="4"/>
    <x v="108"/>
    <x v="15"/>
    <n v="607.11"/>
    <n v="3.7"/>
    <x v="0"/>
    <x v="4"/>
    <n v="48.81"/>
    <n v="115.31"/>
    <x v="4"/>
  </r>
  <r>
    <n v="893"/>
    <n v="1361"/>
    <n v="37"/>
    <n v="7"/>
    <n v="258.95"/>
    <n v="0"/>
    <x v="408"/>
    <x v="1"/>
    <x v="145"/>
    <x v="12"/>
    <n v="0"/>
    <n v="0"/>
    <x v="1"/>
    <x v="5"/>
    <n v="146.4"/>
    <n v="1666.2499999999998"/>
    <x v="0"/>
  </r>
  <r>
    <n v="894"/>
    <n v="1361"/>
    <n v="15"/>
    <n v="3"/>
    <n v="198.21"/>
    <n v="0"/>
    <x v="242"/>
    <x v="1"/>
    <x v="93"/>
    <x v="12"/>
    <n v="0"/>
    <n v="0"/>
    <x v="1"/>
    <x v="3"/>
    <n v="159.82"/>
    <n v="434.81"/>
    <x v="5"/>
  </r>
  <r>
    <n v="895"/>
    <n v="1361"/>
    <n v="97"/>
    <n v="1"/>
    <n v="168.73"/>
    <n v="10.75"/>
    <x v="729"/>
    <x v="1"/>
    <x v="96"/>
    <x v="12"/>
    <n v="0"/>
    <n v="0"/>
    <x v="1"/>
    <x v="2"/>
    <n v="8.39"/>
    <n v="149.58999999999997"/>
    <x v="0"/>
  </r>
  <r>
    <n v="896"/>
    <n v="1361"/>
    <n v="96"/>
    <n v="1"/>
    <n v="252.1"/>
    <n v="0"/>
    <x v="171"/>
    <x v="1"/>
    <x v="33"/>
    <x v="12"/>
    <n v="0"/>
    <n v="0"/>
    <x v="1"/>
    <x v="5"/>
    <n v="136.6"/>
    <n v="115.5"/>
    <x v="2"/>
  </r>
  <r>
    <n v="897"/>
    <n v="1362"/>
    <n v="21"/>
    <n v="4"/>
    <n v="60.07"/>
    <n v="2.08"/>
    <x v="730"/>
    <x v="3"/>
    <x v="119"/>
    <x v="9"/>
    <n v="58.54"/>
    <n v="0.25"/>
    <x v="1"/>
    <x v="1"/>
    <n v="56.36"/>
    <n v="181.83999999999997"/>
    <x v="4"/>
  </r>
  <r>
    <n v="898"/>
    <n v="1362"/>
    <n v="39"/>
    <n v="3"/>
    <n v="129.30000000000001"/>
    <n v="0"/>
    <x v="731"/>
    <x v="3"/>
    <x v="75"/>
    <x v="9"/>
    <n v="58.54"/>
    <n v="0.15"/>
    <x v="1"/>
    <x v="2"/>
    <n v="42.41"/>
    <n v="345.49"/>
    <x v="5"/>
  </r>
  <r>
    <n v="899"/>
    <n v="1363"/>
    <n v="45"/>
    <n v="3"/>
    <n v="184.44"/>
    <n v="1.1499999999999999"/>
    <x v="732"/>
    <x v="0"/>
    <x v="0"/>
    <x v="17"/>
    <n v="86.52"/>
    <n v="0.16"/>
    <x v="0"/>
    <x v="0"/>
    <n v="48.09"/>
    <n v="504.07999999999993"/>
    <x v="0"/>
  </r>
  <r>
    <n v="900"/>
    <n v="1364"/>
    <n v="33"/>
    <n v="4"/>
    <n v="42.63"/>
    <n v="0"/>
    <x v="659"/>
    <x v="2"/>
    <x v="97"/>
    <x v="11"/>
    <n v="35.31"/>
    <n v="0.21"/>
    <x v="3"/>
    <x v="3"/>
    <n v="38.32"/>
    <n v="132.20000000000002"/>
    <x v="5"/>
  </r>
  <r>
    <n v="901"/>
    <n v="1364"/>
    <n v="57"/>
    <n v="7"/>
    <n v="266.69"/>
    <n v="0"/>
    <x v="630"/>
    <x v="2"/>
    <x v="56"/>
    <x v="11"/>
    <n v="35.31"/>
    <n v="0.02"/>
    <x v="3"/>
    <x v="3"/>
    <n v="18.170000000000002"/>
    <n v="1848.6599999999999"/>
    <x v="6"/>
  </r>
  <r>
    <n v="902"/>
    <n v="1364"/>
    <n v="120"/>
    <n v="8"/>
    <n v="229.55"/>
    <n v="5.38"/>
    <x v="733"/>
    <x v="2"/>
    <x v="26"/>
    <x v="11"/>
    <n v="35.31"/>
    <n v="0.02"/>
    <x v="3"/>
    <x v="0"/>
    <n v="116.63"/>
    <n v="1714.3899999999999"/>
    <x v="1"/>
  </r>
  <r>
    <n v="903"/>
    <n v="1364"/>
    <n v="98"/>
    <n v="3"/>
    <n v="285.64"/>
    <n v="0"/>
    <x v="682"/>
    <x v="2"/>
    <x v="130"/>
    <x v="11"/>
    <n v="35.31"/>
    <n v="0.04"/>
    <x v="3"/>
    <x v="3"/>
    <n v="136.99"/>
    <n v="719.93"/>
    <x v="0"/>
  </r>
  <r>
    <n v="904"/>
    <n v="1365"/>
    <n v="17"/>
    <n v="4"/>
    <n v="299.3"/>
    <n v="0"/>
    <x v="620"/>
    <x v="1"/>
    <x v="12"/>
    <x v="7"/>
    <n v="31.88"/>
    <n v="0.03"/>
    <x v="1"/>
    <x v="2"/>
    <n v="43.38"/>
    <n v="1153.82"/>
    <x v="2"/>
  </r>
  <r>
    <n v="905"/>
    <n v="1366"/>
    <n v="80"/>
    <n v="1"/>
    <n v="84.54"/>
    <n v="0"/>
    <x v="734"/>
    <x v="4"/>
    <x v="82"/>
    <x v="15"/>
    <n v="40.479999999999997"/>
    <n v="0.48"/>
    <x v="0"/>
    <x v="1"/>
    <n v="91.52"/>
    <n v="-6.9799999999999898"/>
    <x v="3"/>
  </r>
  <r>
    <n v="906"/>
    <n v="1367"/>
    <n v="129"/>
    <n v="3"/>
    <n v="95.57"/>
    <n v="1.33"/>
    <x v="735"/>
    <x v="1"/>
    <x v="104"/>
    <x v="6"/>
    <n v="37.65"/>
    <n v="0.13"/>
    <x v="1"/>
    <x v="3"/>
    <n v="55.42"/>
    <n v="229.95999999999998"/>
    <x v="6"/>
  </r>
  <r>
    <n v="907"/>
    <n v="1368"/>
    <n v="42"/>
    <n v="6"/>
    <n v="169.53"/>
    <n v="0"/>
    <x v="736"/>
    <x v="1"/>
    <x v="109"/>
    <x v="7"/>
    <n v="31.74"/>
    <n v="0.03"/>
    <x v="1"/>
    <x v="3"/>
    <n v="106.36"/>
    <n v="910.82"/>
    <x v="3"/>
  </r>
  <r>
    <n v="908"/>
    <n v="1368"/>
    <n v="87"/>
    <n v="5"/>
    <n v="124.17"/>
    <n v="6.04"/>
    <x v="737"/>
    <x v="1"/>
    <x v="129"/>
    <x v="7"/>
    <n v="31.74"/>
    <n v="0.05"/>
    <x v="1"/>
    <x v="5"/>
    <n v="31.4"/>
    <n v="583.41000000000008"/>
    <x v="0"/>
  </r>
  <r>
    <n v="909"/>
    <n v="1369"/>
    <n v="141"/>
    <n v="2"/>
    <n v="15.33"/>
    <n v="7.98"/>
    <x v="738"/>
    <x v="4"/>
    <x v="65"/>
    <x v="15"/>
    <n v="86.44"/>
    <n v="3.81"/>
    <x v="0"/>
    <x v="5"/>
    <n v="149.36000000000001"/>
    <n v="-126.68"/>
    <x v="2"/>
  </r>
  <r>
    <n v="910"/>
    <n v="1369"/>
    <n v="81"/>
    <n v="3"/>
    <n v="244.17"/>
    <n v="0"/>
    <x v="51"/>
    <x v="4"/>
    <x v="47"/>
    <x v="15"/>
    <n v="86.44"/>
    <n v="0.12"/>
    <x v="0"/>
    <x v="4"/>
    <n v="43.3"/>
    <n v="689.21"/>
    <x v="0"/>
  </r>
  <r>
    <n v="911"/>
    <n v="1369"/>
    <n v="18"/>
    <n v="5"/>
    <n v="60.59"/>
    <n v="0"/>
    <x v="739"/>
    <x v="4"/>
    <x v="138"/>
    <x v="15"/>
    <n v="86.44"/>
    <n v="0.28999999999999998"/>
    <x v="0"/>
    <x v="5"/>
    <n v="31.75"/>
    <n v="271.20000000000005"/>
    <x v="6"/>
  </r>
  <r>
    <n v="912"/>
    <n v="1370"/>
    <n v="94"/>
    <n v="5"/>
    <n v="53.67"/>
    <n v="0"/>
    <x v="740"/>
    <x v="3"/>
    <x v="50"/>
    <x v="10"/>
    <n v="102"/>
    <n v="0.38"/>
    <x v="0"/>
    <x v="0"/>
    <n v="117.48"/>
    <n v="150.87"/>
    <x v="6"/>
  </r>
  <r>
    <n v="913"/>
    <n v="1371"/>
    <n v="15"/>
    <n v="4"/>
    <n v="198.21"/>
    <n v="0"/>
    <x v="127"/>
    <x v="4"/>
    <x v="93"/>
    <x v="16"/>
    <n v="47.6"/>
    <n v="0.06"/>
    <x v="3"/>
    <x v="3"/>
    <n v="159.82"/>
    <n v="633.02"/>
    <x v="5"/>
  </r>
  <r>
    <n v="914"/>
    <n v="1372"/>
    <n v="120"/>
    <n v="8"/>
    <n v="229.55"/>
    <n v="0"/>
    <x v="741"/>
    <x v="2"/>
    <x v="26"/>
    <x v="13"/>
    <n v="8.44"/>
    <n v="0"/>
    <x v="0"/>
    <x v="0"/>
    <n v="116.63"/>
    <n v="1719.77"/>
    <x v="1"/>
  </r>
  <r>
    <n v="915"/>
    <n v="1372"/>
    <n v="28"/>
    <n v="7"/>
    <n v="206.43"/>
    <n v="0"/>
    <x v="742"/>
    <x v="2"/>
    <x v="55"/>
    <x v="13"/>
    <n v="8.44"/>
    <n v="0.01"/>
    <x v="0"/>
    <x v="2"/>
    <n v="74.819999999999993"/>
    <n v="1370.19"/>
    <x v="3"/>
  </r>
  <r>
    <n v="916"/>
    <n v="1372"/>
    <n v="103"/>
    <n v="6"/>
    <n v="241.92"/>
    <n v="0"/>
    <x v="743"/>
    <x v="2"/>
    <x v="4"/>
    <x v="13"/>
    <n v="8.44"/>
    <n v="0.01"/>
    <x v="0"/>
    <x v="0"/>
    <n v="145.97"/>
    <n v="1305.55"/>
    <x v="1"/>
  </r>
  <r>
    <n v="917"/>
    <n v="1372"/>
    <n v="125"/>
    <n v="4"/>
    <n v="273.92"/>
    <n v="10.83"/>
    <x v="744"/>
    <x v="2"/>
    <x v="124"/>
    <x v="13"/>
    <n v="8.44"/>
    <n v="0.01"/>
    <x v="0"/>
    <x v="0"/>
    <n v="71.569999999999993"/>
    <n v="1013.2800000000002"/>
    <x v="3"/>
  </r>
  <r>
    <n v="918"/>
    <n v="1373"/>
    <n v="16"/>
    <n v="6"/>
    <n v="168.61"/>
    <n v="12.05"/>
    <x v="745"/>
    <x v="1"/>
    <x v="134"/>
    <x v="6"/>
    <n v="105.07"/>
    <n v="0.11"/>
    <x v="0"/>
    <x v="0"/>
    <n v="135.37"/>
    <n v="864.24000000000012"/>
    <x v="7"/>
  </r>
  <r>
    <n v="919"/>
    <n v="1373"/>
    <n v="55"/>
    <n v="1"/>
    <n v="110.06"/>
    <n v="0"/>
    <x v="746"/>
    <x v="1"/>
    <x v="125"/>
    <x v="6"/>
    <n v="105.07"/>
    <n v="0.95"/>
    <x v="0"/>
    <x v="3"/>
    <n v="12.72"/>
    <n v="97.34"/>
    <x v="2"/>
  </r>
  <r>
    <n v="920"/>
    <n v="1373"/>
    <n v="109"/>
    <n v="5"/>
    <n v="257.52"/>
    <n v="0"/>
    <x v="507"/>
    <x v="1"/>
    <x v="73"/>
    <x v="6"/>
    <n v="105.07"/>
    <n v="0.08"/>
    <x v="0"/>
    <x v="0"/>
    <n v="10.02"/>
    <n v="1277.58"/>
    <x v="2"/>
  </r>
  <r>
    <n v="921"/>
    <n v="1373"/>
    <n v="22"/>
    <n v="3"/>
    <n v="159.69"/>
    <n v="1.97"/>
    <x v="747"/>
    <x v="1"/>
    <x v="43"/>
    <x v="6"/>
    <n v="105.07"/>
    <n v="0.22"/>
    <x v="0"/>
    <x v="4"/>
    <n v="138.34"/>
    <n v="338.76"/>
    <x v="1"/>
  </r>
  <r>
    <n v="922"/>
    <n v="1374"/>
    <n v="43"/>
    <n v="4"/>
    <n v="277.02999999999997"/>
    <n v="5.89"/>
    <x v="748"/>
    <x v="0"/>
    <x v="63"/>
    <x v="3"/>
    <n v="27.03"/>
    <n v="0.02"/>
    <x v="2"/>
    <x v="0"/>
    <n v="88.44"/>
    <n v="1013.7899999999997"/>
    <x v="6"/>
  </r>
  <r>
    <n v="923"/>
    <n v="1374"/>
    <n v="124"/>
    <n v="8"/>
    <n v="48.76"/>
    <n v="0"/>
    <x v="749"/>
    <x v="0"/>
    <x v="44"/>
    <x v="3"/>
    <n v="27.03"/>
    <n v="7.0000000000000007E-2"/>
    <x v="2"/>
    <x v="4"/>
    <n v="178.94"/>
    <n v="211.14"/>
    <x v="1"/>
  </r>
  <r>
    <n v="924"/>
    <n v="1374"/>
    <n v="112"/>
    <n v="6"/>
    <n v="154.88"/>
    <n v="13.78"/>
    <x v="750"/>
    <x v="0"/>
    <x v="98"/>
    <x v="3"/>
    <n v="27.03"/>
    <n v="0.03"/>
    <x v="2"/>
    <x v="3"/>
    <n v="118.03"/>
    <n v="797.47"/>
    <x v="3"/>
  </r>
  <r>
    <n v="925"/>
    <n v="1375"/>
    <n v="128"/>
    <n v="6"/>
    <n v="143.38999999999999"/>
    <n v="2.59"/>
    <x v="751"/>
    <x v="1"/>
    <x v="51"/>
    <x v="6"/>
    <n v="15.3"/>
    <n v="0.02"/>
    <x v="1"/>
    <x v="2"/>
    <n v="5.47"/>
    <n v="852.27999999999986"/>
    <x v="0"/>
  </r>
  <r>
    <n v="926"/>
    <n v="1375"/>
    <n v="68"/>
    <n v="1"/>
    <n v="138.85"/>
    <n v="0"/>
    <x v="752"/>
    <x v="1"/>
    <x v="61"/>
    <x v="6"/>
    <n v="15.3"/>
    <n v="0.11"/>
    <x v="1"/>
    <x v="2"/>
    <n v="23.97"/>
    <n v="114.88"/>
    <x v="1"/>
  </r>
  <r>
    <n v="927"/>
    <n v="1376"/>
    <n v="54"/>
    <n v="4"/>
    <n v="256.14"/>
    <n v="0"/>
    <x v="326"/>
    <x v="3"/>
    <x v="114"/>
    <x v="9"/>
    <n v="44.86"/>
    <n v="0.04"/>
    <x v="2"/>
    <x v="1"/>
    <n v="163.43"/>
    <n v="861.12999999999988"/>
    <x v="5"/>
  </r>
  <r>
    <n v="928"/>
    <n v="1376"/>
    <n v="95"/>
    <n v="6"/>
    <n v="75.319999999999993"/>
    <n v="0"/>
    <x v="753"/>
    <x v="3"/>
    <x v="83"/>
    <x v="9"/>
    <n v="44.86"/>
    <n v="0.1"/>
    <x v="2"/>
    <x v="0"/>
    <n v="71.34"/>
    <n v="380.57999999999993"/>
    <x v="6"/>
  </r>
  <r>
    <n v="929"/>
    <n v="1376"/>
    <n v="129"/>
    <n v="2"/>
    <n v="95.57"/>
    <n v="10.79"/>
    <x v="754"/>
    <x v="3"/>
    <x v="104"/>
    <x v="9"/>
    <n v="44.86"/>
    <n v="0.25"/>
    <x v="2"/>
    <x v="3"/>
    <n v="55.42"/>
    <n v="124.92999999999999"/>
    <x v="6"/>
  </r>
  <r>
    <n v="930"/>
    <n v="1377"/>
    <n v="142"/>
    <n v="3"/>
    <n v="192.45"/>
    <n v="8.6"/>
    <x v="755"/>
    <x v="3"/>
    <x v="105"/>
    <x v="14"/>
    <n v="79.36"/>
    <n v="0.14000000000000001"/>
    <x v="2"/>
    <x v="4"/>
    <n v="95.73"/>
    <n v="473.01999999999987"/>
    <x v="6"/>
  </r>
  <r>
    <n v="931"/>
    <n v="1377"/>
    <n v="73"/>
    <n v="7"/>
    <n v="134.83000000000001"/>
    <n v="0"/>
    <x v="756"/>
    <x v="3"/>
    <x v="1"/>
    <x v="14"/>
    <n v="79.36"/>
    <n v="0.08"/>
    <x v="2"/>
    <x v="0"/>
    <n v="27.28"/>
    <n v="916.53000000000009"/>
    <x v="1"/>
  </r>
  <r>
    <n v="932"/>
    <n v="1378"/>
    <n v="75"/>
    <n v="7"/>
    <n v="180.3"/>
    <n v="3.97"/>
    <x v="757"/>
    <x v="0"/>
    <x v="48"/>
    <x v="17"/>
    <n v="26.68"/>
    <n v="0.02"/>
    <x v="2"/>
    <x v="1"/>
    <n v="80.23"/>
    <n v="1177.9000000000001"/>
    <x v="1"/>
  </r>
  <r>
    <n v="933"/>
    <n v="1379"/>
    <n v="2"/>
    <n v="6"/>
    <n v="135.25"/>
    <n v="0"/>
    <x v="758"/>
    <x v="2"/>
    <x v="59"/>
    <x v="2"/>
    <n v="40.83"/>
    <n v="0.05"/>
    <x v="1"/>
    <x v="3"/>
    <n v="20.21"/>
    <n v="791.29"/>
    <x v="0"/>
  </r>
  <r>
    <n v="934"/>
    <n v="1379"/>
    <n v="69"/>
    <n v="5"/>
    <n v="69.17"/>
    <n v="5.3"/>
    <x v="759"/>
    <x v="2"/>
    <x v="40"/>
    <x v="2"/>
    <n v="40.83"/>
    <n v="0.12"/>
    <x v="1"/>
    <x v="3"/>
    <n v="162.41"/>
    <n v="178.14000000000001"/>
    <x v="0"/>
  </r>
  <r>
    <n v="935"/>
    <n v="1379"/>
    <n v="62"/>
    <n v="1"/>
    <n v="109.67"/>
    <n v="13.6"/>
    <x v="760"/>
    <x v="2"/>
    <x v="17"/>
    <x v="2"/>
    <n v="40.83"/>
    <n v="0.43"/>
    <x v="1"/>
    <x v="3"/>
    <n v="133.9"/>
    <n v="-37.83"/>
    <x v="6"/>
  </r>
  <r>
    <n v="936"/>
    <n v="1379"/>
    <n v="9"/>
    <n v="1"/>
    <n v="235.32"/>
    <n v="0"/>
    <x v="761"/>
    <x v="2"/>
    <x v="16"/>
    <x v="2"/>
    <n v="40.83"/>
    <n v="0.17"/>
    <x v="1"/>
    <x v="1"/>
    <n v="120.72"/>
    <n v="114.6"/>
    <x v="0"/>
  </r>
  <r>
    <n v="937"/>
    <n v="1380"/>
    <n v="14"/>
    <n v="7"/>
    <n v="33.86"/>
    <n v="2.8"/>
    <x v="762"/>
    <x v="2"/>
    <x v="37"/>
    <x v="4"/>
    <n v="22.45"/>
    <n v="0.1"/>
    <x v="0"/>
    <x v="4"/>
    <n v="75.2"/>
    <n v="159.01999999999998"/>
    <x v="6"/>
  </r>
  <r>
    <n v="938"/>
    <n v="1380"/>
    <n v="45"/>
    <n v="7"/>
    <n v="184.44"/>
    <n v="0"/>
    <x v="0"/>
    <x v="2"/>
    <x v="0"/>
    <x v="4"/>
    <n v="22.45"/>
    <n v="0.02"/>
    <x v="0"/>
    <x v="0"/>
    <n v="48.09"/>
    <n v="1242.99"/>
    <x v="0"/>
  </r>
  <r>
    <n v="939"/>
    <n v="1380"/>
    <n v="112"/>
    <n v="4"/>
    <n v="154.88"/>
    <n v="0"/>
    <x v="763"/>
    <x v="2"/>
    <x v="98"/>
    <x v="4"/>
    <n v="22.45"/>
    <n v="0.04"/>
    <x v="0"/>
    <x v="3"/>
    <n v="118.03"/>
    <n v="501.49"/>
    <x v="3"/>
  </r>
  <r>
    <n v="940"/>
    <n v="1380"/>
    <n v="130"/>
    <n v="2"/>
    <n v="193.14"/>
    <n v="9.84"/>
    <x v="764"/>
    <x v="2"/>
    <x v="135"/>
    <x v="4"/>
    <n v="22.45"/>
    <n v="0.06"/>
    <x v="0"/>
    <x v="3"/>
    <n v="142.87"/>
    <n v="233.57"/>
    <x v="3"/>
  </r>
  <r>
    <n v="941"/>
    <n v="1381"/>
    <n v="8"/>
    <n v="2"/>
    <n v="118.07"/>
    <n v="0"/>
    <x v="765"/>
    <x v="2"/>
    <x v="39"/>
    <x v="11"/>
    <n v="38.44"/>
    <n v="0.16"/>
    <x v="1"/>
    <x v="1"/>
    <n v="159.94999999999999"/>
    <n v="76.19"/>
    <x v="1"/>
  </r>
  <r>
    <n v="942"/>
    <n v="1381"/>
    <n v="34"/>
    <n v="8"/>
    <n v="222.79"/>
    <n v="0"/>
    <x v="766"/>
    <x v="2"/>
    <x v="89"/>
    <x v="11"/>
    <n v="38.44"/>
    <n v="0.02"/>
    <x v="1"/>
    <x v="1"/>
    <n v="86.73"/>
    <n v="1695.59"/>
    <x v="2"/>
  </r>
  <r>
    <n v="943"/>
    <n v="1382"/>
    <n v="149"/>
    <n v="2"/>
    <n v="258.51"/>
    <n v="0"/>
    <x v="479"/>
    <x v="0"/>
    <x v="148"/>
    <x v="3"/>
    <n v="14.76"/>
    <n v="0.03"/>
    <x v="0"/>
    <x v="3"/>
    <n v="140.22"/>
    <n v="376.79999999999995"/>
    <x v="0"/>
  </r>
  <r>
    <n v="944"/>
    <n v="1383"/>
    <n v="125"/>
    <n v="2"/>
    <n v="273.92"/>
    <n v="3.94"/>
    <x v="767"/>
    <x v="0"/>
    <x v="124"/>
    <x v="17"/>
    <n v="97.79"/>
    <n v="0.18"/>
    <x v="0"/>
    <x v="0"/>
    <n v="71.569999999999993"/>
    <n v="472.33"/>
    <x v="3"/>
  </r>
  <r>
    <n v="945"/>
    <n v="1384"/>
    <n v="140"/>
    <n v="1"/>
    <n v="86.93"/>
    <n v="0"/>
    <x v="38"/>
    <x v="0"/>
    <x v="30"/>
    <x v="18"/>
    <n v="35.04"/>
    <n v="0.4"/>
    <x v="3"/>
    <x v="3"/>
    <n v="20.41"/>
    <n v="66.52000000000001"/>
    <x v="6"/>
  </r>
  <r>
    <n v="946"/>
    <n v="1384"/>
    <n v="32"/>
    <n v="4"/>
    <n v="221.16"/>
    <n v="0"/>
    <x v="768"/>
    <x v="0"/>
    <x v="88"/>
    <x v="18"/>
    <n v="35.04"/>
    <n v="0.04"/>
    <x v="3"/>
    <x v="1"/>
    <n v="99.37"/>
    <n v="785.27"/>
    <x v="5"/>
  </r>
  <r>
    <n v="947"/>
    <n v="1384"/>
    <n v="133"/>
    <n v="3"/>
    <n v="214.42"/>
    <n v="0"/>
    <x v="312"/>
    <x v="0"/>
    <x v="128"/>
    <x v="18"/>
    <n v="35.04"/>
    <n v="0.05"/>
    <x v="3"/>
    <x v="5"/>
    <n v="125.52"/>
    <n v="517.74"/>
    <x v="0"/>
  </r>
  <r>
    <n v="948"/>
    <n v="1384"/>
    <n v="30"/>
    <n v="4"/>
    <n v="35.229999999999997"/>
    <n v="0"/>
    <x v="532"/>
    <x v="0"/>
    <x v="9"/>
    <x v="18"/>
    <n v="35.04"/>
    <n v="0.25"/>
    <x v="3"/>
    <x v="0"/>
    <n v="43.54"/>
    <n v="97.38"/>
    <x v="3"/>
  </r>
  <r>
    <n v="949"/>
    <n v="1385"/>
    <n v="132"/>
    <n v="7"/>
    <n v="240.9"/>
    <n v="0"/>
    <x v="652"/>
    <x v="1"/>
    <x v="68"/>
    <x v="1"/>
    <n v="73.17"/>
    <n v="0.04"/>
    <x v="1"/>
    <x v="1"/>
    <n v="15.44"/>
    <n v="1670.86"/>
    <x v="7"/>
  </r>
  <r>
    <n v="950"/>
    <n v="1385"/>
    <n v="45"/>
    <n v="4"/>
    <n v="184.44"/>
    <n v="0"/>
    <x v="769"/>
    <x v="1"/>
    <x v="0"/>
    <x v="1"/>
    <n v="73.17"/>
    <n v="0.1"/>
    <x v="1"/>
    <x v="0"/>
    <n v="48.09"/>
    <n v="689.67"/>
    <x v="0"/>
  </r>
  <r>
    <n v="951"/>
    <n v="1385"/>
    <n v="101"/>
    <n v="2"/>
    <n v="45.81"/>
    <n v="0"/>
    <x v="605"/>
    <x v="1"/>
    <x v="77"/>
    <x v="1"/>
    <n v="73.17"/>
    <n v="0.8"/>
    <x v="1"/>
    <x v="3"/>
    <n v="173.83"/>
    <n v="-82.210000000000008"/>
    <x v="0"/>
  </r>
  <r>
    <n v="952"/>
    <n v="1385"/>
    <n v="43"/>
    <n v="4"/>
    <n v="277.02999999999997"/>
    <n v="14.35"/>
    <x v="770"/>
    <x v="1"/>
    <x v="63"/>
    <x v="1"/>
    <n v="73.17"/>
    <n v="7.0000000000000007E-2"/>
    <x v="1"/>
    <x v="0"/>
    <n v="88.44"/>
    <n v="1005.3299999999999"/>
    <x v="6"/>
  </r>
  <r>
    <n v="953"/>
    <n v="1386"/>
    <n v="96"/>
    <n v="2"/>
    <n v="252.1"/>
    <n v="0"/>
    <x v="771"/>
    <x v="2"/>
    <x v="33"/>
    <x v="4"/>
    <n v="95.74"/>
    <n v="0.19"/>
    <x v="1"/>
    <x v="5"/>
    <n v="136.6"/>
    <n v="367.6"/>
    <x v="2"/>
  </r>
  <r>
    <n v="954"/>
    <n v="1386"/>
    <n v="131"/>
    <n v="5"/>
    <n v="57.46"/>
    <n v="0"/>
    <x v="244"/>
    <x v="2"/>
    <x v="117"/>
    <x v="4"/>
    <n v="95.74"/>
    <n v="0.33"/>
    <x v="1"/>
    <x v="1"/>
    <n v="44.34"/>
    <n v="242.96"/>
    <x v="0"/>
  </r>
  <r>
    <n v="955"/>
    <n v="1386"/>
    <n v="136"/>
    <n v="6"/>
    <n v="230.54"/>
    <n v="0"/>
    <x v="708"/>
    <x v="2"/>
    <x v="143"/>
    <x v="4"/>
    <n v="95.74"/>
    <n v="7.0000000000000007E-2"/>
    <x v="1"/>
    <x v="3"/>
    <n v="12.04"/>
    <n v="1371.2"/>
    <x v="1"/>
  </r>
  <r>
    <n v="956"/>
    <n v="1387"/>
    <n v="82"/>
    <n v="1"/>
    <n v="243.4"/>
    <n v="0"/>
    <x v="772"/>
    <x v="2"/>
    <x v="27"/>
    <x v="4"/>
    <n v="108.25"/>
    <n v="0.44"/>
    <x v="3"/>
    <x v="5"/>
    <n v="84.88"/>
    <n v="158.52000000000001"/>
    <x v="3"/>
  </r>
  <r>
    <n v="957"/>
    <n v="1388"/>
    <n v="20"/>
    <n v="7"/>
    <n v="168.04"/>
    <n v="10.55"/>
    <x v="773"/>
    <x v="3"/>
    <x v="7"/>
    <x v="5"/>
    <n v="56.52"/>
    <n v="0.05"/>
    <x v="1"/>
    <x v="3"/>
    <n v="124.3"/>
    <n v="1041.43"/>
    <x v="6"/>
  </r>
  <r>
    <n v="958"/>
    <n v="1388"/>
    <n v="82"/>
    <n v="6"/>
    <n v="243.4"/>
    <n v="0"/>
    <x v="774"/>
    <x v="3"/>
    <x v="27"/>
    <x v="5"/>
    <n v="56.52"/>
    <n v="0.04"/>
    <x v="1"/>
    <x v="5"/>
    <n v="84.88"/>
    <n v="1375.52"/>
    <x v="3"/>
  </r>
  <r>
    <n v="959"/>
    <n v="1388"/>
    <n v="127"/>
    <n v="8"/>
    <n v="38.14"/>
    <n v="0"/>
    <x v="775"/>
    <x v="3"/>
    <x v="45"/>
    <x v="5"/>
    <n v="56.52"/>
    <n v="0.19"/>
    <x v="1"/>
    <x v="3"/>
    <n v="51.31"/>
    <n v="253.81"/>
    <x v="3"/>
  </r>
  <r>
    <n v="960"/>
    <n v="1389"/>
    <n v="119"/>
    <n v="5"/>
    <n v="27.97"/>
    <n v="2.83"/>
    <x v="776"/>
    <x v="0"/>
    <x v="57"/>
    <x v="18"/>
    <n v="558.44000000000005"/>
    <n v="4.08"/>
    <x v="0"/>
    <x v="4"/>
    <n v="27.15"/>
    <n v="109.86999999999998"/>
    <x v="6"/>
  </r>
  <r>
    <n v="961"/>
    <n v="1390"/>
    <n v="127"/>
    <n v="1"/>
    <n v="38.14"/>
    <n v="6.51"/>
    <x v="777"/>
    <x v="1"/>
    <x v="45"/>
    <x v="6"/>
    <n v="30.26"/>
    <n v="0.96"/>
    <x v="2"/>
    <x v="3"/>
    <n v="51.31"/>
    <n v="-19.68"/>
    <x v="3"/>
  </r>
  <r>
    <n v="962"/>
    <n v="1390"/>
    <n v="127"/>
    <n v="2"/>
    <n v="38.14"/>
    <n v="0"/>
    <x v="446"/>
    <x v="1"/>
    <x v="45"/>
    <x v="6"/>
    <n v="30.26"/>
    <n v="0.4"/>
    <x v="2"/>
    <x v="3"/>
    <n v="51.31"/>
    <n v="24.97"/>
    <x v="3"/>
  </r>
  <r>
    <n v="963"/>
    <n v="1390"/>
    <n v="8"/>
    <n v="4"/>
    <n v="118.07"/>
    <n v="0"/>
    <x v="487"/>
    <x v="1"/>
    <x v="39"/>
    <x v="6"/>
    <n v="30.26"/>
    <n v="0.06"/>
    <x v="2"/>
    <x v="1"/>
    <n v="159.94999999999999"/>
    <n v="312.33"/>
    <x v="1"/>
  </r>
  <r>
    <n v="964"/>
    <n v="1391"/>
    <n v="29"/>
    <n v="1"/>
    <n v="33.25"/>
    <n v="0"/>
    <x v="778"/>
    <x v="0"/>
    <x v="94"/>
    <x v="19"/>
    <n v="95.83"/>
    <n v="2.88"/>
    <x v="0"/>
    <x v="1"/>
    <n v="48.38"/>
    <n v="-15.130000000000003"/>
    <x v="5"/>
  </r>
  <r>
    <n v="965"/>
    <n v="1392"/>
    <n v="150"/>
    <n v="7"/>
    <n v="100.09"/>
    <n v="0"/>
    <x v="779"/>
    <x v="2"/>
    <x v="54"/>
    <x v="13"/>
    <n v="30.2"/>
    <n v="0.04"/>
    <x v="1"/>
    <x v="3"/>
    <n v="54.5"/>
    <n v="646.13"/>
    <x v="1"/>
  </r>
  <r>
    <n v="966"/>
    <n v="1392"/>
    <n v="134"/>
    <n v="4"/>
    <n v="26.36"/>
    <n v="9.09"/>
    <x v="780"/>
    <x v="2"/>
    <x v="85"/>
    <x v="13"/>
    <n v="30.2"/>
    <n v="0.31"/>
    <x v="1"/>
    <x v="0"/>
    <n v="19.079999999999998"/>
    <n v="77.27"/>
    <x v="5"/>
  </r>
  <r>
    <n v="967"/>
    <n v="1393"/>
    <n v="20"/>
    <n v="2"/>
    <n v="168.04"/>
    <n v="0"/>
    <x v="7"/>
    <x v="1"/>
    <x v="7"/>
    <x v="7"/>
    <n v="16.13"/>
    <n v="0.05"/>
    <x v="1"/>
    <x v="3"/>
    <n v="124.3"/>
    <n v="211.77999999999997"/>
    <x v="6"/>
  </r>
  <r>
    <n v="968"/>
    <n v="1393"/>
    <n v="55"/>
    <n v="1"/>
    <n v="110.06"/>
    <n v="10.39"/>
    <x v="781"/>
    <x v="1"/>
    <x v="125"/>
    <x v="7"/>
    <n v="16.13"/>
    <n v="0.16"/>
    <x v="1"/>
    <x v="3"/>
    <n v="12.72"/>
    <n v="86.95"/>
    <x v="2"/>
  </r>
  <r>
    <n v="969"/>
    <n v="1394"/>
    <n v="34"/>
    <n v="4"/>
    <n v="222.79"/>
    <n v="13.83"/>
    <x v="782"/>
    <x v="2"/>
    <x v="89"/>
    <x v="13"/>
    <n v="27.55"/>
    <n v="0.03"/>
    <x v="1"/>
    <x v="1"/>
    <n v="86.73"/>
    <n v="790.59999999999991"/>
    <x v="2"/>
  </r>
  <r>
    <n v="970"/>
    <n v="1395"/>
    <n v="38"/>
    <n v="8"/>
    <n v="256.88"/>
    <n v="0"/>
    <x v="783"/>
    <x v="3"/>
    <x v="147"/>
    <x v="9"/>
    <n v="25.7"/>
    <n v="0.01"/>
    <x v="3"/>
    <x v="5"/>
    <n v="167.11"/>
    <n v="1887.9299999999998"/>
    <x v="6"/>
  </r>
  <r>
    <n v="971"/>
    <n v="1396"/>
    <n v="111"/>
    <n v="4"/>
    <n v="39.4"/>
    <n v="3.11"/>
    <x v="784"/>
    <x v="1"/>
    <x v="139"/>
    <x v="8"/>
    <n v="25.98"/>
    <n v="0.17"/>
    <x v="0"/>
    <x v="2"/>
    <n v="170.91"/>
    <n v="-16.420000000000016"/>
    <x v="6"/>
  </r>
  <r>
    <n v="972"/>
    <n v="1396"/>
    <n v="131"/>
    <n v="6"/>
    <n v="57.46"/>
    <n v="0"/>
    <x v="785"/>
    <x v="1"/>
    <x v="117"/>
    <x v="8"/>
    <n v="25.98"/>
    <n v="0.08"/>
    <x v="0"/>
    <x v="1"/>
    <n v="44.34"/>
    <n v="300.41999999999996"/>
    <x v="0"/>
  </r>
  <r>
    <n v="973"/>
    <n v="1396"/>
    <n v="95"/>
    <n v="2"/>
    <n v="75.319999999999993"/>
    <n v="1.69"/>
    <x v="786"/>
    <x v="1"/>
    <x v="83"/>
    <x v="8"/>
    <n v="25.98"/>
    <n v="0.17"/>
    <x v="0"/>
    <x v="0"/>
    <n v="71.34"/>
    <n v="77.609999999999985"/>
    <x v="6"/>
  </r>
  <r>
    <n v="974"/>
    <n v="1397"/>
    <n v="29"/>
    <n v="4"/>
    <n v="33.25"/>
    <n v="0"/>
    <x v="787"/>
    <x v="2"/>
    <x v="94"/>
    <x v="11"/>
    <n v="85.14"/>
    <n v="0.64"/>
    <x v="1"/>
    <x v="1"/>
    <n v="48.38"/>
    <n v="84.62"/>
    <x v="5"/>
  </r>
  <r>
    <n v="975"/>
    <n v="1397"/>
    <n v="148"/>
    <n v="5"/>
    <n v="124.32"/>
    <n v="0"/>
    <x v="788"/>
    <x v="2"/>
    <x v="60"/>
    <x v="11"/>
    <n v="85.14"/>
    <n v="0.14000000000000001"/>
    <x v="1"/>
    <x v="0"/>
    <n v="101.47"/>
    <n v="520.12999999999988"/>
    <x v="3"/>
  </r>
  <r>
    <n v="976"/>
    <n v="1398"/>
    <n v="89"/>
    <n v="5"/>
    <n v="126"/>
    <n v="0"/>
    <x v="610"/>
    <x v="1"/>
    <x v="92"/>
    <x v="8"/>
    <n v="23.75"/>
    <n v="0.04"/>
    <x v="1"/>
    <x v="3"/>
    <n v="150.76"/>
    <n v="479.24"/>
    <x v="6"/>
  </r>
  <r>
    <n v="977"/>
    <n v="1398"/>
    <n v="1"/>
    <n v="2"/>
    <n v="84.79"/>
    <n v="3.59"/>
    <x v="789"/>
    <x v="1"/>
    <x v="120"/>
    <x v="8"/>
    <n v="23.75"/>
    <n v="0.14000000000000001"/>
    <x v="1"/>
    <x v="3"/>
    <n v="134.77000000000001"/>
    <n v="31.22"/>
    <x v="0"/>
  </r>
  <r>
    <n v="978"/>
    <n v="1399"/>
    <n v="110"/>
    <n v="6"/>
    <n v="112"/>
    <n v="0"/>
    <x v="790"/>
    <x v="2"/>
    <x v="72"/>
    <x v="13"/>
    <n v="100.9"/>
    <n v="0.15"/>
    <x v="0"/>
    <x v="0"/>
    <n v="144.62"/>
    <n v="527.38"/>
    <x v="3"/>
  </r>
  <r>
    <n v="979"/>
    <n v="1399"/>
    <n v="20"/>
    <n v="3"/>
    <n v="168.04"/>
    <n v="0"/>
    <x v="791"/>
    <x v="2"/>
    <x v="7"/>
    <x v="13"/>
    <n v="100.9"/>
    <n v="0.2"/>
    <x v="0"/>
    <x v="3"/>
    <n v="124.3"/>
    <n v="379.82"/>
    <x v="6"/>
  </r>
  <r>
    <n v="980"/>
    <n v="1399"/>
    <n v="91"/>
    <n v="8"/>
    <n v="170.65"/>
    <n v="9.16"/>
    <x v="792"/>
    <x v="2"/>
    <x v="32"/>
    <x v="13"/>
    <n v="100.9"/>
    <n v="7.0000000000000007E-2"/>
    <x v="0"/>
    <x v="1"/>
    <n v="135.82"/>
    <n v="1220.22"/>
    <x v="2"/>
  </r>
  <r>
    <n v="981"/>
    <n v="1399"/>
    <n v="64"/>
    <n v="8"/>
    <n v="247.73"/>
    <n v="0"/>
    <x v="793"/>
    <x v="2"/>
    <x v="87"/>
    <x v="13"/>
    <n v="100.9"/>
    <n v="0.05"/>
    <x v="0"/>
    <x v="5"/>
    <n v="43.93"/>
    <n v="1937.9099999999999"/>
    <x v="6"/>
  </r>
  <r>
    <n v="982"/>
    <n v="1400"/>
    <n v="126"/>
    <n v="6"/>
    <n v="32.17"/>
    <n v="0"/>
    <x v="794"/>
    <x v="0"/>
    <x v="107"/>
    <x v="17"/>
    <n v="45.43"/>
    <n v="0.24"/>
    <x v="1"/>
    <x v="3"/>
    <n v="104.51"/>
    <n v="88.51"/>
    <x v="2"/>
  </r>
  <r>
    <n v="983"/>
    <n v="1400"/>
    <n v="125"/>
    <n v="5"/>
    <n v="273.92"/>
    <n v="0"/>
    <x v="533"/>
    <x v="0"/>
    <x v="124"/>
    <x v="17"/>
    <n v="45.43"/>
    <n v="0.03"/>
    <x v="1"/>
    <x v="0"/>
    <n v="71.569999999999993"/>
    <n v="1298.0300000000002"/>
    <x v="3"/>
  </r>
  <r>
    <n v="984"/>
    <n v="1400"/>
    <n v="91"/>
    <n v="5"/>
    <n v="170.65"/>
    <n v="10.94"/>
    <x v="795"/>
    <x v="0"/>
    <x v="32"/>
    <x v="17"/>
    <n v="45.43"/>
    <n v="0.05"/>
    <x v="1"/>
    <x v="1"/>
    <n v="135.82"/>
    <n v="706.49"/>
    <x v="2"/>
  </r>
  <r>
    <n v="985"/>
    <n v="1400"/>
    <n v="29"/>
    <n v="5"/>
    <n v="33.25"/>
    <n v="0"/>
    <x v="796"/>
    <x v="0"/>
    <x v="94"/>
    <x v="17"/>
    <n v="45.43"/>
    <n v="0.27"/>
    <x v="1"/>
    <x v="1"/>
    <n v="48.38"/>
    <n v="117.87"/>
    <x v="5"/>
  </r>
  <r>
    <n v="986"/>
    <n v="1401"/>
    <n v="28"/>
    <n v="5"/>
    <n v="206.43"/>
    <n v="13.28"/>
    <x v="797"/>
    <x v="3"/>
    <x v="55"/>
    <x v="5"/>
    <n v="96.26"/>
    <n v="0.09"/>
    <x v="0"/>
    <x v="2"/>
    <n v="74.819999999999993"/>
    <n v="944.05000000000018"/>
    <x v="3"/>
  </r>
  <r>
    <n v="987"/>
    <n v="1401"/>
    <n v="135"/>
    <n v="3"/>
    <n v="41.03"/>
    <n v="0"/>
    <x v="798"/>
    <x v="3"/>
    <x v="108"/>
    <x v="5"/>
    <n v="96.26"/>
    <n v="0.78"/>
    <x v="0"/>
    <x v="4"/>
    <n v="48.81"/>
    <n v="74.28"/>
    <x v="4"/>
  </r>
  <r>
    <n v="988"/>
    <n v="1401"/>
    <n v="85"/>
    <n v="7"/>
    <n v="163.57"/>
    <n v="0"/>
    <x v="604"/>
    <x v="3"/>
    <x v="3"/>
    <x v="5"/>
    <n v="96.26"/>
    <n v="0.08"/>
    <x v="0"/>
    <x v="0"/>
    <n v="139.02000000000001"/>
    <n v="1005.97"/>
    <x v="3"/>
  </r>
  <r>
    <n v="989"/>
    <n v="1401"/>
    <n v="80"/>
    <n v="4"/>
    <n v="84.54"/>
    <n v="0"/>
    <x v="799"/>
    <x v="3"/>
    <x v="82"/>
    <x v="5"/>
    <n v="96.26"/>
    <n v="0.28000000000000003"/>
    <x v="0"/>
    <x v="1"/>
    <n v="91.52"/>
    <n v="246.64000000000004"/>
    <x v="3"/>
  </r>
  <r>
    <n v="990"/>
    <n v="1402"/>
    <n v="39"/>
    <n v="5"/>
    <n v="129.30000000000001"/>
    <n v="0"/>
    <x v="800"/>
    <x v="0"/>
    <x v="75"/>
    <x v="19"/>
    <n v="9.7899999999999991"/>
    <n v="0.02"/>
    <x v="1"/>
    <x v="2"/>
    <n v="42.41"/>
    <n v="604.09"/>
    <x v="5"/>
  </r>
  <r>
    <n v="991"/>
    <n v="1402"/>
    <n v="78"/>
    <n v="8"/>
    <n v="71.75"/>
    <n v="0"/>
    <x v="667"/>
    <x v="0"/>
    <x v="46"/>
    <x v="19"/>
    <n v="9.7899999999999991"/>
    <n v="0.02"/>
    <x v="1"/>
    <x v="0"/>
    <n v="44.31"/>
    <n v="529.69000000000005"/>
    <x v="3"/>
  </r>
  <r>
    <n v="992"/>
    <n v="1402"/>
    <n v="4"/>
    <n v="8"/>
    <n v="94.28"/>
    <n v="0"/>
    <x v="801"/>
    <x v="0"/>
    <x v="79"/>
    <x v="19"/>
    <n v="9.7899999999999991"/>
    <n v="0.01"/>
    <x v="1"/>
    <x v="0"/>
    <n v="83.61"/>
    <n v="670.63"/>
    <x v="2"/>
  </r>
  <r>
    <n v="993"/>
    <n v="1402"/>
    <n v="32"/>
    <n v="1"/>
    <n v="221.16"/>
    <n v="0"/>
    <x v="116"/>
    <x v="0"/>
    <x v="88"/>
    <x v="19"/>
    <n v="9.7899999999999991"/>
    <n v="0.04"/>
    <x v="1"/>
    <x v="1"/>
    <n v="99.37"/>
    <n v="121.78999999999999"/>
    <x v="5"/>
  </r>
  <r>
    <n v="994"/>
    <n v="1403"/>
    <n v="150"/>
    <n v="2"/>
    <n v="100.09"/>
    <n v="0"/>
    <x v="158"/>
    <x v="1"/>
    <x v="54"/>
    <x v="8"/>
    <n v="97.31"/>
    <n v="0.49"/>
    <x v="1"/>
    <x v="3"/>
    <n v="54.5"/>
    <n v="145.68"/>
    <x v="1"/>
  </r>
  <r>
    <n v="995"/>
    <n v="1403"/>
    <n v="122"/>
    <n v="6"/>
    <n v="151.15"/>
    <n v="4.4800000000000004"/>
    <x v="802"/>
    <x v="1"/>
    <x v="103"/>
    <x v="8"/>
    <n v="97.31"/>
    <n v="0.11"/>
    <x v="1"/>
    <x v="3"/>
    <n v="169.69"/>
    <n v="732.73"/>
    <x v="6"/>
  </r>
  <r>
    <n v="996"/>
    <n v="1403"/>
    <n v="109"/>
    <n v="7"/>
    <n v="257.52"/>
    <n v="0"/>
    <x v="803"/>
    <x v="1"/>
    <x v="73"/>
    <x v="8"/>
    <n v="97.31"/>
    <n v="0.05"/>
    <x v="1"/>
    <x v="0"/>
    <n v="10.02"/>
    <n v="1792.62"/>
    <x v="2"/>
  </r>
  <r>
    <n v="997"/>
    <n v="1403"/>
    <n v="67"/>
    <n v="5"/>
    <n v="291.56"/>
    <n v="0"/>
    <x v="397"/>
    <x v="1"/>
    <x v="5"/>
    <x v="8"/>
    <n v="97.31"/>
    <n v="7.0000000000000007E-2"/>
    <x v="1"/>
    <x v="2"/>
    <n v="25.18"/>
    <n v="1432.62"/>
    <x v="4"/>
  </r>
  <r>
    <n v="998"/>
    <n v="1404"/>
    <n v="22"/>
    <n v="5"/>
    <n v="159.69"/>
    <n v="8.93"/>
    <x v="804"/>
    <x v="2"/>
    <x v="43"/>
    <x v="2"/>
    <n v="58.33"/>
    <n v="7.0000000000000007E-2"/>
    <x v="1"/>
    <x v="4"/>
    <n v="138.34"/>
    <n v="651.18000000000006"/>
    <x v="1"/>
  </r>
  <r>
    <n v="999"/>
    <n v="1404"/>
    <n v="140"/>
    <n v="3"/>
    <n v="86.93"/>
    <n v="6.26"/>
    <x v="805"/>
    <x v="2"/>
    <x v="30"/>
    <x v="2"/>
    <n v="58.33"/>
    <n v="0.23"/>
    <x v="1"/>
    <x v="3"/>
    <n v="20.41"/>
    <n v="234.12000000000003"/>
    <x v="6"/>
  </r>
  <r>
    <n v="1000"/>
    <n v="1404"/>
    <n v="25"/>
    <n v="3"/>
    <n v="265.23"/>
    <n v="0"/>
    <x v="666"/>
    <x v="2"/>
    <x v="136"/>
    <x v="2"/>
    <n v="58.33"/>
    <n v="7.0000000000000007E-2"/>
    <x v="1"/>
    <x v="1"/>
    <n v="15.14"/>
    <n v="780.55000000000007"/>
    <x v="1"/>
  </r>
  <r>
    <n v="1001"/>
    <n v="1405"/>
    <n v="36"/>
    <n v="5"/>
    <n v="94.39"/>
    <n v="0"/>
    <x v="315"/>
    <x v="0"/>
    <x v="116"/>
    <x v="18"/>
    <n v="108.39"/>
    <n v="0.23"/>
    <x v="0"/>
    <x v="0"/>
    <n v="78.83"/>
    <n v="393.12"/>
    <x v="5"/>
  </r>
  <r>
    <n v="1002"/>
    <n v="1406"/>
    <n v="14"/>
    <n v="2"/>
    <n v="33.86"/>
    <n v="0"/>
    <x v="40"/>
    <x v="2"/>
    <x v="37"/>
    <x v="2"/>
    <n v="38.9"/>
    <n v="0.56999999999999995"/>
    <x v="0"/>
    <x v="4"/>
    <n v="75.2"/>
    <n v="-7.480000000000004"/>
    <x v="6"/>
  </r>
  <r>
    <n v="1003"/>
    <n v="1406"/>
    <n v="86"/>
    <n v="2"/>
    <n v="81.83"/>
    <n v="12.51"/>
    <x v="319"/>
    <x v="2"/>
    <x v="132"/>
    <x v="2"/>
    <n v="38.9"/>
    <n v="0.26"/>
    <x v="0"/>
    <x v="0"/>
    <n v="129.87"/>
    <n v="21.28"/>
    <x v="5"/>
  </r>
  <r>
    <n v="1004"/>
    <n v="1406"/>
    <n v="85"/>
    <n v="1"/>
    <n v="163.57"/>
    <n v="0"/>
    <x v="515"/>
    <x v="2"/>
    <x v="3"/>
    <x v="2"/>
    <n v="38.9"/>
    <n v="0.24"/>
    <x v="0"/>
    <x v="0"/>
    <n v="139.02000000000001"/>
    <n v="24.549999999999983"/>
    <x v="3"/>
  </r>
  <r>
    <n v="1005"/>
    <n v="1406"/>
    <n v="53"/>
    <n v="3"/>
    <n v="73.03"/>
    <n v="8.8699999999999992"/>
    <x v="806"/>
    <x v="2"/>
    <x v="99"/>
    <x v="2"/>
    <n v="38.9"/>
    <n v="0.19"/>
    <x v="0"/>
    <x v="5"/>
    <n v="0"/>
    <n v="210.22"/>
    <x v="3"/>
  </r>
  <r>
    <n v="1006"/>
    <n v="1407"/>
    <n v="31"/>
    <n v="2"/>
    <n v="35.19"/>
    <n v="0"/>
    <x v="393"/>
    <x v="3"/>
    <x v="84"/>
    <x v="14"/>
    <n v="38.79"/>
    <n v="0.55000000000000004"/>
    <x v="0"/>
    <x v="1"/>
    <n v="155.44"/>
    <n v="-85.06"/>
    <x v="0"/>
  </r>
  <r>
    <n v="1007"/>
    <n v="1407"/>
    <n v="122"/>
    <n v="1"/>
    <n v="151.15"/>
    <n v="12.66"/>
    <x v="807"/>
    <x v="3"/>
    <x v="103"/>
    <x v="14"/>
    <n v="38.79"/>
    <n v="0.28000000000000003"/>
    <x v="0"/>
    <x v="3"/>
    <n v="169.69"/>
    <n v="-31.199999999999989"/>
    <x v="6"/>
  </r>
  <r>
    <n v="1008"/>
    <n v="1408"/>
    <n v="111"/>
    <n v="3"/>
    <n v="39.4"/>
    <n v="0"/>
    <x v="335"/>
    <x v="1"/>
    <x v="139"/>
    <x v="8"/>
    <n v="23.81"/>
    <n v="0.2"/>
    <x v="1"/>
    <x v="2"/>
    <n v="170.91"/>
    <n v="-52.710000000000008"/>
    <x v="6"/>
  </r>
  <r>
    <n v="1009"/>
    <n v="1409"/>
    <n v="127"/>
    <n v="6"/>
    <n v="38.14"/>
    <n v="10.35"/>
    <x v="808"/>
    <x v="4"/>
    <x v="45"/>
    <x v="15"/>
    <n v="0"/>
    <n v="0"/>
    <x v="3"/>
    <x v="3"/>
    <n v="51.31"/>
    <n v="167.18"/>
    <x v="3"/>
  </r>
  <r>
    <n v="1010"/>
    <n v="1410"/>
    <n v="8"/>
    <n v="5"/>
    <n v="118.07"/>
    <n v="7.4"/>
    <x v="809"/>
    <x v="0"/>
    <x v="39"/>
    <x v="17"/>
    <n v="58.28"/>
    <n v="0.1"/>
    <x v="2"/>
    <x v="1"/>
    <n v="159.94999999999999"/>
    <n v="422.99999999999994"/>
    <x v="1"/>
  </r>
  <r>
    <n v="1011"/>
    <n v="1410"/>
    <n v="3"/>
    <n v="5"/>
    <n v="22.56"/>
    <n v="1.48"/>
    <x v="810"/>
    <x v="0"/>
    <x v="34"/>
    <x v="17"/>
    <n v="58.28"/>
    <n v="0.52"/>
    <x v="2"/>
    <x v="3"/>
    <n v="93.44"/>
    <n v="17.879999999999995"/>
    <x v="3"/>
  </r>
  <r>
    <n v="1012"/>
    <n v="1411"/>
    <n v="135"/>
    <n v="7"/>
    <n v="41.03"/>
    <n v="0"/>
    <x v="811"/>
    <x v="2"/>
    <x v="108"/>
    <x v="12"/>
    <n v="47.68"/>
    <n v="0.17"/>
    <x v="0"/>
    <x v="4"/>
    <n v="48.81"/>
    <n v="238.40000000000003"/>
    <x v="4"/>
  </r>
  <r>
    <n v="1013"/>
    <n v="1411"/>
    <n v="39"/>
    <n v="6"/>
    <n v="129.30000000000001"/>
    <n v="0"/>
    <x v="812"/>
    <x v="2"/>
    <x v="75"/>
    <x v="12"/>
    <n v="47.68"/>
    <n v="0.06"/>
    <x v="0"/>
    <x v="2"/>
    <n v="42.41"/>
    <n v="733.3900000000001"/>
    <x v="5"/>
  </r>
  <r>
    <n v="1014"/>
    <n v="1411"/>
    <n v="118"/>
    <n v="3"/>
    <n v="84.02"/>
    <n v="0"/>
    <x v="813"/>
    <x v="2"/>
    <x v="15"/>
    <x v="12"/>
    <n v="47.68"/>
    <n v="0.19"/>
    <x v="0"/>
    <x v="1"/>
    <n v="44.81"/>
    <n v="207.25"/>
    <x v="3"/>
  </r>
  <r>
    <n v="1015"/>
    <n v="1412"/>
    <n v="83"/>
    <n v="6"/>
    <n v="269.23"/>
    <n v="9.18"/>
    <x v="814"/>
    <x v="4"/>
    <x v="67"/>
    <x v="16"/>
    <n v="61.93"/>
    <n v="0.04"/>
    <x v="0"/>
    <x v="1"/>
    <n v="147.63"/>
    <n v="1458.5700000000002"/>
    <x v="5"/>
  </r>
  <r>
    <n v="1016"/>
    <n v="1412"/>
    <n v="18"/>
    <n v="1"/>
    <n v="60.59"/>
    <n v="0"/>
    <x v="554"/>
    <x v="4"/>
    <x v="138"/>
    <x v="16"/>
    <n v="61.93"/>
    <n v="1.02"/>
    <x v="0"/>
    <x v="5"/>
    <n v="31.75"/>
    <n v="28.840000000000003"/>
    <x v="6"/>
  </r>
  <r>
    <n v="1017"/>
    <n v="1413"/>
    <n v="17"/>
    <n v="1"/>
    <n v="299.3"/>
    <n v="0"/>
    <x v="12"/>
    <x v="0"/>
    <x v="12"/>
    <x v="17"/>
    <n v="54.75"/>
    <n v="0.18"/>
    <x v="1"/>
    <x v="2"/>
    <n v="43.38"/>
    <n v="255.92000000000002"/>
    <x v="2"/>
  </r>
  <r>
    <n v="1018"/>
    <n v="1413"/>
    <n v="10"/>
    <n v="2"/>
    <n v="144.22"/>
    <n v="0"/>
    <x v="815"/>
    <x v="0"/>
    <x v="106"/>
    <x v="17"/>
    <n v="54.75"/>
    <n v="0.19"/>
    <x v="1"/>
    <x v="0"/>
    <n v="71.52"/>
    <n v="216.92000000000002"/>
    <x v="3"/>
  </r>
  <r>
    <n v="1019"/>
    <n v="1413"/>
    <n v="8"/>
    <n v="3"/>
    <n v="118.07"/>
    <n v="5.5"/>
    <x v="816"/>
    <x v="0"/>
    <x v="39"/>
    <x v="17"/>
    <n v="54.75"/>
    <n v="0.16"/>
    <x v="1"/>
    <x v="1"/>
    <n v="159.94999999999999"/>
    <n v="188.76"/>
    <x v="1"/>
  </r>
  <r>
    <n v="1020"/>
    <n v="1413"/>
    <n v="97"/>
    <n v="3"/>
    <n v="168.73"/>
    <n v="0"/>
    <x v="817"/>
    <x v="0"/>
    <x v="96"/>
    <x v="17"/>
    <n v="54.75"/>
    <n v="0.11"/>
    <x v="1"/>
    <x v="2"/>
    <n v="8.39"/>
    <n v="497.79999999999995"/>
    <x v="0"/>
  </r>
  <r>
    <n v="1021"/>
    <n v="1414"/>
    <n v="53"/>
    <n v="1"/>
    <n v="73.03"/>
    <n v="0"/>
    <x v="818"/>
    <x v="3"/>
    <x v="99"/>
    <x v="14"/>
    <n v="67.400000000000006"/>
    <n v="0.92"/>
    <x v="0"/>
    <x v="5"/>
    <n v="0"/>
    <n v="73.03"/>
    <x v="3"/>
  </r>
  <r>
    <n v="1022"/>
    <n v="1415"/>
    <n v="92"/>
    <n v="3"/>
    <n v="23.27"/>
    <n v="12.22"/>
    <x v="819"/>
    <x v="3"/>
    <x v="91"/>
    <x v="5"/>
    <n v="66.7"/>
    <n v="1.1599999999999999"/>
    <x v="2"/>
    <x v="1"/>
    <n v="81.27"/>
    <n v="-23.679999999999993"/>
    <x v="3"/>
  </r>
  <r>
    <n v="1023"/>
    <n v="1415"/>
    <n v="110"/>
    <n v="7"/>
    <n v="112"/>
    <n v="0"/>
    <x v="820"/>
    <x v="3"/>
    <x v="72"/>
    <x v="5"/>
    <n v="66.7"/>
    <n v="0.09"/>
    <x v="2"/>
    <x v="0"/>
    <n v="144.62"/>
    <n v="639.38"/>
    <x v="3"/>
  </r>
  <r>
    <n v="1024"/>
    <n v="1415"/>
    <n v="33"/>
    <n v="5"/>
    <n v="42.63"/>
    <n v="2.41"/>
    <x v="821"/>
    <x v="3"/>
    <x v="97"/>
    <x v="5"/>
    <n v="66.7"/>
    <n v="0.32"/>
    <x v="2"/>
    <x v="3"/>
    <n v="38.32"/>
    <n v="172.42000000000002"/>
    <x v="5"/>
  </r>
  <r>
    <n v="1025"/>
    <n v="1416"/>
    <n v="137"/>
    <n v="4"/>
    <n v="181.82"/>
    <n v="0"/>
    <x v="822"/>
    <x v="2"/>
    <x v="14"/>
    <x v="12"/>
    <n v="67.33"/>
    <n v="0.09"/>
    <x v="1"/>
    <x v="1"/>
    <n v="36.76"/>
    <n v="690.52"/>
    <x v="5"/>
  </r>
  <r>
    <n v="1026"/>
    <n v="1417"/>
    <n v="52"/>
    <n v="6"/>
    <n v="59.3"/>
    <n v="0"/>
    <x v="823"/>
    <x v="0"/>
    <x v="121"/>
    <x v="18"/>
    <n v="73.39"/>
    <n v="0.21"/>
    <x v="3"/>
    <x v="4"/>
    <n v="134.91999999999999"/>
    <n v="220.87999999999997"/>
    <x v="0"/>
  </r>
  <r>
    <n v="1027"/>
    <n v="1417"/>
    <n v="36"/>
    <n v="4"/>
    <n v="94.39"/>
    <n v="0"/>
    <x v="824"/>
    <x v="0"/>
    <x v="116"/>
    <x v="18"/>
    <n v="73.39"/>
    <n v="0.19"/>
    <x v="3"/>
    <x v="0"/>
    <n v="78.83"/>
    <n v="298.73"/>
    <x v="5"/>
  </r>
  <r>
    <n v="1028"/>
    <n v="1417"/>
    <n v="16"/>
    <n v="4"/>
    <n v="168.61"/>
    <n v="0"/>
    <x v="825"/>
    <x v="0"/>
    <x v="134"/>
    <x v="18"/>
    <n v="73.39"/>
    <n v="0.11"/>
    <x v="3"/>
    <x v="0"/>
    <n v="135.37"/>
    <n v="539.07000000000005"/>
    <x v="7"/>
  </r>
  <r>
    <n v="1029"/>
    <n v="1418"/>
    <n v="128"/>
    <n v="4"/>
    <n v="143.38999999999999"/>
    <n v="10.1"/>
    <x v="826"/>
    <x v="1"/>
    <x v="51"/>
    <x v="8"/>
    <n v="6.49"/>
    <n v="0.01"/>
    <x v="0"/>
    <x v="2"/>
    <n v="5.47"/>
    <n v="557.9899999999999"/>
    <x v="0"/>
  </r>
  <r>
    <n v="1030"/>
    <n v="1419"/>
    <n v="111"/>
    <n v="7"/>
    <n v="39.4"/>
    <n v="0"/>
    <x v="827"/>
    <x v="4"/>
    <x v="139"/>
    <x v="15"/>
    <n v="54.64"/>
    <n v="0.2"/>
    <x v="2"/>
    <x v="2"/>
    <n v="170.91"/>
    <n v="104.89000000000001"/>
    <x v="6"/>
  </r>
  <r>
    <n v="1031"/>
    <n v="1419"/>
    <n v="113"/>
    <n v="2"/>
    <n v="84.34"/>
    <n v="0"/>
    <x v="363"/>
    <x v="4"/>
    <x v="142"/>
    <x v="15"/>
    <n v="54.64"/>
    <n v="0.32"/>
    <x v="2"/>
    <x v="2"/>
    <n v="75.77"/>
    <n v="92.910000000000011"/>
    <x v="1"/>
  </r>
  <r>
    <n v="1032"/>
    <n v="1420"/>
    <n v="4"/>
    <n v="4"/>
    <n v="94.28"/>
    <n v="0"/>
    <x v="305"/>
    <x v="0"/>
    <x v="79"/>
    <x v="19"/>
    <n v="24.95"/>
    <n v="7.0000000000000007E-2"/>
    <x v="2"/>
    <x v="0"/>
    <n v="83.61"/>
    <n v="293.51"/>
    <x v="2"/>
  </r>
  <r>
    <n v="1033"/>
    <n v="1421"/>
    <n v="20"/>
    <n v="2"/>
    <n v="168.04"/>
    <n v="0"/>
    <x v="7"/>
    <x v="3"/>
    <x v="7"/>
    <x v="10"/>
    <n v="108.13"/>
    <n v="0.32"/>
    <x v="2"/>
    <x v="3"/>
    <n v="124.3"/>
    <n v="211.77999999999997"/>
    <x v="6"/>
  </r>
  <r>
    <n v="1034"/>
    <n v="1422"/>
    <n v="82"/>
    <n v="2"/>
    <n v="243.4"/>
    <n v="1.76"/>
    <x v="828"/>
    <x v="1"/>
    <x v="27"/>
    <x v="1"/>
    <n v="8.16"/>
    <n v="0.02"/>
    <x v="1"/>
    <x v="5"/>
    <n v="84.88"/>
    <n v="400.16"/>
    <x v="3"/>
  </r>
  <r>
    <n v="1035"/>
    <n v="1422"/>
    <n v="125"/>
    <n v="5"/>
    <n v="273.92"/>
    <n v="0"/>
    <x v="533"/>
    <x v="1"/>
    <x v="124"/>
    <x v="1"/>
    <n v="8.16"/>
    <n v="0.01"/>
    <x v="1"/>
    <x v="0"/>
    <n v="71.569999999999993"/>
    <n v="1298.0300000000002"/>
    <x v="3"/>
  </r>
  <r>
    <n v="1036"/>
    <n v="1422"/>
    <n v="134"/>
    <n v="4"/>
    <n v="26.36"/>
    <n v="0"/>
    <x v="295"/>
    <x v="1"/>
    <x v="85"/>
    <x v="1"/>
    <n v="8.16"/>
    <n v="0.08"/>
    <x v="1"/>
    <x v="0"/>
    <n v="19.079999999999998"/>
    <n v="86.36"/>
    <x v="5"/>
  </r>
  <r>
    <n v="1037"/>
    <n v="1423"/>
    <n v="99"/>
    <n v="5"/>
    <n v="50.97"/>
    <n v="0"/>
    <x v="463"/>
    <x v="0"/>
    <x v="42"/>
    <x v="18"/>
    <n v="27.86"/>
    <n v="0.11"/>
    <x v="0"/>
    <x v="4"/>
    <n v="31.67"/>
    <n v="223.18"/>
    <x v="6"/>
  </r>
  <r>
    <n v="1038"/>
    <n v="1423"/>
    <n v="16"/>
    <n v="5"/>
    <n v="168.61"/>
    <n v="12.96"/>
    <x v="829"/>
    <x v="0"/>
    <x v="134"/>
    <x v="18"/>
    <n v="27.86"/>
    <n v="0.03"/>
    <x v="0"/>
    <x v="0"/>
    <n v="135.37"/>
    <n v="694.72"/>
    <x v="7"/>
  </r>
  <r>
    <n v="1039"/>
    <n v="1423"/>
    <n v="127"/>
    <n v="1"/>
    <n v="38.14"/>
    <n v="13.08"/>
    <x v="830"/>
    <x v="0"/>
    <x v="45"/>
    <x v="18"/>
    <n v="27.86"/>
    <n v="1.1100000000000001"/>
    <x v="0"/>
    <x v="3"/>
    <n v="51.31"/>
    <n v="-26.25"/>
    <x v="3"/>
  </r>
  <r>
    <n v="1040"/>
    <n v="1424"/>
    <n v="68"/>
    <n v="4"/>
    <n v="138.85"/>
    <n v="0"/>
    <x v="264"/>
    <x v="0"/>
    <x v="61"/>
    <x v="18"/>
    <n v="70.42"/>
    <n v="0.13"/>
    <x v="3"/>
    <x v="2"/>
    <n v="23.97"/>
    <n v="531.42999999999995"/>
    <x v="1"/>
  </r>
  <r>
    <n v="1041"/>
    <n v="1424"/>
    <n v="112"/>
    <n v="7"/>
    <n v="154.88"/>
    <n v="0"/>
    <x v="831"/>
    <x v="0"/>
    <x v="98"/>
    <x v="18"/>
    <n v="70.42"/>
    <n v="0.06"/>
    <x v="3"/>
    <x v="3"/>
    <n v="118.03"/>
    <n v="966.12999999999988"/>
    <x v="3"/>
  </r>
  <r>
    <n v="1042"/>
    <n v="1424"/>
    <n v="28"/>
    <n v="7"/>
    <n v="206.43"/>
    <n v="0"/>
    <x v="742"/>
    <x v="0"/>
    <x v="55"/>
    <x v="18"/>
    <n v="70.42"/>
    <n v="0.05"/>
    <x v="3"/>
    <x v="2"/>
    <n v="74.819999999999993"/>
    <n v="1370.19"/>
    <x v="3"/>
  </r>
  <r>
    <n v="1043"/>
    <n v="1425"/>
    <n v="4"/>
    <n v="5"/>
    <n v="94.28"/>
    <n v="0"/>
    <x v="100"/>
    <x v="2"/>
    <x v="79"/>
    <x v="4"/>
    <n v="8.48"/>
    <n v="0.02"/>
    <x v="1"/>
    <x v="0"/>
    <n v="83.61"/>
    <n v="387.78999999999996"/>
    <x v="2"/>
  </r>
  <r>
    <n v="1044"/>
    <n v="1425"/>
    <n v="22"/>
    <n v="4"/>
    <n v="159.69"/>
    <n v="0"/>
    <x v="47"/>
    <x v="2"/>
    <x v="43"/>
    <x v="4"/>
    <n v="8.48"/>
    <n v="0.01"/>
    <x v="1"/>
    <x v="4"/>
    <n v="138.34"/>
    <n v="500.41999999999996"/>
    <x v="1"/>
  </r>
  <r>
    <n v="1045"/>
    <n v="1426"/>
    <n v="68"/>
    <n v="3"/>
    <n v="138.85"/>
    <n v="0"/>
    <x v="590"/>
    <x v="0"/>
    <x v="61"/>
    <x v="18"/>
    <n v="40.43"/>
    <n v="0.1"/>
    <x v="3"/>
    <x v="2"/>
    <n v="23.97"/>
    <n v="392.57999999999993"/>
    <x v="1"/>
  </r>
  <r>
    <n v="1046"/>
    <n v="1426"/>
    <n v="113"/>
    <n v="1"/>
    <n v="84.34"/>
    <n v="0"/>
    <x v="832"/>
    <x v="0"/>
    <x v="142"/>
    <x v="18"/>
    <n v="40.43"/>
    <n v="0.48"/>
    <x v="3"/>
    <x v="2"/>
    <n v="75.77"/>
    <n v="8.5700000000000074"/>
    <x v="1"/>
  </r>
  <r>
    <n v="1047"/>
    <n v="1426"/>
    <n v="123"/>
    <n v="4"/>
    <n v="210.64"/>
    <n v="0"/>
    <x v="426"/>
    <x v="0"/>
    <x v="127"/>
    <x v="18"/>
    <n v="40.43"/>
    <n v="0.05"/>
    <x v="3"/>
    <x v="4"/>
    <n v="105.98"/>
    <n v="736.57999999999993"/>
    <x v="5"/>
  </r>
  <r>
    <n v="1048"/>
    <n v="1427"/>
    <n v="38"/>
    <n v="1"/>
    <n v="256.88"/>
    <n v="0"/>
    <x v="660"/>
    <x v="1"/>
    <x v="147"/>
    <x v="8"/>
    <n v="11.05"/>
    <n v="0.04"/>
    <x v="1"/>
    <x v="5"/>
    <n v="167.11"/>
    <n v="89.769999999999982"/>
    <x v="6"/>
  </r>
  <r>
    <n v="1049"/>
    <n v="1427"/>
    <n v="48"/>
    <n v="8"/>
    <n v="299.56"/>
    <n v="0"/>
    <x v="833"/>
    <x v="1"/>
    <x v="62"/>
    <x v="8"/>
    <n v="11.05"/>
    <n v="0"/>
    <x v="1"/>
    <x v="1"/>
    <n v="85.2"/>
    <n v="2311.2800000000002"/>
    <x v="0"/>
  </r>
  <r>
    <n v="1050"/>
    <n v="1428"/>
    <n v="90"/>
    <n v="2"/>
    <n v="115.25"/>
    <n v="2.08"/>
    <x v="834"/>
    <x v="2"/>
    <x v="137"/>
    <x v="12"/>
    <n v="12.28"/>
    <n v="0.05"/>
    <x v="1"/>
    <x v="1"/>
    <n v="6.03"/>
    <n v="222.39"/>
    <x v="2"/>
  </r>
  <r>
    <n v="1051"/>
    <n v="1428"/>
    <n v="29"/>
    <n v="2"/>
    <n v="33.25"/>
    <n v="0"/>
    <x v="706"/>
    <x v="2"/>
    <x v="94"/>
    <x v="12"/>
    <n v="12.28"/>
    <n v="0.18"/>
    <x v="1"/>
    <x v="1"/>
    <n v="48.38"/>
    <n v="18.119999999999997"/>
    <x v="5"/>
  </r>
  <r>
    <n v="1052"/>
    <n v="1429"/>
    <n v="96"/>
    <n v="8"/>
    <n v="252.1"/>
    <n v="0"/>
    <x v="835"/>
    <x v="1"/>
    <x v="33"/>
    <x v="6"/>
    <n v="48.21"/>
    <n v="0.02"/>
    <x v="3"/>
    <x v="5"/>
    <n v="136.6"/>
    <n v="1880.2"/>
    <x v="2"/>
  </r>
  <r>
    <n v="1053"/>
    <n v="1429"/>
    <n v="8"/>
    <n v="3"/>
    <n v="118.07"/>
    <n v="0"/>
    <x v="836"/>
    <x v="1"/>
    <x v="39"/>
    <x v="6"/>
    <n v="48.21"/>
    <n v="0.14000000000000001"/>
    <x v="3"/>
    <x v="1"/>
    <n v="159.94999999999999"/>
    <n v="194.26"/>
    <x v="1"/>
  </r>
  <r>
    <n v="1054"/>
    <n v="1429"/>
    <n v="39"/>
    <n v="1"/>
    <n v="129.30000000000001"/>
    <n v="0"/>
    <x v="110"/>
    <x v="1"/>
    <x v="75"/>
    <x v="6"/>
    <n v="48.21"/>
    <n v="0.37"/>
    <x v="3"/>
    <x v="2"/>
    <n v="42.41"/>
    <n v="86.890000000000015"/>
    <x v="5"/>
  </r>
  <r>
    <n v="1055"/>
    <n v="1429"/>
    <n v="81"/>
    <n v="6"/>
    <n v="244.17"/>
    <n v="14.16"/>
    <x v="837"/>
    <x v="1"/>
    <x v="47"/>
    <x v="6"/>
    <n v="48.21"/>
    <n v="0.03"/>
    <x v="3"/>
    <x v="4"/>
    <n v="43.3"/>
    <n v="1407.56"/>
    <x v="0"/>
  </r>
  <r>
    <n v="1056"/>
    <n v="1430"/>
    <n v="138"/>
    <n v="2"/>
    <n v="106.5"/>
    <n v="0"/>
    <x v="298"/>
    <x v="4"/>
    <x v="86"/>
    <x v="15"/>
    <n v="55.62"/>
    <n v="0.26"/>
    <x v="1"/>
    <x v="3"/>
    <n v="76.459999999999994"/>
    <n v="136.54000000000002"/>
    <x v="5"/>
  </r>
  <r>
    <n v="1057"/>
    <n v="1430"/>
    <n v="121"/>
    <n v="8"/>
    <n v="151.43"/>
    <n v="0"/>
    <x v="838"/>
    <x v="4"/>
    <x v="78"/>
    <x v="15"/>
    <n v="55.62"/>
    <n v="0.05"/>
    <x v="1"/>
    <x v="3"/>
    <n v="54.76"/>
    <n v="1156.68"/>
    <x v="6"/>
  </r>
  <r>
    <n v="1058"/>
    <n v="1430"/>
    <n v="148"/>
    <n v="5"/>
    <n v="124.32"/>
    <n v="0"/>
    <x v="788"/>
    <x v="4"/>
    <x v="60"/>
    <x v="15"/>
    <n v="55.62"/>
    <n v="0.09"/>
    <x v="1"/>
    <x v="0"/>
    <n v="101.47"/>
    <n v="520.12999999999988"/>
    <x v="3"/>
  </r>
  <r>
    <n v="1059"/>
    <n v="1430"/>
    <n v="63"/>
    <n v="6"/>
    <n v="214.86"/>
    <n v="0"/>
    <x v="839"/>
    <x v="4"/>
    <x v="24"/>
    <x v="15"/>
    <n v="55.62"/>
    <n v="0.04"/>
    <x v="1"/>
    <x v="1"/>
    <n v="32.86"/>
    <n v="1256.3000000000002"/>
    <x v="3"/>
  </r>
  <r>
    <n v="1060"/>
    <n v="1431"/>
    <n v="124"/>
    <n v="4"/>
    <n v="48.76"/>
    <n v="7.29"/>
    <x v="840"/>
    <x v="2"/>
    <x v="44"/>
    <x v="12"/>
    <n v="13.45"/>
    <n v="7.0000000000000007E-2"/>
    <x v="0"/>
    <x v="4"/>
    <n v="178.94"/>
    <n v="8.8100000000000023"/>
    <x v="1"/>
  </r>
  <r>
    <n v="1061"/>
    <n v="1431"/>
    <n v="59"/>
    <n v="3"/>
    <n v="232.91"/>
    <n v="4.43"/>
    <x v="841"/>
    <x v="2"/>
    <x v="102"/>
    <x v="12"/>
    <n v="13.45"/>
    <n v="0.02"/>
    <x v="0"/>
    <x v="5"/>
    <n v="162.32"/>
    <n v="531.98"/>
    <x v="1"/>
  </r>
  <r>
    <n v="1062"/>
    <n v="1431"/>
    <n v="150"/>
    <n v="3"/>
    <n v="100.09"/>
    <n v="0"/>
    <x v="842"/>
    <x v="2"/>
    <x v="54"/>
    <x v="12"/>
    <n v="13.45"/>
    <n v="0.04"/>
    <x v="0"/>
    <x v="3"/>
    <n v="54.5"/>
    <n v="245.76999999999998"/>
    <x v="1"/>
  </r>
  <r>
    <n v="1063"/>
    <n v="1432"/>
    <n v="108"/>
    <n v="5"/>
    <n v="143.47999999999999"/>
    <n v="11.72"/>
    <x v="843"/>
    <x v="3"/>
    <x v="112"/>
    <x v="14"/>
    <n v="100.73"/>
    <n v="0.14000000000000001"/>
    <x v="0"/>
    <x v="3"/>
    <n v="53.81"/>
    <n v="651.86999999999989"/>
    <x v="3"/>
  </r>
  <r>
    <n v="1064"/>
    <n v="1433"/>
    <n v="143"/>
    <n v="4"/>
    <n v="171.53"/>
    <n v="0"/>
    <x v="844"/>
    <x v="2"/>
    <x v="41"/>
    <x v="4"/>
    <n v="89.08"/>
    <n v="0.13"/>
    <x v="3"/>
    <x v="3"/>
    <n v="40.619999999999997"/>
    <n v="645.5"/>
    <x v="5"/>
  </r>
  <r>
    <n v="1065"/>
    <n v="1433"/>
    <n v="87"/>
    <n v="6"/>
    <n v="124.17"/>
    <n v="0"/>
    <x v="648"/>
    <x v="2"/>
    <x v="129"/>
    <x v="4"/>
    <n v="89.08"/>
    <n v="0.12"/>
    <x v="3"/>
    <x v="5"/>
    <n v="31.4"/>
    <n v="713.62"/>
    <x v="0"/>
  </r>
  <r>
    <n v="1066"/>
    <n v="1433"/>
    <n v="12"/>
    <n v="2"/>
    <n v="61.57"/>
    <n v="0"/>
    <x v="37"/>
    <x v="2"/>
    <x v="35"/>
    <x v="4"/>
    <n v="89.08"/>
    <n v="0.72"/>
    <x v="3"/>
    <x v="5"/>
    <n v="132.6"/>
    <n v="-9.4599999999999937"/>
    <x v="7"/>
  </r>
  <r>
    <n v="1067"/>
    <n v="1433"/>
    <n v="115"/>
    <n v="7"/>
    <n v="80.7"/>
    <n v="9.83"/>
    <x v="845"/>
    <x v="2"/>
    <x v="123"/>
    <x v="4"/>
    <n v="89.08"/>
    <n v="0.16"/>
    <x v="3"/>
    <x v="2"/>
    <n v="58.66"/>
    <n v="496.40999999999997"/>
    <x v="5"/>
  </r>
  <r>
    <n v="1068"/>
    <n v="1434"/>
    <n v="98"/>
    <n v="6"/>
    <n v="285.64"/>
    <n v="0"/>
    <x v="340"/>
    <x v="0"/>
    <x v="130"/>
    <x v="19"/>
    <n v="36.28"/>
    <n v="0.02"/>
    <x v="0"/>
    <x v="3"/>
    <n v="136.99"/>
    <n v="1576.85"/>
    <x v="0"/>
  </r>
  <r>
    <n v="1069"/>
    <n v="1434"/>
    <n v="25"/>
    <n v="4"/>
    <n v="265.23"/>
    <n v="0"/>
    <x v="846"/>
    <x v="0"/>
    <x v="136"/>
    <x v="19"/>
    <n v="36.28"/>
    <n v="0.03"/>
    <x v="0"/>
    <x v="1"/>
    <n v="15.14"/>
    <n v="1045.78"/>
    <x v="1"/>
  </r>
  <r>
    <n v="1070"/>
    <n v="1434"/>
    <n v="13"/>
    <n v="7"/>
    <n v="236.16"/>
    <n v="4.99"/>
    <x v="847"/>
    <x v="0"/>
    <x v="115"/>
    <x v="19"/>
    <n v="36.28"/>
    <n v="0.02"/>
    <x v="0"/>
    <x v="0"/>
    <n v="152.5"/>
    <n v="1495.6299999999999"/>
    <x v="3"/>
  </r>
  <r>
    <n v="1071"/>
    <n v="1434"/>
    <n v="82"/>
    <n v="3"/>
    <n v="243.4"/>
    <n v="0"/>
    <x v="848"/>
    <x v="0"/>
    <x v="27"/>
    <x v="19"/>
    <n v="36.28"/>
    <n v="0.05"/>
    <x v="0"/>
    <x v="5"/>
    <n v="84.88"/>
    <n v="645.32000000000005"/>
    <x v="3"/>
  </r>
  <r>
    <n v="1072"/>
    <n v="1435"/>
    <n v="125"/>
    <n v="8"/>
    <n v="273.92"/>
    <n v="0"/>
    <x v="849"/>
    <x v="1"/>
    <x v="124"/>
    <x v="8"/>
    <n v="7.17"/>
    <n v="0"/>
    <x v="0"/>
    <x v="0"/>
    <n v="71.569999999999993"/>
    <n v="2119.79"/>
    <x v="3"/>
  </r>
  <r>
    <n v="1073"/>
    <n v="1435"/>
    <n v="74"/>
    <n v="5"/>
    <n v="130.72999999999999"/>
    <n v="0"/>
    <x v="850"/>
    <x v="1"/>
    <x v="141"/>
    <x v="8"/>
    <n v="7.17"/>
    <n v="0.01"/>
    <x v="0"/>
    <x v="5"/>
    <n v="104.59"/>
    <n v="549.05999999999995"/>
    <x v="7"/>
  </r>
  <r>
    <n v="1074"/>
    <n v="1435"/>
    <n v="60"/>
    <n v="5"/>
    <n v="115.8"/>
    <n v="0"/>
    <x v="851"/>
    <x v="1"/>
    <x v="18"/>
    <x v="8"/>
    <n v="7.17"/>
    <n v="0.01"/>
    <x v="0"/>
    <x v="0"/>
    <n v="121.71"/>
    <n v="457.29"/>
    <x v="3"/>
  </r>
  <r>
    <n v="1075"/>
    <n v="1436"/>
    <n v="147"/>
    <n v="7"/>
    <n v="133.41"/>
    <n v="0"/>
    <x v="223"/>
    <x v="4"/>
    <x v="8"/>
    <x v="15"/>
    <n v="116.34"/>
    <n v="0.12"/>
    <x v="3"/>
    <x v="0"/>
    <n v="128.44999999999999"/>
    <n v="805.42000000000007"/>
    <x v="1"/>
  </r>
  <r>
    <n v="1076"/>
    <n v="1436"/>
    <n v="117"/>
    <n v="5"/>
    <n v="293.33"/>
    <n v="0"/>
    <x v="516"/>
    <x v="4"/>
    <x v="70"/>
    <x v="15"/>
    <n v="116.34"/>
    <n v="0.08"/>
    <x v="3"/>
    <x v="0"/>
    <n v="131.80000000000001"/>
    <n v="1334.85"/>
    <x v="5"/>
  </r>
  <r>
    <n v="1077"/>
    <n v="1436"/>
    <n v="114"/>
    <n v="7"/>
    <n v="171.86"/>
    <n v="0"/>
    <x v="852"/>
    <x v="4"/>
    <x v="144"/>
    <x v="15"/>
    <n v="116.34"/>
    <n v="0.1"/>
    <x v="3"/>
    <x v="1"/>
    <n v="179.41"/>
    <n v="1023.61"/>
    <x v="4"/>
  </r>
  <r>
    <n v="1078"/>
    <n v="1437"/>
    <n v="117"/>
    <n v="2"/>
    <n v="293.33"/>
    <n v="0"/>
    <x v="853"/>
    <x v="1"/>
    <x v="70"/>
    <x v="6"/>
    <n v="47.64"/>
    <n v="0.08"/>
    <x v="0"/>
    <x v="0"/>
    <n v="131.80000000000001"/>
    <n v="454.85999999999996"/>
    <x v="5"/>
  </r>
  <r>
    <n v="1079"/>
    <n v="1437"/>
    <n v="10"/>
    <n v="7"/>
    <n v="144.22"/>
    <n v="0"/>
    <x v="854"/>
    <x v="1"/>
    <x v="106"/>
    <x v="6"/>
    <n v="47.64"/>
    <n v="0.05"/>
    <x v="0"/>
    <x v="0"/>
    <n v="71.52"/>
    <n v="938.02"/>
    <x v="3"/>
  </r>
  <r>
    <n v="1080"/>
    <n v="1437"/>
    <n v="49"/>
    <n v="1"/>
    <n v="280.98"/>
    <n v="0"/>
    <x v="527"/>
    <x v="1"/>
    <x v="23"/>
    <x v="6"/>
    <n v="47.64"/>
    <n v="0.17"/>
    <x v="0"/>
    <x v="1"/>
    <n v="51.41"/>
    <n v="229.57000000000002"/>
    <x v="3"/>
  </r>
  <r>
    <n v="1081"/>
    <n v="1438"/>
    <n v="73"/>
    <n v="3"/>
    <n v="134.83000000000001"/>
    <n v="0"/>
    <x v="514"/>
    <x v="4"/>
    <x v="1"/>
    <x v="13"/>
    <n v="65.53"/>
    <n v="0.16"/>
    <x v="2"/>
    <x v="0"/>
    <n v="27.28"/>
    <n v="377.21000000000004"/>
    <x v="1"/>
  </r>
  <r>
    <n v="1082"/>
    <n v="1438"/>
    <n v="133"/>
    <n v="4"/>
    <n v="214.42"/>
    <n v="0"/>
    <x v="855"/>
    <x v="4"/>
    <x v="128"/>
    <x v="13"/>
    <n v="65.53"/>
    <n v="0.08"/>
    <x v="2"/>
    <x v="5"/>
    <n v="125.52"/>
    <n v="732.16"/>
    <x v="0"/>
  </r>
  <r>
    <n v="1083"/>
    <n v="1438"/>
    <n v="126"/>
    <n v="4"/>
    <n v="32.17"/>
    <n v="0"/>
    <x v="856"/>
    <x v="4"/>
    <x v="107"/>
    <x v="13"/>
    <n v="65.53"/>
    <n v="0.51"/>
    <x v="2"/>
    <x v="3"/>
    <n v="104.51"/>
    <n v="24.17"/>
    <x v="2"/>
  </r>
  <r>
    <n v="1084"/>
    <n v="1438"/>
    <n v="108"/>
    <n v="5"/>
    <n v="143.47999999999999"/>
    <n v="0"/>
    <x v="857"/>
    <x v="4"/>
    <x v="112"/>
    <x v="13"/>
    <n v="65.53"/>
    <n v="0.09"/>
    <x v="2"/>
    <x v="3"/>
    <n v="53.81"/>
    <n v="663.58999999999992"/>
    <x v="3"/>
  </r>
  <r>
    <n v="1085"/>
    <n v="1439"/>
    <n v="140"/>
    <n v="8"/>
    <n v="86.93"/>
    <n v="0"/>
    <x v="31"/>
    <x v="4"/>
    <x v="30"/>
    <x v="15"/>
    <n v="80.63"/>
    <n v="0.12"/>
    <x v="1"/>
    <x v="3"/>
    <n v="20.41"/>
    <n v="675.03000000000009"/>
    <x v="6"/>
  </r>
  <r>
    <n v="1086"/>
    <n v="1439"/>
    <n v="29"/>
    <n v="5"/>
    <n v="33.25"/>
    <n v="6.87"/>
    <x v="858"/>
    <x v="4"/>
    <x v="94"/>
    <x v="15"/>
    <n v="80.63"/>
    <n v="0.51"/>
    <x v="1"/>
    <x v="1"/>
    <n v="48.38"/>
    <n v="111"/>
    <x v="5"/>
  </r>
  <r>
    <n v="1087"/>
    <n v="1439"/>
    <n v="84"/>
    <n v="4"/>
    <n v="150.28"/>
    <n v="0"/>
    <x v="859"/>
    <x v="4"/>
    <x v="49"/>
    <x v="15"/>
    <n v="80.63"/>
    <n v="0.13"/>
    <x v="1"/>
    <x v="0"/>
    <n v="135.13999999999999"/>
    <n v="465.98"/>
    <x v="5"/>
  </r>
  <r>
    <n v="1088"/>
    <n v="1440"/>
    <n v="8"/>
    <n v="5"/>
    <n v="118.07"/>
    <n v="0"/>
    <x v="860"/>
    <x v="4"/>
    <x v="39"/>
    <x v="15"/>
    <n v="51.7"/>
    <n v="0.09"/>
    <x v="2"/>
    <x v="1"/>
    <n v="159.94999999999999"/>
    <n v="430.39999999999992"/>
    <x v="1"/>
  </r>
  <r>
    <n v="1089"/>
    <n v="1440"/>
    <n v="105"/>
    <n v="1"/>
    <n v="288.82"/>
    <n v="0"/>
    <x v="861"/>
    <x v="4"/>
    <x v="146"/>
    <x v="15"/>
    <n v="51.7"/>
    <n v="0.18"/>
    <x v="2"/>
    <x v="2"/>
    <n v="23.47"/>
    <n v="265.35000000000002"/>
    <x v="2"/>
  </r>
  <r>
    <n v="1090"/>
    <n v="1441"/>
    <n v="87"/>
    <n v="1"/>
    <n v="124.17"/>
    <n v="5.32"/>
    <x v="862"/>
    <x v="0"/>
    <x v="129"/>
    <x v="3"/>
    <n v="0"/>
    <n v="0"/>
    <x v="2"/>
    <x v="5"/>
    <n v="31.4"/>
    <n v="87.449999999999989"/>
    <x v="0"/>
  </r>
  <r>
    <n v="1091"/>
    <n v="1441"/>
    <n v="57"/>
    <n v="3"/>
    <n v="266.69"/>
    <n v="0"/>
    <x v="863"/>
    <x v="0"/>
    <x v="56"/>
    <x v="3"/>
    <n v="0"/>
    <n v="0"/>
    <x v="2"/>
    <x v="3"/>
    <n v="18.170000000000002"/>
    <n v="781.9"/>
    <x v="6"/>
  </r>
  <r>
    <n v="1092"/>
    <n v="1442"/>
    <n v="6"/>
    <n v="7"/>
    <n v="256.54000000000002"/>
    <n v="0"/>
    <x v="10"/>
    <x v="1"/>
    <x v="10"/>
    <x v="6"/>
    <n v="79.97"/>
    <n v="0.04"/>
    <x v="0"/>
    <x v="3"/>
    <n v="21.93"/>
    <n v="1773.8500000000001"/>
    <x v="0"/>
  </r>
  <r>
    <n v="1093"/>
    <n v="1443"/>
    <n v="96"/>
    <n v="6"/>
    <n v="252.1"/>
    <n v="0"/>
    <x v="864"/>
    <x v="2"/>
    <x v="33"/>
    <x v="2"/>
    <n v="8.91"/>
    <n v="0.01"/>
    <x v="1"/>
    <x v="5"/>
    <n v="136.6"/>
    <n v="1376"/>
    <x v="2"/>
  </r>
  <r>
    <n v="1094"/>
    <n v="1443"/>
    <n v="4"/>
    <n v="1"/>
    <n v="94.28"/>
    <n v="0"/>
    <x v="721"/>
    <x v="2"/>
    <x v="79"/>
    <x v="2"/>
    <n v="8.91"/>
    <n v="0.09"/>
    <x v="1"/>
    <x v="0"/>
    <n v="83.61"/>
    <n v="10.670000000000002"/>
    <x v="2"/>
  </r>
  <r>
    <n v="1095"/>
    <n v="1444"/>
    <n v="103"/>
    <n v="3"/>
    <n v="241.92"/>
    <n v="0"/>
    <x v="865"/>
    <x v="0"/>
    <x v="4"/>
    <x v="18"/>
    <n v="0"/>
    <n v="0"/>
    <x v="1"/>
    <x v="0"/>
    <n v="145.97"/>
    <n v="579.79"/>
    <x v="1"/>
  </r>
  <r>
    <n v="1096"/>
    <n v="1444"/>
    <n v="22"/>
    <n v="2"/>
    <n v="159.69"/>
    <n v="2.0299999999999998"/>
    <x v="866"/>
    <x v="0"/>
    <x v="43"/>
    <x v="18"/>
    <n v="0"/>
    <n v="0"/>
    <x v="1"/>
    <x v="4"/>
    <n v="138.34"/>
    <n v="179.01000000000002"/>
    <x v="1"/>
  </r>
  <r>
    <n v="1097"/>
    <n v="1444"/>
    <n v="6"/>
    <n v="1"/>
    <n v="256.54000000000002"/>
    <n v="0"/>
    <x v="494"/>
    <x v="0"/>
    <x v="10"/>
    <x v="18"/>
    <n v="0"/>
    <n v="0"/>
    <x v="1"/>
    <x v="3"/>
    <n v="21.93"/>
    <n v="234.61"/>
    <x v="0"/>
  </r>
  <r>
    <n v="1098"/>
    <n v="1444"/>
    <n v="25"/>
    <n v="7"/>
    <n v="265.23"/>
    <n v="0"/>
    <x v="867"/>
    <x v="0"/>
    <x v="136"/>
    <x v="18"/>
    <n v="0"/>
    <n v="0"/>
    <x v="1"/>
    <x v="1"/>
    <n v="15.14"/>
    <n v="1841.47"/>
    <x v="1"/>
  </r>
  <r>
    <n v="1099"/>
    <n v="1445"/>
    <n v="71"/>
    <n v="8"/>
    <n v="277.42"/>
    <n v="0"/>
    <x v="868"/>
    <x v="2"/>
    <x v="90"/>
    <x v="11"/>
    <n v="62.76"/>
    <n v="0.03"/>
    <x v="1"/>
    <x v="2"/>
    <n v="171.05"/>
    <n v="2048.31"/>
    <x v="2"/>
  </r>
  <r>
    <n v="1100"/>
    <n v="1445"/>
    <n v="148"/>
    <n v="8"/>
    <n v="124.32"/>
    <n v="6.27"/>
    <x v="869"/>
    <x v="2"/>
    <x v="60"/>
    <x v="11"/>
    <n v="62.76"/>
    <n v="0.06"/>
    <x v="1"/>
    <x v="0"/>
    <n v="101.47"/>
    <n v="886.81999999999994"/>
    <x v="3"/>
  </r>
  <r>
    <n v="1101"/>
    <n v="1445"/>
    <n v="24"/>
    <n v="4"/>
    <n v="20.55"/>
    <n v="0"/>
    <x v="374"/>
    <x v="2"/>
    <x v="101"/>
    <x v="11"/>
    <n v="62.76"/>
    <n v="0.76"/>
    <x v="1"/>
    <x v="0"/>
    <n v="61.73"/>
    <n v="20.470000000000006"/>
    <x v="6"/>
  </r>
  <r>
    <n v="1102"/>
    <n v="1446"/>
    <n v="102"/>
    <n v="4"/>
    <n v="71.52"/>
    <n v="7.26"/>
    <x v="870"/>
    <x v="0"/>
    <x v="95"/>
    <x v="17"/>
    <n v="42.56"/>
    <n v="0.15"/>
    <x v="1"/>
    <x v="2"/>
    <n v="169.76"/>
    <n v="109.06"/>
    <x v="2"/>
  </r>
  <r>
    <n v="1103"/>
    <n v="1447"/>
    <n v="22"/>
    <n v="3"/>
    <n v="159.69"/>
    <n v="6.64"/>
    <x v="871"/>
    <x v="3"/>
    <x v="43"/>
    <x v="9"/>
    <n v="89.9"/>
    <n v="0.19"/>
    <x v="2"/>
    <x v="4"/>
    <n v="138.34"/>
    <n v="334.09000000000003"/>
    <x v="1"/>
  </r>
  <r>
    <n v="1104"/>
    <n v="1447"/>
    <n v="134"/>
    <n v="4"/>
    <n v="26.36"/>
    <n v="1.83"/>
    <x v="872"/>
    <x v="3"/>
    <x v="85"/>
    <x v="9"/>
    <n v="89.9"/>
    <n v="0.87"/>
    <x v="2"/>
    <x v="0"/>
    <n v="19.079999999999998"/>
    <n v="84.53"/>
    <x v="5"/>
  </r>
  <r>
    <n v="1105"/>
    <n v="1448"/>
    <n v="144"/>
    <n v="8"/>
    <n v="194.56"/>
    <n v="0"/>
    <x v="512"/>
    <x v="2"/>
    <x v="58"/>
    <x v="2"/>
    <n v="110.86"/>
    <n v="7.0000000000000007E-2"/>
    <x v="3"/>
    <x v="3"/>
    <n v="10.050000000000001"/>
    <n v="1546.43"/>
    <x v="5"/>
  </r>
  <r>
    <n v="1106"/>
    <n v="1448"/>
    <n v="61"/>
    <n v="6"/>
    <n v="293.22000000000003"/>
    <n v="7.46"/>
    <x v="873"/>
    <x v="2"/>
    <x v="19"/>
    <x v="2"/>
    <n v="110.86"/>
    <n v="0.06"/>
    <x v="3"/>
    <x v="3"/>
    <n v="156.31"/>
    <n v="1595.5500000000002"/>
    <x v="7"/>
  </r>
  <r>
    <n v="1107"/>
    <n v="1449"/>
    <n v="43"/>
    <n v="4"/>
    <n v="277.02999999999997"/>
    <n v="0"/>
    <x v="874"/>
    <x v="0"/>
    <x v="63"/>
    <x v="18"/>
    <n v="23.8"/>
    <n v="0.02"/>
    <x v="0"/>
    <x v="0"/>
    <n v="88.44"/>
    <n v="1019.6799999999998"/>
    <x v="6"/>
  </r>
  <r>
    <n v="1108"/>
    <n v="1450"/>
    <n v="112"/>
    <n v="5"/>
    <n v="154.88"/>
    <n v="0"/>
    <x v="638"/>
    <x v="2"/>
    <x v="98"/>
    <x v="2"/>
    <n v="107.19"/>
    <n v="0.14000000000000001"/>
    <x v="0"/>
    <x v="3"/>
    <n v="118.03"/>
    <n v="656.37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3">
  <r>
    <x v="0"/>
    <n v="1001"/>
    <x v="0"/>
    <s v="Salt Lake City"/>
    <d v="2026-01-22T00:00:00"/>
    <d v="2026-01-28T00:00:00"/>
    <d v="2026-01-30T00:00:00"/>
    <n v="25.61"/>
    <x v="0"/>
  </r>
  <r>
    <x v="1"/>
    <n v="1002"/>
    <x v="1"/>
    <s v="Draper"/>
    <d v="2026-03-19T00:00:00"/>
    <d v="2026-03-20T00:00:00"/>
    <d v="2026-03-25T00:00:00"/>
    <n v="95.73"/>
    <x v="1"/>
  </r>
  <r>
    <x v="2"/>
    <n v="1003"/>
    <x v="2"/>
    <s v="Lehi"/>
    <d v="2026-04-20T00:00:00"/>
    <d v="2026-04-18T00:00:00"/>
    <d v="2026-04-24T00:00:00"/>
    <n v="4.79"/>
    <x v="1"/>
  </r>
  <r>
    <x v="3"/>
    <n v="1004"/>
    <x v="3"/>
    <s v="Lehi"/>
    <d v="2026-03-28T00:00:00"/>
    <d v="2026-03-21T00:00:00"/>
    <d v="2026-04-05T00:00:00"/>
    <n v="39.590000000000003"/>
    <x v="0"/>
  </r>
  <r>
    <x v="4"/>
    <n v="1006"/>
    <x v="3"/>
    <s v="South Jordan"/>
    <d v="2026-01-21T00:00:00"/>
    <d v="2026-01-27T00:00:00"/>
    <d v="2026-01-29T00:00:00"/>
    <n v="97.81"/>
    <x v="0"/>
  </r>
  <r>
    <x v="5"/>
    <n v="1007"/>
    <x v="4"/>
    <s v="South Jordan"/>
    <d v="2026-01-21T00:00:00"/>
    <d v="2026-01-17T00:00:00"/>
    <d v="2026-01-26T00:00:00"/>
    <n v="51.43"/>
    <x v="1"/>
  </r>
  <r>
    <x v="6"/>
    <n v="1008"/>
    <x v="1"/>
    <s v="Salt Lake City"/>
    <d v="2026-04-08T00:00:00"/>
    <d v="2026-04-11T00:00:00"/>
    <d v="2026-04-17T00:00:00"/>
    <n v="49.59"/>
    <x v="0"/>
  </r>
  <r>
    <x v="7"/>
    <n v="1009"/>
    <x v="2"/>
    <s v="Draper"/>
    <d v="2026-03-24T00:00:00"/>
    <d v="2026-03-24T00:00:00"/>
    <d v="2026-03-25T00:00:00"/>
    <n v="32.39"/>
    <x v="1"/>
  </r>
  <r>
    <x v="8"/>
    <n v="1010"/>
    <x v="0"/>
    <s v="South Jordan"/>
    <d v="2026-03-06T00:00:00"/>
    <d v="2026-03-04T00:00:00"/>
    <d v="2026-03-13T00:00:00"/>
    <n v="68.48"/>
    <x v="1"/>
  </r>
  <r>
    <x v="9"/>
    <n v="1011"/>
    <x v="3"/>
    <s v="Draper"/>
    <d v="2026-03-29T00:00:00"/>
    <d v="2026-03-25T00:00:00"/>
    <d v="2026-04-07T00:00:00"/>
    <n v="51.87"/>
    <x v="0"/>
  </r>
  <r>
    <x v="10"/>
    <n v="1012"/>
    <x v="1"/>
    <s v="Draper"/>
    <d v="2026-03-09T00:00:00"/>
    <d v="2026-03-11T00:00:00"/>
    <d v="2026-03-19T00:00:00"/>
    <n v="73.94"/>
    <x v="0"/>
  </r>
  <r>
    <x v="11"/>
    <n v="1014"/>
    <x v="3"/>
    <s v="South Jordan"/>
    <d v="2026-03-13T00:00:00"/>
    <d v="2026-03-20T00:00:00"/>
    <d v="2026-03-17T00:00:00"/>
    <n v="604.32000000000005"/>
    <x v="1"/>
  </r>
  <r>
    <x v="12"/>
    <n v="1015"/>
    <x v="5"/>
    <s v="South Jordan"/>
    <d v="2026-02-16T00:00:00"/>
    <d v="2026-02-11T00:00:00"/>
    <d v="2026-02-18T00:00:00"/>
    <n v="113.64"/>
    <x v="2"/>
  </r>
  <r>
    <x v="13"/>
    <n v="1016"/>
    <x v="5"/>
    <s v="Salt Lake City"/>
    <d v="2026-03-10T00:00:00"/>
    <d v="2026-03-06T00:00:00"/>
    <d v="2026-03-11T00:00:00"/>
    <n v="4.7699999999999996"/>
    <x v="1"/>
  </r>
  <r>
    <x v="14"/>
    <n v="1017"/>
    <x v="5"/>
    <s v="Salt Lake City"/>
    <d v="2026-03-14T00:00:00"/>
    <d v="2026-03-16T00:00:00"/>
    <d v="2026-03-16T00:00:00"/>
    <n v="79.83"/>
    <x v="0"/>
  </r>
  <r>
    <x v="15"/>
    <n v="1018"/>
    <x v="3"/>
    <s v="Salt Lake City"/>
    <d v="2026-04-17T00:00:00"/>
    <d v="2026-04-12T00:00:00"/>
    <d v="2026-04-27T00:00:00"/>
    <n v="117.37"/>
    <x v="2"/>
  </r>
  <r>
    <x v="16"/>
    <n v="1019"/>
    <x v="2"/>
    <s v="West Valley"/>
    <d v="2026-02-24T00:00:00"/>
    <d v="2026-02-28T00:00:00"/>
    <d v="2026-02-27T00:00:00"/>
    <n v="69.42"/>
    <x v="0"/>
  </r>
  <r>
    <x v="17"/>
    <n v="1020"/>
    <x v="1"/>
    <s v="South Jordan"/>
    <d v="2026-02-11T00:00:00"/>
    <d v="2026-02-08T00:00:00"/>
    <d v="2026-02-17T00:00:00"/>
    <n v="68.150000000000006"/>
    <x v="0"/>
  </r>
  <r>
    <x v="18"/>
    <n v="1021"/>
    <x v="0"/>
    <s v="Lehi"/>
    <d v="2026-03-22T00:00:00"/>
    <d v="2026-03-21T00:00:00"/>
    <d v="2026-03-28T00:00:00"/>
    <n v="469.55"/>
    <x v="0"/>
  </r>
  <r>
    <x v="19"/>
    <n v="1022"/>
    <x v="2"/>
    <s v="Draper"/>
    <d v="2026-02-12T00:00:00"/>
    <d v="2026-02-08T00:00:00"/>
    <d v="2026-02-15T00:00:00"/>
    <n v="20.11"/>
    <x v="0"/>
  </r>
  <r>
    <x v="20"/>
    <n v="1023"/>
    <x v="4"/>
    <s v="Draper"/>
    <d v="2026-02-20T00:00:00"/>
    <d v="2026-02-17T00:00:00"/>
    <d v="2026-02-26T00:00:00"/>
    <n v="55.07"/>
    <x v="1"/>
  </r>
  <r>
    <x v="21"/>
    <n v="1024"/>
    <x v="4"/>
    <s v="South Jordan"/>
    <d v="2026-04-01T00:00:00"/>
    <d v="2026-03-30T00:00:00"/>
    <d v="2026-04-04T00:00:00"/>
    <n v="83.08"/>
    <x v="2"/>
  </r>
  <r>
    <x v="22"/>
    <n v="1026"/>
    <x v="4"/>
    <s v="South Jordan"/>
    <d v="2026-04-04T00:00:00"/>
    <d v="2026-04-10T00:00:00"/>
    <d v="2026-04-14T00:00:00"/>
    <n v="9.14"/>
    <x v="1"/>
  </r>
  <r>
    <x v="23"/>
    <n v="1027"/>
    <x v="1"/>
    <s v="South Jordan"/>
    <d v="2026-04-21T00:00:00"/>
    <d v="2026-04-28T00:00:00"/>
    <d v="2026-04-24T00:00:00"/>
    <n v="44.41"/>
    <x v="1"/>
  </r>
  <r>
    <x v="24"/>
    <n v="1028"/>
    <x v="2"/>
    <s v="Salt Lake City"/>
    <d v="2026-05-07T00:00:00"/>
    <d v="2026-05-09T00:00:00"/>
    <d v="2026-05-10T00:00:00"/>
    <n v="25.62"/>
    <x v="1"/>
  </r>
  <r>
    <x v="25"/>
    <n v="1029"/>
    <x v="0"/>
    <s v="South Jordan"/>
    <d v="2026-02-28T00:00:00"/>
    <d v="2026-02-25T00:00:00"/>
    <d v="2026-03-10T00:00:00"/>
    <n v="49.54"/>
    <x v="1"/>
  </r>
  <r>
    <x v="26"/>
    <n v="1030"/>
    <x v="2"/>
    <s v="Draper"/>
    <d v="2026-02-14T00:00:00"/>
    <d v="2026-02-17T00:00:00"/>
    <d v="2026-02-20T00:00:00"/>
    <n v="84.44"/>
    <x v="1"/>
  </r>
  <r>
    <x v="27"/>
    <n v="1031"/>
    <x v="3"/>
    <s v="South Jordan"/>
    <d v="2026-04-13T00:00:00"/>
    <d v="2026-04-11T00:00:00"/>
    <d v="2026-04-21T00:00:00"/>
    <n v="19.84"/>
    <x v="0"/>
  </r>
  <r>
    <x v="28"/>
    <n v="1032"/>
    <x v="4"/>
    <s v="South Jordan"/>
    <d v="2026-05-13T00:00:00"/>
    <d v="2026-05-10T00:00:00"/>
    <d v="2026-05-22T00:00:00"/>
    <n v="99.42"/>
    <x v="1"/>
  </r>
  <r>
    <x v="29"/>
    <n v="1033"/>
    <x v="3"/>
    <s v="South Jordan"/>
    <d v="2026-02-27T00:00:00"/>
    <d v="2026-02-28T00:00:00"/>
    <d v="2026-03-09T00:00:00"/>
    <n v="83.94"/>
    <x v="2"/>
  </r>
  <r>
    <x v="30"/>
    <n v="1034"/>
    <x v="1"/>
    <s v="West Valley"/>
    <d v="2026-02-04T00:00:00"/>
    <d v="2026-02-09T00:00:00"/>
    <d v="2026-02-07T00:00:00"/>
    <n v="85.37"/>
    <x v="2"/>
  </r>
  <r>
    <x v="31"/>
    <n v="1035"/>
    <x v="5"/>
    <s v="South Jordan"/>
    <d v="2026-04-11T00:00:00"/>
    <d v="2026-04-18T00:00:00"/>
    <d v="2026-04-19T00:00:00"/>
    <n v="77.64"/>
    <x v="2"/>
  </r>
  <r>
    <x v="32"/>
    <n v="1036"/>
    <x v="1"/>
    <s v="Draper"/>
    <d v="2026-04-19T00:00:00"/>
    <d v="2026-04-22T00:00:00"/>
    <d v="2026-04-22T00:00:00"/>
    <n v="826.92"/>
    <x v="1"/>
  </r>
  <r>
    <x v="33"/>
    <n v="1038"/>
    <x v="5"/>
    <s v="Salt Lake City"/>
    <d v="2026-01-21T00:00:00"/>
    <d v="2026-01-25T00:00:00"/>
    <d v="2026-01-24T00:00:00"/>
    <n v="78.42"/>
    <x v="1"/>
  </r>
  <r>
    <x v="34"/>
    <n v="1039"/>
    <x v="1"/>
    <s v="Draper"/>
    <d v="2026-02-12T00:00:00"/>
    <d v="2026-02-18T00:00:00"/>
    <d v="2026-02-19T00:00:00"/>
    <n v="44.78"/>
    <x v="1"/>
  </r>
  <r>
    <x v="35"/>
    <n v="1040"/>
    <x v="0"/>
    <s v="West Valley"/>
    <d v="2026-01-31T00:00:00"/>
    <d v="2026-01-28T00:00:00"/>
    <d v="2026-02-02T00:00:00"/>
    <n v="65.28"/>
    <x v="2"/>
  </r>
  <r>
    <x v="36"/>
    <n v="1041"/>
    <x v="2"/>
    <s v="South Jordan"/>
    <d v="2026-04-15T00:00:00"/>
    <d v="2026-04-16T00:00:00"/>
    <d v="2026-04-20T00:00:00"/>
    <n v="76.91"/>
    <x v="0"/>
  </r>
  <r>
    <x v="37"/>
    <n v="1042"/>
    <x v="5"/>
    <s v="Draper"/>
    <d v="2026-01-25T00:00:00"/>
    <d v="2026-01-29T00:00:00"/>
    <d v="2026-02-01T00:00:00"/>
    <n v="88.68"/>
    <x v="0"/>
  </r>
  <r>
    <x v="38"/>
    <n v="1043"/>
    <x v="4"/>
    <s v="Lehi"/>
    <d v="2026-04-21T00:00:00"/>
    <d v="2026-04-25T00:00:00"/>
    <d v="2026-04-29T00:00:00"/>
    <n v="114.55"/>
    <x v="2"/>
  </r>
  <r>
    <x v="39"/>
    <n v="1044"/>
    <x v="5"/>
    <s v="South Jordan"/>
    <d v="2026-04-13T00:00:00"/>
    <d v="2026-04-08T00:00:00"/>
    <d v="2026-04-18T00:00:00"/>
    <n v="86.63"/>
    <x v="0"/>
  </r>
  <r>
    <x v="40"/>
    <n v="1045"/>
    <x v="1"/>
    <s v="Draper"/>
    <d v="2026-05-10T00:00:00"/>
    <d v="2026-05-14T00:00:00"/>
    <d v="2026-05-11T00:00:00"/>
    <n v="58.72"/>
    <x v="0"/>
  </r>
  <r>
    <x v="41"/>
    <n v="1046"/>
    <x v="4"/>
    <s v="Draper"/>
    <d v="2026-04-17T00:00:00"/>
    <d v="2026-04-22T00:00:00"/>
    <d v="2026-04-21T00:00:00"/>
    <n v="37.83"/>
    <x v="0"/>
  </r>
  <r>
    <x v="42"/>
    <n v="1047"/>
    <x v="5"/>
    <s v="Draper"/>
    <d v="2026-04-09T00:00:00"/>
    <d v="2026-04-07T00:00:00"/>
    <d v="2026-04-16T00:00:00"/>
    <n v="102.48"/>
    <x v="1"/>
  </r>
  <r>
    <x v="43"/>
    <n v="1048"/>
    <x v="4"/>
    <s v="South Jordan"/>
    <d v="2026-03-08T00:00:00"/>
    <d v="2026-03-09T00:00:00"/>
    <d v="2026-03-10T00:00:00"/>
    <n v="71.37"/>
    <x v="0"/>
  </r>
  <r>
    <x v="44"/>
    <n v="1049"/>
    <x v="1"/>
    <s v="Salt Lake City"/>
    <d v="2026-01-16T00:00:00"/>
    <d v="2026-01-19T00:00:00"/>
    <d v="2026-01-19T00:00:00"/>
    <n v="94.47"/>
    <x v="2"/>
  </r>
  <r>
    <x v="45"/>
    <n v="1050"/>
    <x v="1"/>
    <s v="Lehi"/>
    <d v="2026-05-02T00:00:00"/>
    <d v="2026-04-30T00:00:00"/>
    <d v="2026-05-10T00:00:00"/>
    <n v="34.74"/>
    <x v="1"/>
  </r>
  <r>
    <x v="46"/>
    <n v="1051"/>
    <x v="2"/>
    <s v="South Jordan"/>
    <d v="2026-01-20T00:00:00"/>
    <d v="2026-01-15T00:00:00"/>
    <d v="2026-01-25T00:00:00"/>
    <n v="99.13"/>
    <x v="1"/>
  </r>
  <r>
    <x v="47"/>
    <n v="1052"/>
    <x v="5"/>
    <s v="Salt Lake City"/>
    <d v="2026-03-14T00:00:00"/>
    <d v="2026-03-12T00:00:00"/>
    <d v="2026-03-16T00:00:00"/>
    <n v="71.55"/>
    <x v="0"/>
  </r>
  <r>
    <x v="48"/>
    <n v="1053"/>
    <x v="2"/>
    <s v="Salt Lake City"/>
    <d v="2026-02-19T00:00:00"/>
    <d v="2026-02-23T00:00:00"/>
    <d v="2026-03-01T00:00:00"/>
    <n v="54.25"/>
    <x v="0"/>
  </r>
  <r>
    <x v="49"/>
    <n v="1054"/>
    <x v="1"/>
    <s v="South Jordan"/>
    <d v="2026-04-25T00:00:00"/>
    <d v="2026-04-26T00:00:00"/>
    <d v="2026-05-03T00:00:00"/>
    <n v="11.07"/>
    <x v="2"/>
  </r>
  <r>
    <x v="50"/>
    <n v="1055"/>
    <x v="5"/>
    <s v="Draper"/>
    <d v="2026-03-12T00:00:00"/>
    <d v="2026-03-09T00:00:00"/>
    <d v="2026-03-22T00:00:00"/>
    <n v="119.95"/>
    <x v="2"/>
  </r>
  <r>
    <x v="51"/>
    <n v="1056"/>
    <x v="3"/>
    <s v="Draper"/>
    <d v="2026-03-18T00:00:00"/>
    <d v="2026-03-12T00:00:00"/>
    <d v="2026-03-24T00:00:00"/>
    <n v="113.92"/>
    <x v="0"/>
  </r>
  <r>
    <x v="52"/>
    <n v="1057"/>
    <x v="1"/>
    <s v="West Valley"/>
    <d v="2026-03-28T00:00:00"/>
    <d v="2026-03-26T00:00:00"/>
    <d v="2026-03-29T00:00:00"/>
    <n v="42.48"/>
    <x v="2"/>
  </r>
  <r>
    <x v="53"/>
    <n v="1058"/>
    <x v="4"/>
    <s v="West Valley"/>
    <d v="2026-03-25T00:00:00"/>
    <d v="2026-03-27T00:00:00"/>
    <d v="2026-04-01T00:00:00"/>
    <n v="95.85"/>
    <x v="2"/>
  </r>
  <r>
    <x v="54"/>
    <n v="1059"/>
    <x v="3"/>
    <s v="Draper"/>
    <d v="2026-04-10T00:00:00"/>
    <d v="2026-04-04T00:00:00"/>
    <d v="2026-04-13T00:00:00"/>
    <n v="73.88"/>
    <x v="1"/>
  </r>
  <r>
    <x v="55"/>
    <n v="1060"/>
    <x v="1"/>
    <s v="Salt Lake City"/>
    <d v="2026-02-05T00:00:00"/>
    <d v="2026-01-29T00:00:00"/>
    <d v="2026-02-11T00:00:00"/>
    <n v="55.81"/>
    <x v="1"/>
  </r>
  <r>
    <x v="56"/>
    <n v="1061"/>
    <x v="2"/>
    <s v="Draper"/>
    <d v="2026-03-12T00:00:00"/>
    <d v="2026-03-12T00:00:00"/>
    <d v="2026-03-19T00:00:00"/>
    <n v="44.74"/>
    <x v="2"/>
  </r>
  <r>
    <x v="57"/>
    <n v="1062"/>
    <x v="5"/>
    <s v="West Valley"/>
    <d v="2026-04-30T00:00:00"/>
    <d v="2026-04-29T00:00:00"/>
    <d v="2026-05-07T00:00:00"/>
    <n v="22.66"/>
    <x v="1"/>
  </r>
  <r>
    <x v="58"/>
    <n v="1063"/>
    <x v="3"/>
    <s v="South Jordan"/>
    <d v="2026-05-13T00:00:00"/>
    <d v="2026-05-08T00:00:00"/>
    <d v="2026-05-18T00:00:00"/>
    <n v="31.56"/>
    <x v="2"/>
  </r>
  <r>
    <x v="59"/>
    <n v="1065"/>
    <x v="5"/>
    <s v="Draper"/>
    <d v="2026-03-22T00:00:00"/>
    <d v="2026-03-21T00:00:00"/>
    <d v="2026-03-27T00:00:00"/>
    <n v="30.24"/>
    <x v="0"/>
  </r>
  <r>
    <x v="60"/>
    <n v="1066"/>
    <x v="2"/>
    <s v="Salt Lake City"/>
    <d v="2026-01-23T00:00:00"/>
    <d v="2026-01-25T00:00:00"/>
    <d v="2026-01-27T00:00:00"/>
    <n v="97.78"/>
    <x v="0"/>
  </r>
  <r>
    <x v="61"/>
    <n v="1067"/>
    <x v="5"/>
    <s v="Salt Lake City"/>
    <d v="2026-02-22T00:00:00"/>
    <d v="2026-02-27T00:00:00"/>
    <d v="2026-03-04T00:00:00"/>
    <n v="71.59"/>
    <x v="1"/>
  </r>
  <r>
    <x v="62"/>
    <n v="1069"/>
    <x v="5"/>
    <s v="Draper"/>
    <d v="2026-01-08T00:00:00"/>
    <d v="2026-01-11T00:00:00"/>
    <d v="2026-01-16T00:00:00"/>
    <n v="92.1"/>
    <x v="0"/>
  </r>
  <r>
    <x v="63"/>
    <n v="1070"/>
    <x v="3"/>
    <s v="South Jordan"/>
    <d v="2026-03-25T00:00:00"/>
    <d v="2026-03-28T00:00:00"/>
    <d v="2026-03-29T00:00:00"/>
    <n v="35.78"/>
    <x v="0"/>
  </r>
  <r>
    <x v="64"/>
    <n v="1071"/>
    <x v="4"/>
    <s v="Salt Lake City"/>
    <d v="2026-01-17T00:00:00"/>
    <d v="2026-01-11T00:00:00"/>
    <d v="2026-01-22T00:00:00"/>
    <n v="79.58"/>
    <x v="0"/>
  </r>
  <r>
    <x v="65"/>
    <n v="1072"/>
    <x v="2"/>
    <s v="Lehi"/>
    <d v="2026-02-12T00:00:00"/>
    <d v="2026-02-07T00:00:00"/>
    <d v="2026-02-19T00:00:00"/>
    <n v="107.88"/>
    <x v="2"/>
  </r>
  <r>
    <x v="66"/>
    <n v="1073"/>
    <x v="3"/>
    <s v="South Jordan"/>
    <d v="2026-05-07T00:00:00"/>
    <d v="2026-05-03T00:00:00"/>
    <d v="2026-05-08T00:00:00"/>
    <n v="97.43"/>
    <x v="1"/>
  </r>
  <r>
    <x v="67"/>
    <n v="1074"/>
    <x v="3"/>
    <s v="Draper"/>
    <d v="2026-02-08T00:00:00"/>
    <d v="2026-02-07T00:00:00"/>
    <d v="2026-02-16T00:00:00"/>
    <n v="18.84"/>
    <x v="1"/>
  </r>
  <r>
    <x v="68"/>
    <n v="1075"/>
    <x v="1"/>
    <s v="Draper"/>
    <d v="2026-01-30T00:00:00"/>
    <d v="2026-01-27T00:00:00"/>
    <d v="2026-02-06T00:00:00"/>
    <n v="10.27"/>
    <x v="1"/>
  </r>
  <r>
    <x v="69"/>
    <n v="1076"/>
    <x v="2"/>
    <s v="South Jordan"/>
    <d v="2026-04-21T00:00:00"/>
    <d v="2026-04-17T00:00:00"/>
    <d v="2026-04-24T00:00:00"/>
    <n v="75.28"/>
    <x v="0"/>
  </r>
  <r>
    <x v="70"/>
    <n v="1077"/>
    <x v="3"/>
    <s v="Lehi"/>
    <d v="2026-04-11T00:00:00"/>
    <d v="2026-04-16T00:00:00"/>
    <d v="2026-04-17T00:00:00"/>
    <n v="40.200000000000003"/>
    <x v="2"/>
  </r>
  <r>
    <x v="71"/>
    <n v="1078"/>
    <x v="3"/>
    <s v="Salt Lake City"/>
    <d v="2026-01-17T00:00:00"/>
    <d v="2026-01-21T00:00:00"/>
    <d v="2026-01-18T00:00:00"/>
    <n v="47.52"/>
    <x v="1"/>
  </r>
  <r>
    <x v="72"/>
    <n v="1079"/>
    <x v="4"/>
    <s v="Salt Lake City"/>
    <d v="2026-01-13T00:00:00"/>
    <d v="2026-01-19T00:00:00"/>
    <d v="2026-01-18T00:00:00"/>
    <n v="59.03"/>
    <x v="1"/>
  </r>
  <r>
    <x v="73"/>
    <n v="1080"/>
    <x v="5"/>
    <s v="South Jordan"/>
    <d v="2026-04-25T00:00:00"/>
    <d v="2026-04-21T00:00:00"/>
    <d v="2026-05-01T00:00:00"/>
    <n v="85.6"/>
    <x v="2"/>
  </r>
  <r>
    <x v="74"/>
    <n v="1081"/>
    <x v="0"/>
    <s v="Draper"/>
    <d v="2026-05-04T00:00:00"/>
    <d v="2026-05-10T00:00:00"/>
    <d v="2026-05-06T00:00:00"/>
    <n v="87.93"/>
    <x v="0"/>
  </r>
  <r>
    <x v="75"/>
    <n v="1083"/>
    <x v="4"/>
    <s v="Salt Lake City"/>
    <d v="2026-03-26T00:00:00"/>
    <d v="2026-03-26T00:00:00"/>
    <d v="2026-04-03T00:00:00"/>
    <n v="114.79"/>
    <x v="1"/>
  </r>
  <r>
    <x v="76"/>
    <n v="1084"/>
    <x v="4"/>
    <s v="Draper"/>
    <d v="2026-04-02T00:00:00"/>
    <d v="2026-04-04T00:00:00"/>
    <d v="2026-04-03T00:00:00"/>
    <n v="104.06"/>
    <x v="0"/>
  </r>
  <r>
    <x v="77"/>
    <n v="1085"/>
    <x v="4"/>
    <s v="West Valley"/>
    <d v="2026-05-14T00:00:00"/>
    <d v="2026-05-11T00:00:00"/>
    <d v="2026-05-24T00:00:00"/>
    <n v="87.96"/>
    <x v="1"/>
  </r>
  <r>
    <x v="78"/>
    <n v="1086"/>
    <x v="2"/>
    <s v="West Valley"/>
    <d v="2026-02-01T00:00:00"/>
    <d v="2026-01-30T00:00:00"/>
    <d v="2026-02-09T00:00:00"/>
    <n v="104.85"/>
    <x v="2"/>
  </r>
  <r>
    <x v="79"/>
    <n v="1087"/>
    <x v="4"/>
    <s v="Salt Lake City"/>
    <d v="2026-04-01T00:00:00"/>
    <d v="2026-03-31T00:00:00"/>
    <d v="2026-04-07T00:00:00"/>
    <n v="17.77"/>
    <x v="0"/>
  </r>
  <r>
    <x v="80"/>
    <n v="1088"/>
    <x v="5"/>
    <s v="Draper"/>
    <d v="2026-04-23T00:00:00"/>
    <d v="2026-04-21T00:00:00"/>
    <d v="2026-05-01T00:00:00"/>
    <n v="114.24"/>
    <x v="0"/>
  </r>
  <r>
    <x v="81"/>
    <n v="1089"/>
    <x v="2"/>
    <s v="Draper"/>
    <d v="2026-03-26T00:00:00"/>
    <d v="2026-03-30T00:00:00"/>
    <d v="2026-04-05T00:00:00"/>
    <n v="26.73"/>
    <x v="0"/>
  </r>
  <r>
    <x v="82"/>
    <n v="1090"/>
    <x v="0"/>
    <s v="South Jordan"/>
    <d v="2026-02-19T00:00:00"/>
    <d v="2026-02-20T00:00:00"/>
    <d v="2026-02-26T00:00:00"/>
    <n v="80.27"/>
    <x v="0"/>
  </r>
  <r>
    <x v="83"/>
    <n v="1092"/>
    <x v="1"/>
    <s v="Lehi"/>
    <d v="2026-02-02T00:00:00"/>
    <d v="2026-02-10T00:00:00"/>
    <d v="2026-02-03T00:00:00"/>
    <n v="27.19"/>
    <x v="1"/>
  </r>
  <r>
    <x v="84"/>
    <n v="1093"/>
    <x v="2"/>
    <s v="South Jordan"/>
    <d v="2026-02-09T00:00:00"/>
    <d v="2026-02-13T00:00:00"/>
    <d v="2026-02-14T00:00:00"/>
    <n v="84.38"/>
    <x v="0"/>
  </r>
  <r>
    <x v="85"/>
    <n v="1094"/>
    <x v="0"/>
    <s v="Lehi"/>
    <d v="2026-03-23T00:00:00"/>
    <d v="2026-03-25T00:00:00"/>
    <d v="2026-04-01T00:00:00"/>
    <n v="17.850000000000001"/>
    <x v="2"/>
  </r>
  <r>
    <x v="86"/>
    <n v="1095"/>
    <x v="2"/>
    <s v="Salt Lake City"/>
    <d v="2026-02-18T00:00:00"/>
    <d v="2026-02-13T00:00:00"/>
    <d v="2026-02-27T00:00:00"/>
    <n v="22.49"/>
    <x v="1"/>
  </r>
  <r>
    <x v="87"/>
    <n v="1096"/>
    <x v="5"/>
    <s v="South Jordan"/>
    <d v="2026-02-25T00:00:00"/>
    <d v="2026-03-05T00:00:00"/>
    <d v="2026-03-03T00:00:00"/>
    <n v="48.24"/>
    <x v="1"/>
  </r>
  <r>
    <x v="88"/>
    <n v="1097"/>
    <x v="4"/>
    <s v="Draper"/>
    <d v="2026-03-21T00:00:00"/>
    <d v="2026-03-21T00:00:00"/>
    <d v="2026-03-28T00:00:00"/>
    <n v="79"/>
    <x v="0"/>
  </r>
  <r>
    <x v="89"/>
    <n v="1098"/>
    <x v="2"/>
    <s v="South Jordan"/>
    <d v="2026-05-05T00:00:00"/>
    <d v="2026-04-30T00:00:00"/>
    <d v="2026-05-15T00:00:00"/>
    <n v="99.31"/>
    <x v="0"/>
  </r>
  <r>
    <x v="90"/>
    <n v="1099"/>
    <x v="1"/>
    <s v="South Jordan"/>
    <d v="2026-04-19T00:00:00"/>
    <d v="2026-04-19T00:00:00"/>
    <d v="2026-04-20T00:00:00"/>
    <n v="58.98"/>
    <x v="1"/>
  </r>
  <r>
    <x v="91"/>
    <n v="1100"/>
    <x v="3"/>
    <s v="Lehi"/>
    <d v="2026-03-19T00:00:00"/>
    <d v="2026-03-22T00:00:00"/>
    <d v="2026-03-28T00:00:00"/>
    <n v="20.52"/>
    <x v="2"/>
  </r>
  <r>
    <x v="92"/>
    <n v="1101"/>
    <x v="3"/>
    <s v="South Jordan"/>
    <d v="2026-02-02T00:00:00"/>
    <d v="2026-02-06T00:00:00"/>
    <d v="2026-02-04T00:00:00"/>
    <n v="33.08"/>
    <x v="1"/>
  </r>
  <r>
    <x v="93"/>
    <n v="1102"/>
    <x v="2"/>
    <s v="Draper"/>
    <d v="2026-04-10T00:00:00"/>
    <d v="2026-04-05T00:00:00"/>
    <d v="2026-04-20T00:00:00"/>
    <n v="69.760000000000005"/>
    <x v="0"/>
  </r>
  <r>
    <x v="94"/>
    <n v="1103"/>
    <x v="3"/>
    <s v="Salt Lake City"/>
    <d v="2026-03-25T00:00:00"/>
    <d v="2026-03-29T00:00:00"/>
    <d v="2026-03-27T00:00:00"/>
    <n v="88.38"/>
    <x v="1"/>
  </r>
  <r>
    <x v="95"/>
    <n v="1104"/>
    <x v="3"/>
    <s v="Draper"/>
    <d v="2026-04-19T00:00:00"/>
    <d v="2026-04-18T00:00:00"/>
    <d v="2026-04-28T00:00:00"/>
    <n v="5.23"/>
    <x v="1"/>
  </r>
  <r>
    <x v="96"/>
    <n v="1105"/>
    <x v="2"/>
    <s v="South Jordan"/>
    <d v="2026-02-04T00:00:00"/>
    <d v="2026-02-12T00:00:00"/>
    <d v="2026-02-08T00:00:00"/>
    <n v="64.069999999999993"/>
    <x v="0"/>
  </r>
  <r>
    <x v="97"/>
    <n v="1106"/>
    <x v="0"/>
    <s v="Salt Lake City"/>
    <d v="2026-01-20T00:00:00"/>
    <d v="2026-01-18T00:00:00"/>
    <d v="2026-01-30T00:00:00"/>
    <n v="24.17"/>
    <x v="1"/>
  </r>
  <r>
    <x v="98"/>
    <n v="1107"/>
    <x v="2"/>
    <s v="South Jordan"/>
    <d v="2026-03-15T00:00:00"/>
    <d v="2026-03-09T00:00:00"/>
    <d v="2026-03-22T00:00:00"/>
    <n v="98.1"/>
    <x v="0"/>
  </r>
  <r>
    <x v="99"/>
    <n v="1108"/>
    <x v="2"/>
    <s v="South Jordan"/>
    <d v="2026-03-04T00:00:00"/>
    <d v="2026-02-27T00:00:00"/>
    <d v="2026-03-06T00:00:00"/>
    <n v="29.12"/>
    <x v="2"/>
  </r>
  <r>
    <x v="100"/>
    <n v="1109"/>
    <x v="3"/>
    <s v="South Jordan"/>
    <d v="2026-02-27T00:00:00"/>
    <d v="2026-02-28T00:00:00"/>
    <d v="2026-02-28T00:00:00"/>
    <n v="27.47"/>
    <x v="2"/>
  </r>
  <r>
    <x v="101"/>
    <n v="1110"/>
    <x v="4"/>
    <s v="South Jordan"/>
    <d v="2026-02-02T00:00:00"/>
    <d v="2026-01-31T00:00:00"/>
    <d v="2026-02-03T00:00:00"/>
    <n v="108.05"/>
    <x v="1"/>
  </r>
  <r>
    <x v="102"/>
    <n v="1112"/>
    <x v="1"/>
    <s v="South Jordan"/>
    <d v="2026-02-08T00:00:00"/>
    <d v="2026-02-04T00:00:00"/>
    <d v="2026-02-18T00:00:00"/>
    <n v="35.97"/>
    <x v="1"/>
  </r>
  <r>
    <x v="103"/>
    <n v="1113"/>
    <x v="5"/>
    <s v="Lehi"/>
    <d v="2026-05-04T00:00:00"/>
    <d v="2026-05-07T00:00:00"/>
    <d v="2026-05-12T00:00:00"/>
    <n v="111.4"/>
    <x v="2"/>
  </r>
  <r>
    <x v="104"/>
    <n v="1114"/>
    <x v="2"/>
    <s v="South Jordan"/>
    <d v="2026-04-06T00:00:00"/>
    <d v="2026-04-07T00:00:00"/>
    <d v="2026-04-11T00:00:00"/>
    <n v="94.44"/>
    <x v="1"/>
  </r>
  <r>
    <x v="105"/>
    <n v="1115"/>
    <x v="2"/>
    <s v="Salt Lake City"/>
    <d v="2026-02-25T00:00:00"/>
    <d v="2026-02-25T00:00:00"/>
    <d v="2026-03-01T00:00:00"/>
    <n v="74.34"/>
    <x v="1"/>
  </r>
  <r>
    <x v="106"/>
    <n v="1116"/>
    <x v="4"/>
    <s v="South Jordan"/>
    <d v="2026-02-21T00:00:00"/>
    <d v="2026-02-18T00:00:00"/>
    <d v="2026-03-02T00:00:00"/>
    <n v="98.33"/>
    <x v="0"/>
  </r>
  <r>
    <x v="107"/>
    <n v="1117"/>
    <x v="2"/>
    <s v="West Valley"/>
    <d v="2026-05-13T00:00:00"/>
    <d v="2026-05-11T00:00:00"/>
    <d v="2026-05-19T00:00:00"/>
    <n v="12.82"/>
    <x v="1"/>
  </r>
  <r>
    <x v="108"/>
    <n v="1118"/>
    <x v="5"/>
    <s v="South Jordan"/>
    <d v="2026-03-05T00:00:00"/>
    <d v="2026-03-01T00:00:00"/>
    <d v="2026-03-08T00:00:00"/>
    <n v="94.36"/>
    <x v="1"/>
  </r>
  <r>
    <x v="109"/>
    <n v="1119"/>
    <x v="3"/>
    <s v="West Valley"/>
    <d v="2026-01-01T00:00:00"/>
    <d v="2026-01-08T00:00:00"/>
    <d v="2026-01-08T00:00:00"/>
    <n v="59.49"/>
    <x v="0"/>
  </r>
  <r>
    <x v="110"/>
    <n v="1120"/>
    <x v="2"/>
    <s v="Draper"/>
    <d v="2026-02-16T00:00:00"/>
    <d v="2026-02-19T00:00:00"/>
    <d v="2026-02-22T00:00:00"/>
    <n v="46.35"/>
    <x v="1"/>
  </r>
  <r>
    <x v="111"/>
    <n v="1121"/>
    <x v="1"/>
    <s v="West Valley"/>
    <d v="2026-02-05T00:00:00"/>
    <d v="2026-02-06T00:00:00"/>
    <d v="2026-02-08T00:00:00"/>
    <n v="531.84"/>
    <x v="0"/>
  </r>
  <r>
    <x v="112"/>
    <n v="1123"/>
    <x v="1"/>
    <s v="Draper"/>
    <d v="2026-03-13T00:00:00"/>
    <d v="2026-03-09T00:00:00"/>
    <d v="2026-03-20T00:00:00"/>
    <n v="75.180000000000007"/>
    <x v="1"/>
  </r>
  <r>
    <x v="113"/>
    <n v="1124"/>
    <x v="4"/>
    <s v="Salt Lake City"/>
    <d v="2026-04-17T00:00:00"/>
    <d v="2026-04-21T00:00:00"/>
    <d v="2026-04-21T00:00:00"/>
    <n v="80.790000000000006"/>
    <x v="2"/>
  </r>
  <r>
    <x v="114"/>
    <n v="1125"/>
    <x v="4"/>
    <s v="South Jordan"/>
    <d v="2026-02-19T00:00:00"/>
    <d v="2026-02-14T00:00:00"/>
    <d v="2026-02-21T00:00:00"/>
    <n v="34.44"/>
    <x v="1"/>
  </r>
  <r>
    <x v="115"/>
    <n v="1126"/>
    <x v="3"/>
    <s v="South Jordan"/>
    <d v="2026-03-08T00:00:00"/>
    <d v="2026-03-06T00:00:00"/>
    <d v="2026-03-16T00:00:00"/>
    <n v="77.2"/>
    <x v="1"/>
  </r>
  <r>
    <x v="116"/>
    <n v="1129"/>
    <x v="3"/>
    <s v="Lehi"/>
    <d v="2026-03-06T00:00:00"/>
    <d v="2026-03-08T00:00:00"/>
    <d v="2026-03-10T00:00:00"/>
    <n v="63.93"/>
    <x v="1"/>
  </r>
  <r>
    <x v="117"/>
    <n v="1130"/>
    <x v="5"/>
    <s v="Draper"/>
    <d v="2026-03-12T00:00:00"/>
    <d v="2026-03-14T00:00:00"/>
    <d v="2026-03-13T00:00:00"/>
    <n v="21.65"/>
    <x v="0"/>
  </r>
  <r>
    <x v="118"/>
    <n v="1131"/>
    <x v="0"/>
    <s v="South Jordan"/>
    <d v="2026-03-19T00:00:00"/>
    <d v="2026-03-16T00:00:00"/>
    <d v="2026-03-28T00:00:00"/>
    <n v="58.54"/>
    <x v="0"/>
  </r>
  <r>
    <x v="119"/>
    <n v="1132"/>
    <x v="5"/>
    <s v="Draper"/>
    <d v="2026-02-03T00:00:00"/>
    <d v="2026-02-05T00:00:00"/>
    <d v="2026-02-04T00:00:00"/>
    <n v="104.18"/>
    <x v="0"/>
  </r>
  <r>
    <x v="120"/>
    <n v="1133"/>
    <x v="5"/>
    <s v="Draper"/>
    <d v="2026-04-02T00:00:00"/>
    <d v="2026-04-01T00:00:00"/>
    <d v="2026-04-10T00:00:00"/>
    <n v="83.86"/>
    <x v="2"/>
  </r>
  <r>
    <x v="121"/>
    <n v="1134"/>
    <x v="5"/>
    <s v="South Jordan"/>
    <d v="2026-05-10T00:00:00"/>
    <d v="2026-05-10T00:00:00"/>
    <d v="2026-05-17T00:00:00"/>
    <n v="45.55"/>
    <x v="0"/>
  </r>
  <r>
    <x v="122"/>
    <n v="1135"/>
    <x v="3"/>
    <s v="West Valley"/>
    <d v="2026-03-17T00:00:00"/>
    <d v="2026-03-23T00:00:00"/>
    <d v="2026-03-20T00:00:00"/>
    <n v="56.13"/>
    <x v="0"/>
  </r>
  <r>
    <x v="123"/>
    <n v="1136"/>
    <x v="0"/>
    <s v="West Valley"/>
    <d v="2026-01-03T00:00:00"/>
    <d v="2026-01-07T00:00:00"/>
    <d v="2026-01-11T00:00:00"/>
    <n v="92.83"/>
    <x v="0"/>
  </r>
  <r>
    <x v="124"/>
    <n v="1137"/>
    <x v="4"/>
    <s v="South Jordan"/>
    <d v="2026-03-26T00:00:00"/>
    <d v="2026-03-26T00:00:00"/>
    <d v="2026-04-03T00:00:00"/>
    <n v="26.23"/>
    <x v="0"/>
  </r>
  <r>
    <x v="125"/>
    <n v="1138"/>
    <x v="2"/>
    <s v="West Valley"/>
    <d v="2026-03-13T00:00:00"/>
    <d v="2026-03-14T00:00:00"/>
    <d v="2026-03-14T00:00:00"/>
    <n v="45.87"/>
    <x v="0"/>
  </r>
  <r>
    <x v="126"/>
    <n v="1139"/>
    <x v="3"/>
    <s v="Draper"/>
    <d v="2026-03-10T00:00:00"/>
    <d v="2026-03-17T00:00:00"/>
    <d v="2026-03-14T00:00:00"/>
    <n v="65.67"/>
    <x v="1"/>
  </r>
  <r>
    <x v="127"/>
    <n v="1140"/>
    <x v="1"/>
    <s v="Draper"/>
    <d v="2026-02-19T00:00:00"/>
    <d v="2026-02-20T00:00:00"/>
    <d v="2026-02-26T00:00:00"/>
    <n v="99.83"/>
    <x v="0"/>
  </r>
  <r>
    <x v="128"/>
    <n v="1142"/>
    <x v="1"/>
    <s v="Salt Lake City"/>
    <d v="2026-05-13T00:00:00"/>
    <d v="2026-05-15T00:00:00"/>
    <d v="2026-05-18T00:00:00"/>
    <n v="14.66"/>
    <x v="1"/>
  </r>
  <r>
    <x v="129"/>
    <n v="1143"/>
    <x v="2"/>
    <s v="Salt Lake City"/>
    <d v="2026-05-04T00:00:00"/>
    <d v="2026-05-06T00:00:00"/>
    <d v="2026-05-10T00:00:00"/>
    <n v="44.36"/>
    <x v="2"/>
  </r>
  <r>
    <x v="130"/>
    <n v="1144"/>
    <x v="2"/>
    <s v="South Jordan"/>
    <d v="2026-01-07T00:00:00"/>
    <d v="2026-01-09T00:00:00"/>
    <d v="2026-01-11T00:00:00"/>
    <n v="21.77"/>
    <x v="1"/>
  </r>
  <r>
    <x v="131"/>
    <n v="1145"/>
    <x v="3"/>
    <s v="Draper"/>
    <d v="2026-05-11T00:00:00"/>
    <d v="2026-05-15T00:00:00"/>
    <d v="2026-05-20T00:00:00"/>
    <n v="26.98"/>
    <x v="1"/>
  </r>
  <r>
    <x v="132"/>
    <n v="1146"/>
    <x v="4"/>
    <s v="Salt Lake City"/>
    <d v="2026-03-04T00:00:00"/>
    <d v="2026-03-08T00:00:00"/>
    <d v="2026-03-08T00:00:00"/>
    <n v="83.5"/>
    <x v="0"/>
  </r>
  <r>
    <x v="133"/>
    <n v="1147"/>
    <x v="4"/>
    <s v="Salt Lake City"/>
    <d v="2026-01-21T00:00:00"/>
    <d v="2026-01-19T00:00:00"/>
    <d v="2026-01-31T00:00:00"/>
    <n v="88.67"/>
    <x v="0"/>
  </r>
  <r>
    <x v="134"/>
    <n v="1149"/>
    <x v="3"/>
    <s v="Lehi"/>
    <d v="2026-04-07T00:00:00"/>
    <d v="2026-04-12T00:00:00"/>
    <d v="2026-04-13T00:00:00"/>
    <n v="45.22"/>
    <x v="0"/>
  </r>
  <r>
    <x v="135"/>
    <n v="1150"/>
    <x v="4"/>
    <s v="Draper"/>
    <d v="2026-03-10T00:00:00"/>
    <d v="2026-03-13T00:00:00"/>
    <d v="2026-03-16T00:00:00"/>
    <n v="56.1"/>
    <x v="1"/>
  </r>
  <r>
    <x v="136"/>
    <n v="1151"/>
    <x v="2"/>
    <s v="South Jordan"/>
    <d v="2026-02-22T00:00:00"/>
    <d v="2026-02-25T00:00:00"/>
    <d v="2026-02-25T00:00:00"/>
    <n v="88.34"/>
    <x v="1"/>
  </r>
  <r>
    <x v="137"/>
    <n v="1152"/>
    <x v="2"/>
    <s v="West Valley"/>
    <d v="2026-04-24T00:00:00"/>
    <d v="2026-05-01T00:00:00"/>
    <d v="2026-05-02T00:00:00"/>
    <n v="19.55"/>
    <x v="2"/>
  </r>
  <r>
    <x v="138"/>
    <n v="1153"/>
    <x v="3"/>
    <s v="South Jordan"/>
    <d v="2026-04-12T00:00:00"/>
    <d v="2026-04-12T00:00:00"/>
    <d v="2026-04-15T00:00:00"/>
    <n v="111.54"/>
    <x v="1"/>
  </r>
  <r>
    <x v="139"/>
    <n v="1154"/>
    <x v="1"/>
    <s v="South Jordan"/>
    <d v="2026-05-05T00:00:00"/>
    <d v="2026-04-30T00:00:00"/>
    <d v="2026-05-13T00:00:00"/>
    <n v="57"/>
    <x v="0"/>
  </r>
  <r>
    <x v="140"/>
    <n v="1155"/>
    <x v="4"/>
    <s v="South Jordan"/>
    <d v="2026-04-18T00:00:00"/>
    <d v="2026-04-12T00:00:00"/>
    <d v="2026-04-27T00:00:00"/>
    <n v="108.83"/>
    <x v="0"/>
  </r>
  <r>
    <x v="141"/>
    <n v="1156"/>
    <x v="4"/>
    <s v="Draper"/>
    <d v="2026-05-15T00:00:00"/>
    <d v="2026-05-11T00:00:00"/>
    <d v="2026-05-20T00:00:00"/>
    <n v="41.59"/>
    <x v="0"/>
  </r>
  <r>
    <x v="142"/>
    <n v="1157"/>
    <x v="2"/>
    <s v="Lehi"/>
    <d v="2026-01-25T00:00:00"/>
    <d v="2026-01-31T00:00:00"/>
    <d v="2026-01-26T00:00:00"/>
    <n v="52.67"/>
    <x v="2"/>
  </r>
  <r>
    <x v="143"/>
    <n v="1158"/>
    <x v="1"/>
    <s v="Lehi"/>
    <d v="2026-02-06T00:00:00"/>
    <d v="2026-02-05T00:00:00"/>
    <d v="2026-02-14T00:00:00"/>
    <n v="13.21"/>
    <x v="1"/>
  </r>
  <r>
    <x v="144"/>
    <n v="1159"/>
    <x v="5"/>
    <s v="Salt Lake City"/>
    <d v="2026-03-04T00:00:00"/>
    <d v="2026-03-01T00:00:00"/>
    <d v="2026-03-14T00:00:00"/>
    <n v="38.619999999999997"/>
    <x v="0"/>
  </r>
  <r>
    <x v="145"/>
    <n v="1160"/>
    <x v="5"/>
    <s v="Lehi"/>
    <d v="2026-02-15T00:00:00"/>
    <d v="2026-02-20T00:00:00"/>
    <d v="2026-02-24T00:00:00"/>
    <n v="11.53"/>
    <x v="1"/>
  </r>
  <r>
    <x v="146"/>
    <n v="1161"/>
    <x v="1"/>
    <s v="South Jordan"/>
    <d v="2026-04-19T00:00:00"/>
    <d v="2026-04-22T00:00:00"/>
    <d v="2026-04-29T00:00:00"/>
    <n v="119.42"/>
    <x v="1"/>
  </r>
  <r>
    <x v="147"/>
    <n v="1162"/>
    <x v="4"/>
    <s v="Draper"/>
    <d v="2026-05-16T00:00:00"/>
    <d v="2026-05-13T00:00:00"/>
    <d v="2026-05-23T00:00:00"/>
    <n v="9.2799999999999994"/>
    <x v="0"/>
  </r>
  <r>
    <x v="148"/>
    <n v="1163"/>
    <x v="3"/>
    <s v="Salt Lake City"/>
    <d v="2026-02-20T00:00:00"/>
    <d v="2026-02-23T00:00:00"/>
    <d v="2026-02-26T00:00:00"/>
    <n v="43.6"/>
    <x v="2"/>
  </r>
  <r>
    <x v="149"/>
    <n v="1165"/>
    <x v="5"/>
    <s v="South Jordan"/>
    <d v="2026-01-08T00:00:00"/>
    <d v="2026-01-12T00:00:00"/>
    <d v="2026-01-14T00:00:00"/>
    <n v="86.34"/>
    <x v="2"/>
  </r>
  <r>
    <x v="150"/>
    <n v="1166"/>
    <x v="3"/>
    <s v="Draper"/>
    <d v="2026-04-13T00:00:00"/>
    <d v="2026-04-10T00:00:00"/>
    <d v="2026-04-19T00:00:00"/>
    <n v="20.62"/>
    <x v="2"/>
  </r>
  <r>
    <x v="151"/>
    <n v="1167"/>
    <x v="4"/>
    <s v="Lehi"/>
    <d v="2026-01-14T00:00:00"/>
    <d v="2026-01-15T00:00:00"/>
    <d v="2026-01-15T00:00:00"/>
    <n v="15.96"/>
    <x v="0"/>
  </r>
  <r>
    <x v="152"/>
    <n v="1168"/>
    <x v="5"/>
    <s v="Draper"/>
    <d v="2026-03-24T00:00:00"/>
    <d v="2026-03-23T00:00:00"/>
    <d v="2026-03-25T00:00:00"/>
    <n v="115.16"/>
    <x v="1"/>
  </r>
  <r>
    <x v="153"/>
    <n v="1169"/>
    <x v="2"/>
    <s v="South Jordan"/>
    <d v="2026-04-06T00:00:00"/>
    <d v="2026-04-07T00:00:00"/>
    <d v="2026-04-07T00:00:00"/>
    <n v="16.29"/>
    <x v="2"/>
  </r>
  <r>
    <x v="154"/>
    <n v="1170"/>
    <x v="0"/>
    <s v="West Valley"/>
    <d v="2026-05-01T00:00:00"/>
    <d v="2026-04-28T00:00:00"/>
    <d v="2026-05-05T00:00:00"/>
    <n v="20.67"/>
    <x v="0"/>
  </r>
  <r>
    <x v="155"/>
    <n v="1171"/>
    <x v="0"/>
    <s v="Salt Lake City"/>
    <d v="2026-02-23T00:00:00"/>
    <d v="2026-02-18T00:00:00"/>
    <d v="2026-03-02T00:00:00"/>
    <n v="98.84"/>
    <x v="1"/>
  </r>
  <r>
    <x v="156"/>
    <n v="1172"/>
    <x v="4"/>
    <s v="Salt Lake City"/>
    <d v="2026-05-04T00:00:00"/>
    <d v="2026-05-05T00:00:00"/>
    <d v="2026-05-10T00:00:00"/>
    <n v="67.17"/>
    <x v="1"/>
  </r>
  <r>
    <x v="157"/>
    <n v="1173"/>
    <x v="3"/>
    <s v="South Jordan"/>
    <d v="2026-05-06T00:00:00"/>
    <d v="2026-05-12T00:00:00"/>
    <d v="2026-05-09T00:00:00"/>
    <n v="56.55"/>
    <x v="2"/>
  </r>
  <r>
    <x v="158"/>
    <n v="1174"/>
    <x v="0"/>
    <s v="Salt Lake City"/>
    <d v="2026-02-21T00:00:00"/>
    <d v="2026-03-01T00:00:00"/>
    <d v="2026-03-02T00:00:00"/>
    <n v="99.21"/>
    <x v="2"/>
  </r>
  <r>
    <x v="159"/>
    <n v="1175"/>
    <x v="2"/>
    <s v="South Jordan"/>
    <d v="2026-04-22T00:00:00"/>
    <d v="2026-04-23T00:00:00"/>
    <d v="2026-04-24T00:00:00"/>
    <n v="79.209999999999994"/>
    <x v="2"/>
  </r>
  <r>
    <x v="160"/>
    <n v="1176"/>
    <x v="3"/>
    <s v="South Jordan"/>
    <d v="2026-01-21T00:00:00"/>
    <d v="2026-01-24T00:00:00"/>
    <d v="2026-01-31T00:00:00"/>
    <n v="60.06"/>
    <x v="0"/>
  </r>
  <r>
    <x v="161"/>
    <n v="1177"/>
    <x v="3"/>
    <s v="West Valley"/>
    <d v="2026-02-13T00:00:00"/>
    <d v="2026-02-08T00:00:00"/>
    <d v="2026-02-21T00:00:00"/>
    <n v="56.67"/>
    <x v="0"/>
  </r>
  <r>
    <x v="162"/>
    <n v="1179"/>
    <x v="0"/>
    <s v="Salt Lake City"/>
    <d v="2026-01-17T00:00:00"/>
    <d v="2026-01-18T00:00:00"/>
    <d v="2026-01-20T00:00:00"/>
    <n v="75.430000000000007"/>
    <x v="0"/>
  </r>
  <r>
    <x v="163"/>
    <n v="1180"/>
    <x v="0"/>
    <s v="Salt Lake City"/>
    <d v="2026-02-23T00:00:00"/>
    <d v="2026-02-19T00:00:00"/>
    <d v="2026-02-26T00:00:00"/>
    <n v="28.46"/>
    <x v="1"/>
  </r>
  <r>
    <x v="164"/>
    <n v="1181"/>
    <x v="4"/>
    <s v="Lehi"/>
    <d v="2026-01-30T00:00:00"/>
    <d v="2026-02-05T00:00:00"/>
    <d v="2026-02-05T00:00:00"/>
    <n v="114.92"/>
    <x v="1"/>
  </r>
  <r>
    <x v="165"/>
    <n v="1183"/>
    <x v="5"/>
    <s v="Draper"/>
    <d v="2026-04-05T00:00:00"/>
    <d v="2026-04-07T00:00:00"/>
    <d v="2026-04-15T00:00:00"/>
    <n v="97.17"/>
    <x v="1"/>
  </r>
  <r>
    <x v="166"/>
    <n v="1184"/>
    <x v="5"/>
    <s v="Draper"/>
    <d v="2026-03-23T00:00:00"/>
    <d v="2026-03-20T00:00:00"/>
    <d v="2026-04-02T00:00:00"/>
    <n v="49.55"/>
    <x v="1"/>
  </r>
  <r>
    <x v="167"/>
    <n v="1185"/>
    <x v="4"/>
    <s v="Salt Lake City"/>
    <d v="2026-04-21T00:00:00"/>
    <d v="2026-04-27T00:00:00"/>
    <d v="2026-04-26T00:00:00"/>
    <n v="573.74"/>
    <x v="0"/>
  </r>
  <r>
    <x v="168"/>
    <n v="1186"/>
    <x v="4"/>
    <s v="Salt Lake City"/>
    <d v="2026-04-17T00:00:00"/>
    <d v="2026-04-14T00:00:00"/>
    <d v="2026-04-23T00:00:00"/>
    <n v="83.09"/>
    <x v="1"/>
  </r>
  <r>
    <x v="169"/>
    <n v="1187"/>
    <x v="1"/>
    <s v="Salt Lake City"/>
    <d v="2026-04-04T00:00:00"/>
    <d v="2026-03-31T00:00:00"/>
    <d v="2026-04-12T00:00:00"/>
    <n v="89.3"/>
    <x v="1"/>
  </r>
  <r>
    <x v="170"/>
    <n v="1188"/>
    <x v="5"/>
    <s v="Salt Lake City"/>
    <d v="2026-03-12T00:00:00"/>
    <d v="2026-03-09T00:00:00"/>
    <d v="2026-03-15T00:00:00"/>
    <n v="89.96"/>
    <x v="2"/>
  </r>
  <r>
    <x v="171"/>
    <n v="1189"/>
    <x v="5"/>
    <s v="Salt Lake City"/>
    <d v="2026-05-09T00:00:00"/>
    <d v="2026-05-08T00:00:00"/>
    <d v="2026-05-17T00:00:00"/>
    <n v="74.900000000000006"/>
    <x v="0"/>
  </r>
  <r>
    <x v="172"/>
    <n v="1190"/>
    <x v="1"/>
    <s v="Salt Lake City"/>
    <d v="2026-05-12T00:00:00"/>
    <d v="2026-05-10T00:00:00"/>
    <d v="2026-05-22T00:00:00"/>
    <n v="67.319999999999993"/>
    <x v="1"/>
  </r>
  <r>
    <x v="173"/>
    <n v="1192"/>
    <x v="4"/>
    <s v="Lehi"/>
    <d v="2026-01-10T00:00:00"/>
    <d v="2026-01-12T00:00:00"/>
    <d v="2026-01-18T00:00:00"/>
    <n v="84.31"/>
    <x v="1"/>
  </r>
  <r>
    <x v="174"/>
    <n v="1193"/>
    <x v="1"/>
    <s v="Salt Lake City"/>
    <d v="2026-05-05T00:00:00"/>
    <d v="2026-04-30T00:00:00"/>
    <d v="2026-05-11T00:00:00"/>
    <n v="52.58"/>
    <x v="1"/>
  </r>
  <r>
    <x v="175"/>
    <n v="1194"/>
    <x v="4"/>
    <s v="West Valley"/>
    <d v="2026-01-31T00:00:00"/>
    <d v="2026-01-28T00:00:00"/>
    <d v="2026-02-03T00:00:00"/>
    <n v="81.739999999999995"/>
    <x v="1"/>
  </r>
  <r>
    <x v="176"/>
    <n v="1195"/>
    <x v="2"/>
    <s v="Draper"/>
    <d v="2026-02-25T00:00:00"/>
    <d v="2026-02-25T00:00:00"/>
    <d v="2026-03-03T00:00:00"/>
    <n v="30.42"/>
    <x v="0"/>
  </r>
  <r>
    <x v="177"/>
    <n v="1196"/>
    <x v="1"/>
    <s v="West Valley"/>
    <d v="2026-03-01T00:00:00"/>
    <d v="2026-03-01T00:00:00"/>
    <d v="2026-03-03T00:00:00"/>
    <n v="102.79"/>
    <x v="2"/>
  </r>
  <r>
    <x v="178"/>
    <n v="1197"/>
    <x v="0"/>
    <s v="South Jordan"/>
    <d v="2026-03-16T00:00:00"/>
    <d v="2026-03-24T00:00:00"/>
    <d v="2026-03-23T00:00:00"/>
    <n v="89.4"/>
    <x v="1"/>
  </r>
  <r>
    <x v="179"/>
    <n v="1198"/>
    <x v="4"/>
    <s v="Salt Lake City"/>
    <d v="2026-03-05T00:00:00"/>
    <d v="2026-02-28T00:00:00"/>
    <d v="2026-03-12T00:00:00"/>
    <n v="65.61"/>
    <x v="0"/>
  </r>
  <r>
    <x v="180"/>
    <n v="1199"/>
    <x v="1"/>
    <s v="South Jordan"/>
    <d v="2026-05-09T00:00:00"/>
    <d v="2026-05-14T00:00:00"/>
    <d v="2026-05-11T00:00:00"/>
    <n v="5.85"/>
    <x v="1"/>
  </r>
  <r>
    <x v="181"/>
    <n v="1200"/>
    <x v="0"/>
    <s v="Salt Lake City"/>
    <d v="2026-01-15T00:00:00"/>
    <d v="2026-01-11T00:00:00"/>
    <d v="2026-01-16T00:00:00"/>
    <n v="63.71"/>
    <x v="0"/>
  </r>
  <r>
    <x v="182"/>
    <n v="1202"/>
    <x v="5"/>
    <s v="Salt Lake City"/>
    <d v="2026-02-26T00:00:00"/>
    <d v="2026-02-26T00:00:00"/>
    <d v="2026-03-03T00:00:00"/>
    <n v="62.41"/>
    <x v="1"/>
  </r>
  <r>
    <x v="183"/>
    <n v="1203"/>
    <x v="5"/>
    <s v="Salt Lake City"/>
    <d v="2026-04-08T00:00:00"/>
    <d v="2026-04-06T00:00:00"/>
    <d v="2026-04-10T00:00:00"/>
    <n v="25.85"/>
    <x v="0"/>
  </r>
  <r>
    <x v="184"/>
    <n v="1205"/>
    <x v="5"/>
    <s v="Draper"/>
    <d v="2026-02-04T00:00:00"/>
    <d v="2026-02-07T00:00:00"/>
    <d v="2026-02-08T00:00:00"/>
    <n v="60.17"/>
    <x v="1"/>
  </r>
  <r>
    <x v="185"/>
    <n v="1206"/>
    <x v="1"/>
    <s v="Salt Lake City"/>
    <d v="2026-03-18T00:00:00"/>
    <d v="2026-03-20T00:00:00"/>
    <d v="2026-03-21T00:00:00"/>
    <n v="55.14"/>
    <x v="1"/>
  </r>
  <r>
    <x v="186"/>
    <n v="1207"/>
    <x v="3"/>
    <s v="West Valley"/>
    <d v="2026-04-03T00:00:00"/>
    <d v="2026-04-02T00:00:00"/>
    <d v="2026-04-04T00:00:00"/>
    <n v="116.54"/>
    <x v="1"/>
  </r>
  <r>
    <x v="187"/>
    <n v="1209"/>
    <x v="2"/>
    <s v="West Valley"/>
    <d v="2026-04-22T00:00:00"/>
    <d v="2026-04-20T00:00:00"/>
    <d v="2026-04-24T00:00:00"/>
    <n v="117.2"/>
    <x v="1"/>
  </r>
  <r>
    <x v="188"/>
    <n v="1210"/>
    <x v="0"/>
    <s v="South Jordan"/>
    <d v="2026-05-16T00:00:00"/>
    <d v="2026-05-14T00:00:00"/>
    <d v="2026-05-26T00:00:00"/>
    <n v="73.36"/>
    <x v="1"/>
  </r>
  <r>
    <x v="189"/>
    <n v="1211"/>
    <x v="1"/>
    <s v="Draper"/>
    <d v="2026-04-01T00:00:00"/>
    <d v="2026-03-30T00:00:00"/>
    <d v="2026-04-10T00:00:00"/>
    <n v="57.61"/>
    <x v="2"/>
  </r>
  <r>
    <x v="190"/>
    <n v="1213"/>
    <x v="0"/>
    <s v="Salt Lake City"/>
    <d v="2026-01-10T00:00:00"/>
    <d v="2026-01-08T00:00:00"/>
    <d v="2026-01-18T00:00:00"/>
    <n v="117.01"/>
    <x v="1"/>
  </r>
  <r>
    <x v="191"/>
    <n v="1214"/>
    <x v="1"/>
    <s v="West Valley"/>
    <d v="2026-02-18T00:00:00"/>
    <d v="2026-02-14T00:00:00"/>
    <d v="2026-02-21T00:00:00"/>
    <n v="92.7"/>
    <x v="1"/>
  </r>
  <r>
    <x v="192"/>
    <n v="1215"/>
    <x v="3"/>
    <s v="Salt Lake City"/>
    <d v="2026-03-20T00:00:00"/>
    <d v="2026-03-25T00:00:00"/>
    <d v="2026-03-24T00:00:00"/>
    <n v="100.46"/>
    <x v="0"/>
  </r>
  <r>
    <x v="193"/>
    <n v="1216"/>
    <x v="1"/>
    <s v="Lehi"/>
    <d v="2026-04-29T00:00:00"/>
    <d v="2026-05-03T00:00:00"/>
    <d v="2026-05-09T00:00:00"/>
    <n v="64.680000000000007"/>
    <x v="0"/>
  </r>
  <r>
    <x v="194"/>
    <n v="1217"/>
    <x v="3"/>
    <s v="Salt Lake City"/>
    <d v="2026-02-05T00:00:00"/>
    <d v="2026-02-02T00:00:00"/>
    <d v="2026-02-09T00:00:00"/>
    <n v="16.510000000000002"/>
    <x v="0"/>
  </r>
  <r>
    <x v="195"/>
    <n v="1219"/>
    <x v="4"/>
    <s v="South Jordan"/>
    <d v="2026-04-07T00:00:00"/>
    <d v="2026-04-02T00:00:00"/>
    <d v="2026-04-09T00:00:00"/>
    <n v="111.21"/>
    <x v="1"/>
  </r>
  <r>
    <x v="196"/>
    <n v="1220"/>
    <x v="0"/>
    <s v="Lehi"/>
    <d v="2026-02-17T00:00:00"/>
    <d v="2026-02-22T00:00:00"/>
    <d v="2026-02-19T00:00:00"/>
    <n v="64.290000000000006"/>
    <x v="1"/>
  </r>
  <r>
    <x v="197"/>
    <n v="1221"/>
    <x v="2"/>
    <s v="Draper"/>
    <d v="2026-01-20T00:00:00"/>
    <d v="2026-01-16T00:00:00"/>
    <d v="2026-01-24T00:00:00"/>
    <n v="68.25"/>
    <x v="0"/>
  </r>
  <r>
    <x v="198"/>
    <n v="1222"/>
    <x v="5"/>
    <s v="Draper"/>
    <d v="2026-05-02T00:00:00"/>
    <d v="2026-05-05T00:00:00"/>
    <d v="2026-05-09T00:00:00"/>
    <n v="50.47"/>
    <x v="0"/>
  </r>
  <r>
    <x v="199"/>
    <n v="1223"/>
    <x v="1"/>
    <s v="Salt Lake City"/>
    <d v="2026-04-04T00:00:00"/>
    <d v="2026-04-06T00:00:00"/>
    <d v="2026-04-09T00:00:00"/>
    <n v="60.76"/>
    <x v="0"/>
  </r>
  <r>
    <x v="200"/>
    <n v="1224"/>
    <x v="4"/>
    <s v="South Jordan"/>
    <d v="2026-01-15T00:00:00"/>
    <d v="2026-01-18T00:00:00"/>
    <d v="2026-01-25T00:00:00"/>
    <n v="76.290000000000006"/>
    <x v="0"/>
  </r>
  <r>
    <x v="201"/>
    <n v="1226"/>
    <x v="5"/>
    <s v="Salt Lake City"/>
    <d v="2026-03-27T00:00:00"/>
    <d v="2026-03-26T00:00:00"/>
    <d v="2026-04-02T00:00:00"/>
    <n v="92.91"/>
    <x v="1"/>
  </r>
  <r>
    <x v="202"/>
    <n v="1227"/>
    <x v="1"/>
    <s v="Lehi"/>
    <d v="2026-01-16T00:00:00"/>
    <d v="2026-01-17T00:00:00"/>
    <d v="2026-01-22T00:00:00"/>
    <n v="10.55"/>
    <x v="1"/>
  </r>
  <r>
    <x v="203"/>
    <n v="1228"/>
    <x v="0"/>
    <s v="Salt Lake City"/>
    <d v="2026-01-21T00:00:00"/>
    <d v="2026-01-27T00:00:00"/>
    <d v="2026-01-28T00:00:00"/>
    <n v="69.89"/>
    <x v="0"/>
  </r>
  <r>
    <x v="204"/>
    <n v="1231"/>
    <x v="2"/>
    <s v="Salt Lake City"/>
    <d v="2026-03-22T00:00:00"/>
    <d v="2026-03-26T00:00:00"/>
    <d v="2026-03-31T00:00:00"/>
    <n v="97.84"/>
    <x v="1"/>
  </r>
  <r>
    <x v="205"/>
    <n v="1233"/>
    <x v="5"/>
    <s v="Draper"/>
    <d v="2026-03-21T00:00:00"/>
    <d v="2026-03-20T00:00:00"/>
    <d v="2026-03-30T00:00:00"/>
    <n v="118.99"/>
    <x v="2"/>
  </r>
  <r>
    <x v="206"/>
    <n v="1234"/>
    <x v="1"/>
    <s v="Draper"/>
    <d v="2026-03-15T00:00:00"/>
    <d v="2026-03-18T00:00:00"/>
    <d v="2026-03-17T00:00:00"/>
    <n v="50.04"/>
    <x v="0"/>
  </r>
  <r>
    <x v="207"/>
    <n v="1235"/>
    <x v="3"/>
    <s v="Salt Lake City"/>
    <d v="2026-05-10T00:00:00"/>
    <d v="2026-05-12T00:00:00"/>
    <d v="2026-05-15T00:00:00"/>
    <n v="54.98"/>
    <x v="0"/>
  </r>
  <r>
    <x v="208"/>
    <n v="1236"/>
    <x v="3"/>
    <s v="Draper"/>
    <d v="2026-04-15T00:00:00"/>
    <d v="2026-04-13T00:00:00"/>
    <d v="2026-04-21T00:00:00"/>
    <n v="108.77"/>
    <x v="0"/>
  </r>
  <r>
    <x v="209"/>
    <n v="1237"/>
    <x v="2"/>
    <s v="Salt Lake City"/>
    <d v="2026-04-16T00:00:00"/>
    <d v="2026-04-17T00:00:00"/>
    <d v="2026-04-23T00:00:00"/>
    <n v="111.47"/>
    <x v="2"/>
  </r>
  <r>
    <x v="210"/>
    <n v="1238"/>
    <x v="0"/>
    <s v="South Jordan"/>
    <d v="2026-03-15T00:00:00"/>
    <d v="2026-03-15T00:00:00"/>
    <d v="2026-03-18T00:00:00"/>
    <n v="102.25"/>
    <x v="0"/>
  </r>
  <r>
    <x v="211"/>
    <n v="1240"/>
    <x v="2"/>
    <s v="South Jordan"/>
    <d v="2026-05-07T00:00:00"/>
    <d v="2026-05-01T00:00:00"/>
    <d v="2026-05-08T00:00:00"/>
    <n v="87.36"/>
    <x v="0"/>
  </r>
  <r>
    <x v="212"/>
    <n v="1241"/>
    <x v="1"/>
    <s v="West Valley"/>
    <d v="2026-02-26T00:00:00"/>
    <d v="2026-03-03T00:00:00"/>
    <d v="2026-03-03T00:00:00"/>
    <n v="31.32"/>
    <x v="1"/>
  </r>
  <r>
    <x v="213"/>
    <n v="1242"/>
    <x v="3"/>
    <s v="Salt Lake City"/>
    <d v="2026-04-27T00:00:00"/>
    <d v="2026-05-02T00:00:00"/>
    <d v="2026-05-01T00:00:00"/>
    <n v="58.63"/>
    <x v="0"/>
  </r>
  <r>
    <x v="214"/>
    <n v="1243"/>
    <x v="1"/>
    <s v="South Jordan"/>
    <d v="2026-03-13T00:00:00"/>
    <d v="2026-03-11T00:00:00"/>
    <d v="2026-03-16T00:00:00"/>
    <n v="34.21"/>
    <x v="1"/>
  </r>
  <r>
    <x v="215"/>
    <n v="1244"/>
    <x v="4"/>
    <s v="South Jordan"/>
    <d v="2026-04-02T00:00:00"/>
    <d v="2026-04-06T00:00:00"/>
    <d v="2026-04-05T00:00:00"/>
    <n v="8.16"/>
    <x v="0"/>
  </r>
  <r>
    <x v="216"/>
    <n v="1245"/>
    <x v="5"/>
    <s v="Draper"/>
    <d v="2026-02-07T00:00:00"/>
    <d v="2026-02-06T00:00:00"/>
    <d v="2026-02-17T00:00:00"/>
    <n v="28.64"/>
    <x v="0"/>
  </r>
  <r>
    <x v="217"/>
    <n v="1246"/>
    <x v="0"/>
    <s v="Draper"/>
    <d v="2026-01-25T00:00:00"/>
    <d v="2026-01-24T00:00:00"/>
    <d v="2026-02-04T00:00:00"/>
    <n v="111.78"/>
    <x v="0"/>
  </r>
  <r>
    <x v="218"/>
    <n v="1247"/>
    <x v="1"/>
    <s v="South Jordan"/>
    <d v="2026-01-28T00:00:00"/>
    <d v="2026-01-27T00:00:00"/>
    <d v="2026-02-04T00:00:00"/>
    <n v="14.74"/>
    <x v="0"/>
  </r>
  <r>
    <x v="219"/>
    <n v="1248"/>
    <x v="0"/>
    <s v="Draper"/>
    <d v="2026-01-09T00:00:00"/>
    <d v="2026-01-12T00:00:00"/>
    <d v="2026-01-19T00:00:00"/>
    <n v="53.08"/>
    <x v="0"/>
  </r>
  <r>
    <x v="220"/>
    <n v="1249"/>
    <x v="5"/>
    <s v="Salt Lake City"/>
    <d v="2026-04-29T00:00:00"/>
    <d v="2026-04-24T00:00:00"/>
    <d v="2026-05-03T00:00:00"/>
    <n v="64.680000000000007"/>
    <x v="0"/>
  </r>
  <r>
    <x v="221"/>
    <n v="1250"/>
    <x v="1"/>
    <s v="South Jordan"/>
    <d v="2026-02-04T00:00:00"/>
    <d v="2026-01-30T00:00:00"/>
    <d v="2026-02-06T00:00:00"/>
    <n v="89.9"/>
    <x v="0"/>
  </r>
  <r>
    <x v="222"/>
    <n v="1251"/>
    <x v="2"/>
    <s v="South Jordan"/>
    <d v="2026-01-21T00:00:00"/>
    <d v="2026-01-27T00:00:00"/>
    <d v="2026-01-23T00:00:00"/>
    <n v="5.54"/>
    <x v="1"/>
  </r>
  <r>
    <x v="223"/>
    <n v="1253"/>
    <x v="2"/>
    <s v="South Jordan"/>
    <d v="2026-04-21T00:00:00"/>
    <d v="2026-04-24T00:00:00"/>
    <d v="2026-04-24T00:00:00"/>
    <n v="108.68"/>
    <x v="0"/>
  </r>
  <r>
    <x v="224"/>
    <n v="1254"/>
    <x v="2"/>
    <s v="South Jordan"/>
    <d v="2026-01-14T00:00:00"/>
    <d v="2026-01-12T00:00:00"/>
    <d v="2026-01-23T00:00:00"/>
    <n v="119.89"/>
    <x v="1"/>
  </r>
  <r>
    <x v="225"/>
    <n v="1255"/>
    <x v="4"/>
    <s v="West Valley"/>
    <d v="2026-05-14T00:00:00"/>
    <d v="2026-05-10T00:00:00"/>
    <d v="2026-05-22T00:00:00"/>
    <n v="17.57"/>
    <x v="0"/>
  </r>
  <r>
    <x v="226"/>
    <n v="1256"/>
    <x v="1"/>
    <s v="Draper"/>
    <d v="2026-04-27T00:00:00"/>
    <d v="2026-04-27T00:00:00"/>
    <d v="2026-05-03T00:00:00"/>
    <n v="96.33"/>
    <x v="1"/>
  </r>
  <r>
    <x v="227"/>
    <n v="1257"/>
    <x v="4"/>
    <s v="Draper"/>
    <d v="2026-01-30T00:00:00"/>
    <d v="2026-01-25T00:00:00"/>
    <d v="2026-01-31T00:00:00"/>
    <n v="45.62"/>
    <x v="2"/>
  </r>
  <r>
    <x v="228"/>
    <n v="1258"/>
    <x v="3"/>
    <s v="Salt Lake City"/>
    <d v="2026-05-09T00:00:00"/>
    <d v="2026-05-15T00:00:00"/>
    <d v="2026-05-19T00:00:00"/>
    <n v="94.73"/>
    <x v="1"/>
  </r>
  <r>
    <x v="229"/>
    <n v="1259"/>
    <x v="1"/>
    <s v="South Jordan"/>
    <d v="2026-01-28T00:00:00"/>
    <d v="2026-02-03T00:00:00"/>
    <d v="2026-02-03T00:00:00"/>
    <n v="42.81"/>
    <x v="0"/>
  </r>
  <r>
    <x v="230"/>
    <n v="1260"/>
    <x v="3"/>
    <s v="West Valley"/>
    <d v="2026-01-07T00:00:00"/>
    <d v="2026-01-07T00:00:00"/>
    <d v="2026-01-14T00:00:00"/>
    <n v="108.18"/>
    <x v="0"/>
  </r>
  <r>
    <x v="231"/>
    <n v="1261"/>
    <x v="4"/>
    <s v="Draper"/>
    <d v="2026-04-29T00:00:00"/>
    <d v="2026-04-26T00:00:00"/>
    <d v="2026-05-06T00:00:00"/>
    <n v="92.07"/>
    <x v="1"/>
  </r>
  <r>
    <x v="232"/>
    <n v="1262"/>
    <x v="2"/>
    <s v="West Valley"/>
    <d v="2026-01-24T00:00:00"/>
    <d v="2026-01-18T00:00:00"/>
    <d v="2026-02-02T00:00:00"/>
    <n v="76.430000000000007"/>
    <x v="0"/>
  </r>
  <r>
    <x v="233"/>
    <n v="1263"/>
    <x v="4"/>
    <s v="South Jordan"/>
    <d v="2026-02-27T00:00:00"/>
    <d v="2026-02-26T00:00:00"/>
    <d v="2026-03-04T00:00:00"/>
    <n v="32"/>
    <x v="1"/>
  </r>
  <r>
    <x v="234"/>
    <n v="1264"/>
    <x v="3"/>
    <s v="Draper"/>
    <d v="2026-02-02T00:00:00"/>
    <d v="2026-02-02T00:00:00"/>
    <d v="2026-02-07T00:00:00"/>
    <n v="81.36"/>
    <x v="0"/>
  </r>
  <r>
    <x v="235"/>
    <n v="1265"/>
    <x v="3"/>
    <s v="South Jordan"/>
    <d v="2026-03-06T00:00:00"/>
    <d v="2026-03-10T00:00:00"/>
    <d v="2026-03-10T00:00:00"/>
    <n v="55.76"/>
    <x v="1"/>
  </r>
  <r>
    <x v="236"/>
    <n v="1267"/>
    <x v="0"/>
    <s v="Lehi"/>
    <d v="2026-04-12T00:00:00"/>
    <d v="2026-04-08T00:00:00"/>
    <d v="2026-04-14T00:00:00"/>
    <n v="47.09"/>
    <x v="0"/>
  </r>
  <r>
    <x v="237"/>
    <n v="1268"/>
    <x v="4"/>
    <s v="South Jordan"/>
    <d v="2026-01-14T00:00:00"/>
    <d v="2026-01-15T00:00:00"/>
    <d v="2026-01-24T00:00:00"/>
    <n v="19.41"/>
    <x v="0"/>
  </r>
  <r>
    <x v="238"/>
    <n v="1269"/>
    <x v="4"/>
    <s v="Lehi"/>
    <d v="2026-04-29T00:00:00"/>
    <d v="2026-05-01T00:00:00"/>
    <d v="2026-04-30T00:00:00"/>
    <n v="115.14"/>
    <x v="0"/>
  </r>
  <r>
    <x v="239"/>
    <n v="1270"/>
    <x v="3"/>
    <s v="South Jordan"/>
    <d v="2026-02-11T00:00:00"/>
    <d v="2026-02-16T00:00:00"/>
    <d v="2026-02-15T00:00:00"/>
    <n v="32.450000000000003"/>
    <x v="0"/>
  </r>
  <r>
    <x v="240"/>
    <n v="1271"/>
    <x v="0"/>
    <s v="Draper"/>
    <d v="2026-03-25T00:00:00"/>
    <d v="2026-03-28T00:00:00"/>
    <d v="2026-04-01T00:00:00"/>
    <n v="82.72"/>
    <x v="0"/>
  </r>
  <r>
    <x v="241"/>
    <n v="1273"/>
    <x v="3"/>
    <s v="South Jordan"/>
    <d v="2026-03-11T00:00:00"/>
    <d v="2026-03-14T00:00:00"/>
    <d v="2026-03-20T00:00:00"/>
    <n v="118.3"/>
    <x v="1"/>
  </r>
  <r>
    <x v="242"/>
    <n v="1274"/>
    <x v="2"/>
    <s v="Salt Lake City"/>
    <d v="2026-04-25T00:00:00"/>
    <d v="2026-04-29T00:00:00"/>
    <d v="2026-05-04T00:00:00"/>
    <n v="69.319999999999993"/>
    <x v="2"/>
  </r>
  <r>
    <x v="243"/>
    <n v="1275"/>
    <x v="5"/>
    <s v="Draper"/>
    <d v="2026-03-12T00:00:00"/>
    <d v="2026-03-20T00:00:00"/>
    <d v="2026-03-15T00:00:00"/>
    <n v="562.09"/>
    <x v="0"/>
  </r>
  <r>
    <x v="244"/>
    <n v="1276"/>
    <x v="3"/>
    <s v="West Valley"/>
    <d v="2026-05-15T00:00:00"/>
    <d v="2026-05-08T00:00:00"/>
    <d v="2026-05-21T00:00:00"/>
    <n v="116.76"/>
    <x v="0"/>
  </r>
  <r>
    <x v="245"/>
    <n v="1277"/>
    <x v="1"/>
    <s v="Salt Lake City"/>
    <d v="2026-02-14T00:00:00"/>
    <d v="2026-02-19T00:00:00"/>
    <d v="2026-02-22T00:00:00"/>
    <n v="108.92"/>
    <x v="2"/>
  </r>
  <r>
    <x v="246"/>
    <n v="1278"/>
    <x v="4"/>
    <s v="Salt Lake City"/>
    <d v="2026-04-21T00:00:00"/>
    <d v="2026-04-18T00:00:00"/>
    <d v="2026-04-29T00:00:00"/>
    <n v="4.2300000000000004"/>
    <x v="1"/>
  </r>
  <r>
    <x v="247"/>
    <n v="1279"/>
    <x v="1"/>
    <s v="Draper"/>
    <d v="2026-04-23T00:00:00"/>
    <d v="2026-04-28T00:00:00"/>
    <d v="2026-04-30T00:00:00"/>
    <n v="115.1"/>
    <x v="1"/>
  </r>
  <r>
    <x v="248"/>
    <n v="1280"/>
    <x v="2"/>
    <s v="Draper"/>
    <d v="2026-03-29T00:00:00"/>
    <d v="2026-03-28T00:00:00"/>
    <d v="2026-04-04T00:00:00"/>
    <n v="101.5"/>
    <x v="1"/>
  </r>
  <r>
    <x v="249"/>
    <n v="1281"/>
    <x v="5"/>
    <s v="Draper"/>
    <d v="2026-01-13T00:00:00"/>
    <d v="2026-01-16T00:00:00"/>
    <d v="2026-01-20T00:00:00"/>
    <n v="40.340000000000003"/>
    <x v="0"/>
  </r>
  <r>
    <x v="250"/>
    <n v="1282"/>
    <x v="5"/>
    <s v="Salt Lake City"/>
    <d v="2026-04-30T00:00:00"/>
    <d v="2026-04-30T00:00:00"/>
    <d v="2026-05-06T00:00:00"/>
    <n v="72.19"/>
    <x v="1"/>
  </r>
  <r>
    <x v="251"/>
    <n v="1283"/>
    <x v="1"/>
    <s v="Draper"/>
    <d v="2026-02-26T00:00:00"/>
    <d v="2026-02-26T00:00:00"/>
    <d v="2026-03-04T00:00:00"/>
    <n v="40.1"/>
    <x v="0"/>
  </r>
  <r>
    <x v="252"/>
    <n v="1284"/>
    <x v="0"/>
    <s v="Lehi"/>
    <d v="2026-03-27T00:00:00"/>
    <d v="2026-03-27T00:00:00"/>
    <d v="2026-04-02T00:00:00"/>
    <n v="102.83"/>
    <x v="0"/>
  </r>
  <r>
    <x v="253"/>
    <n v="1285"/>
    <x v="0"/>
    <s v="South Jordan"/>
    <d v="2026-03-28T00:00:00"/>
    <d v="2026-03-31T00:00:00"/>
    <d v="2026-04-07T00:00:00"/>
    <n v="28.72"/>
    <x v="2"/>
  </r>
  <r>
    <x v="254"/>
    <n v="1286"/>
    <x v="0"/>
    <s v="Salt Lake City"/>
    <d v="2026-04-14T00:00:00"/>
    <d v="2026-04-17T00:00:00"/>
    <d v="2026-04-22T00:00:00"/>
    <n v="26.55"/>
    <x v="0"/>
  </r>
  <r>
    <x v="255"/>
    <n v="1287"/>
    <x v="5"/>
    <s v="West Valley"/>
    <d v="2026-02-20T00:00:00"/>
    <d v="2026-02-22T00:00:00"/>
    <d v="2026-02-23T00:00:00"/>
    <n v="47.96"/>
    <x v="2"/>
  </r>
  <r>
    <x v="256"/>
    <n v="1288"/>
    <x v="5"/>
    <s v="Draper"/>
    <d v="2026-03-24T00:00:00"/>
    <d v="2026-03-26T00:00:00"/>
    <d v="2026-03-31T00:00:00"/>
    <n v="117.33"/>
    <x v="1"/>
  </r>
  <r>
    <x v="257"/>
    <n v="1289"/>
    <x v="3"/>
    <s v="Salt Lake City"/>
    <d v="2026-03-19T00:00:00"/>
    <d v="2026-03-24T00:00:00"/>
    <d v="2026-03-21T00:00:00"/>
    <n v="95.02"/>
    <x v="2"/>
  </r>
  <r>
    <x v="258"/>
    <n v="1290"/>
    <x v="1"/>
    <s v="Lehi"/>
    <d v="2026-05-13T00:00:00"/>
    <d v="2026-05-14T00:00:00"/>
    <d v="2026-05-17T00:00:00"/>
    <n v="56.44"/>
    <x v="0"/>
  </r>
  <r>
    <x v="259"/>
    <n v="1291"/>
    <x v="2"/>
    <s v="West Valley"/>
    <d v="2026-04-12T00:00:00"/>
    <d v="2026-04-12T00:00:00"/>
    <d v="2026-04-20T00:00:00"/>
    <n v="54.17"/>
    <x v="1"/>
  </r>
  <r>
    <x v="260"/>
    <n v="1292"/>
    <x v="0"/>
    <s v="Draper"/>
    <d v="2026-04-08T00:00:00"/>
    <d v="2026-04-10T00:00:00"/>
    <d v="2026-04-10T00:00:00"/>
    <n v="45.79"/>
    <x v="1"/>
  </r>
  <r>
    <x v="261"/>
    <n v="1294"/>
    <x v="3"/>
    <s v="Salt Lake City"/>
    <d v="2026-02-10T00:00:00"/>
    <d v="2026-02-13T00:00:00"/>
    <d v="2026-02-17T00:00:00"/>
    <n v="28.31"/>
    <x v="1"/>
  </r>
  <r>
    <x v="262"/>
    <n v="1295"/>
    <x v="0"/>
    <s v="West Valley"/>
    <d v="2026-02-10T00:00:00"/>
    <d v="2026-02-12T00:00:00"/>
    <d v="2026-02-17T00:00:00"/>
    <n v="92.49"/>
    <x v="1"/>
  </r>
  <r>
    <x v="263"/>
    <n v="1296"/>
    <x v="0"/>
    <s v="Salt Lake City"/>
    <d v="2026-01-12T00:00:00"/>
    <d v="2026-01-08T00:00:00"/>
    <d v="2026-01-18T00:00:00"/>
    <n v="70.06"/>
    <x v="2"/>
  </r>
  <r>
    <x v="264"/>
    <n v="1297"/>
    <x v="5"/>
    <s v="South Jordan"/>
    <d v="2026-02-01T00:00:00"/>
    <d v="2026-01-31T00:00:00"/>
    <d v="2026-02-05T00:00:00"/>
    <n v="31.03"/>
    <x v="0"/>
  </r>
  <r>
    <x v="265"/>
    <n v="1298"/>
    <x v="0"/>
    <s v="Draper"/>
    <d v="2026-04-08T00:00:00"/>
    <d v="2026-04-10T00:00:00"/>
    <d v="2026-04-16T00:00:00"/>
    <n v="22.42"/>
    <x v="1"/>
  </r>
  <r>
    <x v="266"/>
    <n v="1300"/>
    <x v="4"/>
    <s v="Draper"/>
    <d v="2026-01-14T00:00:00"/>
    <d v="2026-01-18T00:00:00"/>
    <d v="2026-01-23T00:00:00"/>
    <n v="37.86"/>
    <x v="0"/>
  </r>
  <r>
    <x v="267"/>
    <n v="1301"/>
    <x v="4"/>
    <s v="South Jordan"/>
    <d v="2026-04-19T00:00:00"/>
    <d v="2026-04-19T00:00:00"/>
    <d v="2026-04-28T00:00:00"/>
    <n v="9.18"/>
    <x v="0"/>
  </r>
  <r>
    <x v="268"/>
    <n v="1302"/>
    <x v="3"/>
    <s v="South Jordan"/>
    <d v="2026-03-30T00:00:00"/>
    <d v="2026-03-31T00:00:00"/>
    <d v="2026-04-09T00:00:00"/>
    <n v="15.66"/>
    <x v="2"/>
  </r>
  <r>
    <x v="269"/>
    <n v="1303"/>
    <x v="1"/>
    <s v="Draper"/>
    <d v="2026-01-26T00:00:00"/>
    <d v="2026-01-22T00:00:00"/>
    <d v="2026-02-05T00:00:00"/>
    <n v="4.54"/>
    <x v="1"/>
  </r>
  <r>
    <x v="270"/>
    <n v="1304"/>
    <x v="1"/>
    <s v="Draper"/>
    <d v="2026-03-11T00:00:00"/>
    <d v="2026-03-06T00:00:00"/>
    <d v="2026-03-20T00:00:00"/>
    <n v="49.83"/>
    <x v="0"/>
  </r>
  <r>
    <x v="271"/>
    <n v="1306"/>
    <x v="3"/>
    <s v="South Jordan"/>
    <d v="2026-02-05T00:00:00"/>
    <d v="2026-02-01T00:00:00"/>
    <d v="2026-02-07T00:00:00"/>
    <n v="42.87"/>
    <x v="0"/>
  </r>
  <r>
    <x v="272"/>
    <n v="1307"/>
    <x v="5"/>
    <s v="Draper"/>
    <d v="2026-05-14T00:00:00"/>
    <d v="2026-05-14T00:00:00"/>
    <d v="2026-05-21T00:00:00"/>
    <n v="91.84"/>
    <x v="1"/>
  </r>
  <r>
    <x v="273"/>
    <n v="1309"/>
    <x v="1"/>
    <s v="Draper"/>
    <d v="2026-02-22T00:00:00"/>
    <d v="2026-02-25T00:00:00"/>
    <d v="2026-02-23T00:00:00"/>
    <n v="77.59"/>
    <x v="0"/>
  </r>
  <r>
    <x v="274"/>
    <n v="1310"/>
    <x v="2"/>
    <s v="Draper"/>
    <d v="2026-02-19T00:00:00"/>
    <d v="2026-02-17T00:00:00"/>
    <d v="2026-03-01T00:00:00"/>
    <n v="32.880000000000003"/>
    <x v="1"/>
  </r>
  <r>
    <x v="275"/>
    <n v="1311"/>
    <x v="3"/>
    <s v="South Jordan"/>
    <d v="2026-05-07T00:00:00"/>
    <d v="2026-05-09T00:00:00"/>
    <d v="2026-05-15T00:00:00"/>
    <n v="39.479999999999997"/>
    <x v="0"/>
  </r>
  <r>
    <x v="276"/>
    <n v="1312"/>
    <x v="5"/>
    <s v="South Jordan"/>
    <d v="2026-03-31T00:00:00"/>
    <d v="2026-04-01T00:00:00"/>
    <d v="2026-04-08T00:00:00"/>
    <n v="39.71"/>
    <x v="0"/>
  </r>
  <r>
    <x v="277"/>
    <n v="1313"/>
    <x v="1"/>
    <s v="South Jordan"/>
    <d v="2026-01-31T00:00:00"/>
    <d v="2026-02-08T00:00:00"/>
    <d v="2026-02-07T00:00:00"/>
    <n v="111.48"/>
    <x v="0"/>
  </r>
  <r>
    <x v="278"/>
    <n v="1314"/>
    <x v="1"/>
    <s v="Salt Lake City"/>
    <d v="2026-04-06T00:00:00"/>
    <d v="2026-04-06T00:00:00"/>
    <d v="2026-04-16T00:00:00"/>
    <n v="71.09"/>
    <x v="0"/>
  </r>
  <r>
    <x v="279"/>
    <n v="1315"/>
    <x v="2"/>
    <s v="Salt Lake City"/>
    <d v="2026-01-26T00:00:00"/>
    <d v="2026-01-31T00:00:00"/>
    <d v="2026-02-02T00:00:00"/>
    <n v="392.62"/>
    <x v="0"/>
  </r>
  <r>
    <x v="280"/>
    <n v="1316"/>
    <x v="5"/>
    <s v="Draper"/>
    <d v="2026-01-20T00:00:00"/>
    <d v="2026-01-22T00:00:00"/>
    <d v="2026-01-27T00:00:00"/>
    <n v="55.12"/>
    <x v="0"/>
  </r>
  <r>
    <x v="281"/>
    <n v="1317"/>
    <x v="5"/>
    <s v="South Jordan"/>
    <d v="2026-03-26T00:00:00"/>
    <d v="2026-03-23T00:00:00"/>
    <d v="2026-03-27T00:00:00"/>
    <n v="15.23"/>
    <x v="1"/>
  </r>
  <r>
    <x v="282"/>
    <n v="1318"/>
    <x v="4"/>
    <s v="Draper"/>
    <d v="2026-03-11T00:00:00"/>
    <d v="2026-03-12T00:00:00"/>
    <d v="2026-03-21T00:00:00"/>
    <n v="18.260000000000002"/>
    <x v="1"/>
  </r>
  <r>
    <x v="283"/>
    <n v="1319"/>
    <x v="1"/>
    <s v="Draper"/>
    <d v="2026-05-05T00:00:00"/>
    <d v="2026-05-03T00:00:00"/>
    <d v="2026-05-07T00:00:00"/>
    <n v="89.18"/>
    <x v="1"/>
  </r>
  <r>
    <x v="284"/>
    <n v="1320"/>
    <x v="4"/>
    <s v="Salt Lake City"/>
    <d v="2026-05-10T00:00:00"/>
    <d v="2026-05-15T00:00:00"/>
    <d v="2026-05-19T00:00:00"/>
    <n v="31.94"/>
    <x v="0"/>
  </r>
  <r>
    <x v="285"/>
    <n v="1321"/>
    <x v="4"/>
    <s v="South Jordan"/>
    <d v="2026-05-01T00:00:00"/>
    <d v="2026-04-26T00:00:00"/>
    <d v="2026-05-08T00:00:00"/>
    <n v="109.58"/>
    <x v="1"/>
  </r>
  <r>
    <x v="286"/>
    <n v="1322"/>
    <x v="0"/>
    <s v="South Jordan"/>
    <d v="2026-04-30T00:00:00"/>
    <d v="2026-04-25T00:00:00"/>
    <d v="2026-05-02T00:00:00"/>
    <n v="70.45"/>
    <x v="1"/>
  </r>
  <r>
    <x v="287"/>
    <n v="1328"/>
    <x v="4"/>
    <s v="Salt Lake City"/>
    <d v="2026-02-22T00:00:00"/>
    <d v="2026-02-20T00:00:00"/>
    <d v="2026-03-01T00:00:00"/>
    <n v="94"/>
    <x v="0"/>
  </r>
  <r>
    <x v="288"/>
    <n v="1330"/>
    <x v="5"/>
    <s v="South Jordan"/>
    <d v="2026-02-11T00:00:00"/>
    <d v="2026-02-04T00:00:00"/>
    <d v="2026-02-14T00:00:00"/>
    <n v="103.99"/>
    <x v="1"/>
  </r>
  <r>
    <x v="289"/>
    <n v="1331"/>
    <x v="1"/>
    <s v="Lehi"/>
    <d v="2026-02-08T00:00:00"/>
    <d v="2026-02-04T00:00:00"/>
    <d v="2026-02-15T00:00:00"/>
    <n v="117.34"/>
    <x v="0"/>
  </r>
  <r>
    <x v="290"/>
    <n v="1332"/>
    <x v="1"/>
    <s v="Draper"/>
    <d v="2026-03-19T00:00:00"/>
    <d v="2026-03-19T00:00:00"/>
    <d v="2026-03-23T00:00:00"/>
    <n v="20.43"/>
    <x v="1"/>
  </r>
  <r>
    <x v="291"/>
    <n v="1333"/>
    <x v="1"/>
    <s v="Salt Lake City"/>
    <d v="2026-02-28T00:00:00"/>
    <d v="2026-03-04T00:00:00"/>
    <d v="2026-03-07T00:00:00"/>
    <n v="113.06"/>
    <x v="1"/>
  </r>
  <r>
    <x v="292"/>
    <n v="1334"/>
    <x v="2"/>
    <s v="Salt Lake City"/>
    <d v="2026-02-19T00:00:00"/>
    <d v="2026-02-23T00:00:00"/>
    <d v="2026-02-21T00:00:00"/>
    <n v="65.650000000000006"/>
    <x v="1"/>
  </r>
  <r>
    <x v="293"/>
    <n v="1335"/>
    <x v="3"/>
    <s v="Lehi"/>
    <d v="2026-01-26T00:00:00"/>
    <d v="2026-01-29T00:00:00"/>
    <d v="2026-02-03T00:00:00"/>
    <n v="15.08"/>
    <x v="1"/>
  </r>
  <r>
    <x v="294"/>
    <n v="1336"/>
    <x v="5"/>
    <s v="West Valley"/>
    <d v="2026-03-20T00:00:00"/>
    <d v="2026-03-14T00:00:00"/>
    <d v="2026-03-23T00:00:00"/>
    <n v="47.94"/>
    <x v="2"/>
  </r>
  <r>
    <x v="295"/>
    <n v="1337"/>
    <x v="2"/>
    <s v="Salt Lake City"/>
    <d v="2026-04-19T00:00:00"/>
    <d v="2026-04-24T00:00:00"/>
    <d v="2026-04-20T00:00:00"/>
    <n v="13.81"/>
    <x v="0"/>
  </r>
  <r>
    <x v="296"/>
    <n v="1338"/>
    <x v="2"/>
    <s v="Draper"/>
    <d v="2026-05-12T00:00:00"/>
    <d v="2026-05-17T00:00:00"/>
    <d v="2026-05-18T00:00:00"/>
    <n v="114.49"/>
    <x v="1"/>
  </r>
  <r>
    <x v="297"/>
    <n v="1340"/>
    <x v="0"/>
    <s v="Draper"/>
    <d v="2026-04-19T00:00:00"/>
    <d v="2026-04-16T00:00:00"/>
    <d v="2026-04-25T00:00:00"/>
    <n v="38.61"/>
    <x v="0"/>
  </r>
  <r>
    <x v="298"/>
    <n v="1341"/>
    <x v="2"/>
    <s v="Draper"/>
    <d v="2026-04-08T00:00:00"/>
    <d v="2026-04-05T00:00:00"/>
    <d v="2026-04-10T00:00:00"/>
    <n v="118.77"/>
    <x v="2"/>
  </r>
  <r>
    <x v="299"/>
    <n v="1342"/>
    <x v="4"/>
    <s v="Draper"/>
    <d v="2026-04-10T00:00:00"/>
    <d v="2026-04-05T00:00:00"/>
    <d v="2026-04-12T00:00:00"/>
    <n v="52.85"/>
    <x v="1"/>
  </r>
  <r>
    <x v="300"/>
    <n v="1343"/>
    <x v="1"/>
    <s v="Draper"/>
    <d v="2026-04-16T00:00:00"/>
    <d v="2026-04-18T00:00:00"/>
    <d v="2026-04-18T00:00:00"/>
    <n v="92.26"/>
    <x v="2"/>
  </r>
  <r>
    <x v="301"/>
    <n v="1344"/>
    <x v="1"/>
    <s v="Draper"/>
    <d v="2026-03-15T00:00:00"/>
    <d v="2026-03-15T00:00:00"/>
    <d v="2026-03-18T00:00:00"/>
    <n v="50.55"/>
    <x v="0"/>
  </r>
  <r>
    <x v="302"/>
    <n v="1345"/>
    <x v="4"/>
    <s v="Salt Lake City"/>
    <d v="2026-01-07T00:00:00"/>
    <d v="2026-01-09T00:00:00"/>
    <d v="2026-01-14T00:00:00"/>
    <n v="59.59"/>
    <x v="1"/>
  </r>
  <r>
    <x v="303"/>
    <n v="1347"/>
    <x v="4"/>
    <s v="Salt Lake City"/>
    <d v="2026-03-08T00:00:00"/>
    <d v="2026-03-12T00:00:00"/>
    <d v="2026-03-15T00:00:00"/>
    <n v="14.12"/>
    <x v="0"/>
  </r>
  <r>
    <x v="304"/>
    <n v="1348"/>
    <x v="3"/>
    <s v="Lehi"/>
    <d v="2026-02-20T00:00:00"/>
    <d v="2026-02-24T00:00:00"/>
    <d v="2026-02-23T00:00:00"/>
    <n v="9.08"/>
    <x v="1"/>
  </r>
  <r>
    <x v="305"/>
    <n v="1349"/>
    <x v="5"/>
    <s v="Draper"/>
    <d v="2026-04-02T00:00:00"/>
    <d v="2026-04-06T00:00:00"/>
    <d v="2026-04-05T00:00:00"/>
    <n v="37.6"/>
    <x v="0"/>
  </r>
  <r>
    <x v="306"/>
    <n v="1350"/>
    <x v="5"/>
    <s v="Draper"/>
    <d v="2026-05-14T00:00:00"/>
    <d v="2026-05-12T00:00:00"/>
    <d v="2026-05-21T00:00:00"/>
    <n v="74.44"/>
    <x v="1"/>
  </r>
  <r>
    <x v="307"/>
    <n v="1351"/>
    <x v="1"/>
    <s v="Salt Lake City"/>
    <d v="2026-02-26T00:00:00"/>
    <d v="2026-03-01T00:00:00"/>
    <d v="2026-02-27T00:00:00"/>
    <n v="78.52"/>
    <x v="0"/>
  </r>
  <r>
    <x v="308"/>
    <n v="1352"/>
    <x v="3"/>
    <s v="Salt Lake City"/>
    <d v="2026-03-31T00:00:00"/>
    <d v="2026-04-03T00:00:00"/>
    <d v="2026-04-01T00:00:00"/>
    <n v="66.34"/>
    <x v="0"/>
  </r>
  <r>
    <x v="309"/>
    <n v="1353"/>
    <x v="1"/>
    <s v="South Jordan"/>
    <d v="2026-03-12T00:00:00"/>
    <d v="2026-03-11T00:00:00"/>
    <d v="2026-03-15T00:00:00"/>
    <n v="108.65"/>
    <x v="2"/>
  </r>
  <r>
    <x v="310"/>
    <n v="1354"/>
    <x v="5"/>
    <s v="Draper"/>
    <d v="2026-02-20T00:00:00"/>
    <d v="2026-02-18T00:00:00"/>
    <d v="2026-02-28T00:00:00"/>
    <n v="109.46"/>
    <x v="0"/>
  </r>
  <r>
    <x v="311"/>
    <n v="1355"/>
    <x v="5"/>
    <s v="West Valley"/>
    <d v="2026-01-29T00:00:00"/>
    <d v="2026-01-29T00:00:00"/>
    <d v="2026-02-08T00:00:00"/>
    <n v="5.57"/>
    <x v="0"/>
  </r>
  <r>
    <x v="312"/>
    <n v="1356"/>
    <x v="1"/>
    <s v="West Valley"/>
    <d v="2026-02-22T00:00:00"/>
    <d v="2026-02-23T00:00:00"/>
    <d v="2026-02-26T00:00:00"/>
    <n v="6.78"/>
    <x v="1"/>
  </r>
  <r>
    <x v="313"/>
    <n v="1357"/>
    <x v="0"/>
    <s v="Salt Lake City"/>
    <d v="2026-02-27T00:00:00"/>
    <d v="2026-03-03T00:00:00"/>
    <d v="2026-03-05T00:00:00"/>
    <n v="12.85"/>
    <x v="0"/>
  </r>
  <r>
    <x v="314"/>
    <n v="1358"/>
    <x v="4"/>
    <s v="South Jordan"/>
    <d v="2026-02-07T00:00:00"/>
    <d v="2026-02-11T00:00:00"/>
    <d v="2026-02-10T00:00:00"/>
    <n v="41.15"/>
    <x v="0"/>
  </r>
  <r>
    <x v="315"/>
    <n v="1359"/>
    <x v="1"/>
    <s v="South Jordan"/>
    <d v="2026-02-06T00:00:00"/>
    <d v="2026-02-05T00:00:00"/>
    <d v="2026-02-12T00:00:00"/>
    <n v="20.03"/>
    <x v="0"/>
  </r>
  <r>
    <x v="316"/>
    <n v="1360"/>
    <x v="1"/>
    <s v="Salt Lake City"/>
    <d v="2026-05-12T00:00:00"/>
    <d v="2026-05-10T00:00:00"/>
    <d v="2026-05-16T00:00:00"/>
    <n v="607.11"/>
    <x v="0"/>
  </r>
  <r>
    <x v="317"/>
    <n v="1362"/>
    <x v="2"/>
    <s v="Salt Lake City"/>
    <d v="2026-02-17T00:00:00"/>
    <d v="2026-02-17T00:00:00"/>
    <d v="2026-02-22T00:00:00"/>
    <n v="58.54"/>
    <x v="1"/>
  </r>
  <r>
    <x v="318"/>
    <n v="1363"/>
    <x v="3"/>
    <s v="Lehi"/>
    <d v="2026-02-07T00:00:00"/>
    <d v="2026-02-03T00:00:00"/>
    <d v="2026-02-16T00:00:00"/>
    <n v="86.52"/>
    <x v="2"/>
  </r>
  <r>
    <x v="319"/>
    <n v="1364"/>
    <x v="0"/>
    <s v="West Valley"/>
    <d v="2026-04-28T00:00:00"/>
    <d v="2026-04-24T00:00:00"/>
    <d v="2026-05-02T00:00:00"/>
    <n v="35.31"/>
    <x v="0"/>
  </r>
  <r>
    <x v="320"/>
    <n v="1365"/>
    <x v="3"/>
    <s v="Salt Lake City"/>
    <d v="2026-03-05T00:00:00"/>
    <d v="2026-03-10T00:00:00"/>
    <d v="2026-03-06T00:00:00"/>
    <n v="31.88"/>
    <x v="1"/>
  </r>
  <r>
    <x v="321"/>
    <n v="1366"/>
    <x v="0"/>
    <s v="Draper"/>
    <d v="2026-05-09T00:00:00"/>
    <d v="2026-05-10T00:00:00"/>
    <d v="2026-05-13T00:00:00"/>
    <n v="40.479999999999997"/>
    <x v="0"/>
  </r>
  <r>
    <x v="322"/>
    <n v="1367"/>
    <x v="2"/>
    <s v="Salt Lake City"/>
    <d v="2026-04-01T00:00:00"/>
    <d v="2026-04-01T00:00:00"/>
    <d v="2026-04-02T00:00:00"/>
    <n v="37.65"/>
    <x v="0"/>
  </r>
  <r>
    <x v="323"/>
    <n v="1368"/>
    <x v="3"/>
    <s v="Salt Lake City"/>
    <d v="2026-02-28T00:00:00"/>
    <d v="2026-03-08T00:00:00"/>
    <d v="2026-03-07T00:00:00"/>
    <n v="31.74"/>
    <x v="2"/>
  </r>
  <r>
    <x v="324"/>
    <n v="1369"/>
    <x v="2"/>
    <s v="Lehi"/>
    <d v="2026-05-08T00:00:00"/>
    <d v="2026-05-10T00:00:00"/>
    <d v="2026-05-11T00:00:00"/>
    <n v="86.44"/>
    <x v="0"/>
  </r>
  <r>
    <x v="325"/>
    <n v="1370"/>
    <x v="0"/>
    <s v="Salt Lake City"/>
    <d v="2026-02-11T00:00:00"/>
    <d v="2026-02-09T00:00:00"/>
    <d v="2026-02-20T00:00:00"/>
    <n v="102"/>
    <x v="0"/>
  </r>
  <r>
    <x v="326"/>
    <n v="1371"/>
    <x v="5"/>
    <s v="Draper"/>
    <d v="2026-05-11T00:00:00"/>
    <d v="2026-05-12T00:00:00"/>
    <d v="2026-05-16T00:00:00"/>
    <n v="47.6"/>
    <x v="0"/>
  </r>
  <r>
    <x v="327"/>
    <n v="1372"/>
    <x v="2"/>
    <s v="Draper"/>
    <d v="2026-04-29T00:00:00"/>
    <d v="2026-05-03T00:00:00"/>
    <d v="2026-05-07T00:00:00"/>
    <n v="8.44"/>
    <x v="2"/>
  </r>
  <r>
    <x v="328"/>
    <n v="1373"/>
    <x v="4"/>
    <s v="Lehi"/>
    <d v="2026-03-23T00:00:00"/>
    <d v="2026-03-27T00:00:00"/>
    <d v="2026-03-31T00:00:00"/>
    <n v="105.07"/>
    <x v="2"/>
  </r>
  <r>
    <x v="329"/>
    <n v="1374"/>
    <x v="3"/>
    <s v="Draper"/>
    <d v="2026-01-13T00:00:00"/>
    <d v="2026-01-20T00:00:00"/>
    <d v="2026-01-23T00:00:00"/>
    <n v="27.03"/>
    <x v="1"/>
  </r>
  <r>
    <x v="330"/>
    <n v="1375"/>
    <x v="1"/>
    <s v="South Jordan"/>
    <d v="2026-04-01T00:00:00"/>
    <d v="2026-03-28T00:00:00"/>
    <d v="2026-04-11T00:00:00"/>
    <n v="15.3"/>
    <x v="1"/>
  </r>
  <r>
    <x v="331"/>
    <n v="1376"/>
    <x v="3"/>
    <s v="West Valley"/>
    <d v="2026-02-17T00:00:00"/>
    <d v="2026-02-17T00:00:00"/>
    <d v="2026-02-23T00:00:00"/>
    <n v="44.86"/>
    <x v="0"/>
  </r>
  <r>
    <x v="332"/>
    <n v="1377"/>
    <x v="2"/>
    <s v="Salt Lake City"/>
    <d v="2026-02-15T00:00:00"/>
    <d v="2026-02-17T00:00:00"/>
    <d v="2026-02-17T00:00:00"/>
    <n v="79.36"/>
    <x v="0"/>
  </r>
  <r>
    <x v="333"/>
    <n v="1378"/>
    <x v="5"/>
    <s v="West Valley"/>
    <d v="2026-02-02T00:00:00"/>
    <d v="2026-01-31T00:00:00"/>
    <d v="2026-02-04T00:00:00"/>
    <n v="26.68"/>
    <x v="0"/>
  </r>
  <r>
    <x v="334"/>
    <n v="1379"/>
    <x v="3"/>
    <s v="South Jordan"/>
    <d v="2026-04-23T00:00:00"/>
    <d v="2026-04-23T00:00:00"/>
    <d v="2026-05-03T00:00:00"/>
    <n v="40.83"/>
    <x v="2"/>
  </r>
  <r>
    <x v="335"/>
    <n v="1380"/>
    <x v="5"/>
    <s v="Salt Lake City"/>
    <d v="2026-04-20T00:00:00"/>
    <d v="2026-04-15T00:00:00"/>
    <d v="2026-04-29T00:00:00"/>
    <n v="22.45"/>
    <x v="0"/>
  </r>
  <r>
    <x v="336"/>
    <n v="1381"/>
    <x v="1"/>
    <s v="South Jordan"/>
    <d v="2026-04-23T00:00:00"/>
    <d v="2026-04-25T00:00:00"/>
    <d v="2026-04-27T00:00:00"/>
    <n v="38.44"/>
    <x v="1"/>
  </r>
  <r>
    <x v="337"/>
    <n v="1382"/>
    <x v="0"/>
    <s v="Draper"/>
    <d v="2026-01-17T00:00:00"/>
    <d v="2026-01-18T00:00:00"/>
    <d v="2026-01-20T00:00:00"/>
    <n v="14.76"/>
    <x v="0"/>
  </r>
  <r>
    <x v="338"/>
    <n v="1383"/>
    <x v="5"/>
    <s v="Draper"/>
    <d v="2026-01-31T00:00:00"/>
    <d v="2026-01-30T00:00:00"/>
    <d v="2026-02-08T00:00:00"/>
    <n v="97.79"/>
    <x v="1"/>
  </r>
  <r>
    <x v="339"/>
    <n v="1384"/>
    <x v="5"/>
    <s v="West Valley"/>
    <d v="2026-01-11T00:00:00"/>
    <d v="2026-01-11T00:00:00"/>
    <d v="2026-01-14T00:00:00"/>
    <n v="35.04"/>
    <x v="1"/>
  </r>
  <r>
    <x v="340"/>
    <n v="1385"/>
    <x v="0"/>
    <s v="Salt Lake City"/>
    <d v="2026-03-22T00:00:00"/>
    <d v="2026-03-22T00:00:00"/>
    <d v="2026-03-29T00:00:00"/>
    <n v="73.17"/>
    <x v="1"/>
  </r>
  <r>
    <x v="341"/>
    <n v="1386"/>
    <x v="5"/>
    <s v="Draper"/>
    <d v="2026-04-10T00:00:00"/>
    <d v="2026-04-13T00:00:00"/>
    <d v="2026-04-17T00:00:00"/>
    <n v="95.74"/>
    <x v="1"/>
  </r>
  <r>
    <x v="342"/>
    <n v="1387"/>
    <x v="2"/>
    <s v="Lehi"/>
    <d v="2026-04-12T00:00:00"/>
    <d v="2026-04-12T00:00:00"/>
    <d v="2026-04-18T00:00:00"/>
    <n v="108.25"/>
    <x v="1"/>
  </r>
  <r>
    <x v="343"/>
    <n v="1388"/>
    <x v="3"/>
    <s v="South Jordan"/>
    <d v="2026-03-01T00:00:00"/>
    <d v="2026-02-26T00:00:00"/>
    <d v="2026-03-03T00:00:00"/>
    <n v="56.52"/>
    <x v="2"/>
  </r>
  <r>
    <x v="344"/>
    <n v="1389"/>
    <x v="2"/>
    <s v="Lehi"/>
    <d v="2026-01-13T00:00:00"/>
    <d v="2026-01-12T00:00:00"/>
    <d v="2026-01-14T00:00:00"/>
    <n v="558.44000000000005"/>
    <x v="1"/>
  </r>
  <r>
    <x v="345"/>
    <n v="1390"/>
    <x v="4"/>
    <s v="West Valley"/>
    <d v="2026-03-27T00:00:00"/>
    <d v="2026-03-30T00:00:00"/>
    <d v="2026-04-03T00:00:00"/>
    <n v="30.26"/>
    <x v="1"/>
  </r>
  <r>
    <x v="346"/>
    <n v="1391"/>
    <x v="4"/>
    <s v="Draper"/>
    <d v="2026-01-05T00:00:00"/>
    <d v="2026-01-06T00:00:00"/>
    <d v="2026-01-15T00:00:00"/>
    <n v="95.83"/>
    <x v="2"/>
  </r>
  <r>
    <x v="347"/>
    <n v="1392"/>
    <x v="0"/>
    <s v="Salt Lake City"/>
    <d v="2026-05-01T00:00:00"/>
    <d v="2026-05-02T00:00:00"/>
    <d v="2026-05-09T00:00:00"/>
    <n v="30.2"/>
    <x v="1"/>
  </r>
  <r>
    <x v="348"/>
    <n v="1393"/>
    <x v="3"/>
    <s v="West Valley"/>
    <d v="2026-03-09T00:00:00"/>
    <d v="2026-03-07T00:00:00"/>
    <d v="2026-03-17T00:00:00"/>
    <n v="16.13"/>
    <x v="1"/>
  </r>
  <r>
    <x v="349"/>
    <n v="1394"/>
    <x v="5"/>
    <s v="Lehi"/>
    <d v="2026-05-03T00:00:00"/>
    <d v="2026-05-03T00:00:00"/>
    <d v="2026-05-12T00:00:00"/>
    <n v="27.55"/>
    <x v="0"/>
  </r>
  <r>
    <x v="350"/>
    <n v="1395"/>
    <x v="4"/>
    <s v="South Jordan"/>
    <d v="2026-02-14T00:00:00"/>
    <d v="2026-02-14T00:00:00"/>
    <d v="2026-02-22T00:00:00"/>
    <n v="25.7"/>
    <x v="1"/>
  </r>
  <r>
    <x v="351"/>
    <n v="1396"/>
    <x v="0"/>
    <s v="South Jordan"/>
    <d v="2026-03-14T00:00:00"/>
    <d v="2026-03-12T00:00:00"/>
    <d v="2026-03-19T00:00:00"/>
    <n v="25.98"/>
    <x v="1"/>
  </r>
  <r>
    <x v="352"/>
    <n v="1397"/>
    <x v="2"/>
    <s v="Salt Lake City"/>
    <d v="2026-04-24T00:00:00"/>
    <d v="2026-04-24T00:00:00"/>
    <d v="2026-05-04T00:00:00"/>
    <n v="85.14"/>
    <x v="2"/>
  </r>
  <r>
    <x v="353"/>
    <n v="1398"/>
    <x v="1"/>
    <s v="Draper"/>
    <d v="2026-03-13T00:00:00"/>
    <d v="2026-03-17T00:00:00"/>
    <d v="2026-03-17T00:00:00"/>
    <n v="23.75"/>
    <x v="1"/>
  </r>
  <r>
    <x v="354"/>
    <n v="1399"/>
    <x v="1"/>
    <s v="Draper"/>
    <d v="2026-05-05T00:00:00"/>
    <d v="2026-05-04T00:00:00"/>
    <d v="2026-05-10T00:00:00"/>
    <n v="100.9"/>
    <x v="0"/>
  </r>
  <r>
    <x v="355"/>
    <n v="1400"/>
    <x v="3"/>
    <s v="South Jordan"/>
    <d v="2026-01-31T00:00:00"/>
    <d v="2026-01-29T00:00:00"/>
    <d v="2026-02-03T00:00:00"/>
    <n v="45.43"/>
    <x v="1"/>
  </r>
  <r>
    <x v="356"/>
    <n v="1401"/>
    <x v="0"/>
    <s v="Lehi"/>
    <d v="2026-03-02T00:00:00"/>
    <d v="2026-02-24T00:00:00"/>
    <d v="2026-03-09T00:00:00"/>
    <n v="96.26"/>
    <x v="0"/>
  </r>
  <r>
    <x v="357"/>
    <n v="1402"/>
    <x v="0"/>
    <s v="Draper"/>
    <d v="2026-01-08T00:00:00"/>
    <d v="2026-01-07T00:00:00"/>
    <d v="2026-01-09T00:00:00"/>
    <n v="9.7899999999999991"/>
    <x v="0"/>
  </r>
  <r>
    <x v="358"/>
    <n v="1403"/>
    <x v="1"/>
    <s v="Lehi"/>
    <d v="2026-03-19T00:00:00"/>
    <d v="2026-03-16T00:00:00"/>
    <d v="2026-03-25T00:00:00"/>
    <n v="97.31"/>
    <x v="2"/>
  </r>
  <r>
    <x v="359"/>
    <n v="1404"/>
    <x v="2"/>
    <s v="South Jordan"/>
    <d v="2026-04-24T00:00:00"/>
    <d v="2026-04-24T00:00:00"/>
    <d v="2026-04-30T00:00:00"/>
    <n v="58.33"/>
    <x v="0"/>
  </r>
  <r>
    <x v="360"/>
    <n v="1405"/>
    <x v="5"/>
    <s v="South Jordan"/>
    <d v="2026-01-09T00:00:00"/>
    <d v="2026-01-14T00:00:00"/>
    <d v="2026-01-18T00:00:00"/>
    <n v="108.39"/>
    <x v="2"/>
  </r>
  <r>
    <x v="361"/>
    <n v="1406"/>
    <x v="5"/>
    <s v="South Jordan"/>
    <d v="2026-04-15T00:00:00"/>
    <d v="2026-04-17T00:00:00"/>
    <d v="2026-04-18T00:00:00"/>
    <n v="38.9"/>
    <x v="1"/>
  </r>
  <r>
    <x v="362"/>
    <n v="1407"/>
    <x v="1"/>
    <s v="Draper"/>
    <d v="2026-02-26T00:00:00"/>
    <d v="2026-02-23T00:00:00"/>
    <d v="2026-02-28T00:00:00"/>
    <n v="38.79"/>
    <x v="1"/>
  </r>
  <r>
    <x v="363"/>
    <n v="1408"/>
    <x v="3"/>
    <s v="Draper"/>
    <d v="2026-03-09T00:00:00"/>
    <d v="2026-03-15T00:00:00"/>
    <d v="2026-03-13T00:00:00"/>
    <n v="23.81"/>
    <x v="0"/>
  </r>
  <r>
    <x v="364"/>
    <n v="1410"/>
    <x v="0"/>
    <s v="Salt Lake City"/>
    <d v="2026-01-27T00:00:00"/>
    <d v="2026-02-01T00:00:00"/>
    <d v="2026-01-30T00:00:00"/>
    <n v="58.28"/>
    <x v="2"/>
  </r>
  <r>
    <x v="365"/>
    <n v="1411"/>
    <x v="4"/>
    <s v="Draper"/>
    <d v="2026-04-07T00:00:00"/>
    <d v="2026-04-04T00:00:00"/>
    <d v="2026-04-15T00:00:00"/>
    <n v="47.68"/>
    <x v="1"/>
  </r>
  <r>
    <x v="366"/>
    <n v="1412"/>
    <x v="0"/>
    <s v="Draper"/>
    <d v="2026-05-12T00:00:00"/>
    <d v="2026-05-12T00:00:00"/>
    <d v="2026-05-14T00:00:00"/>
    <n v="61.93"/>
    <x v="2"/>
  </r>
  <r>
    <x v="367"/>
    <n v="1413"/>
    <x v="1"/>
    <s v="Draper"/>
    <d v="2026-01-29T00:00:00"/>
    <d v="2026-01-31T00:00:00"/>
    <d v="2026-02-06T00:00:00"/>
    <n v="54.75"/>
    <x v="0"/>
  </r>
  <r>
    <x v="368"/>
    <n v="1414"/>
    <x v="1"/>
    <s v="South Jordan"/>
    <d v="2026-02-23T00:00:00"/>
    <d v="2026-02-24T00:00:00"/>
    <d v="2026-03-05T00:00:00"/>
    <n v="67.400000000000006"/>
    <x v="2"/>
  </r>
  <r>
    <x v="369"/>
    <n v="1415"/>
    <x v="0"/>
    <s v="Lehi"/>
    <d v="2026-02-25T00:00:00"/>
    <d v="2026-02-25T00:00:00"/>
    <d v="2026-03-07T00:00:00"/>
    <n v="66.7"/>
    <x v="0"/>
  </r>
  <r>
    <x v="370"/>
    <n v="1416"/>
    <x v="3"/>
    <s v="South Jordan"/>
    <d v="2026-04-07T00:00:00"/>
    <d v="2026-04-08T00:00:00"/>
    <d v="2026-04-08T00:00:00"/>
    <n v="67.33"/>
    <x v="1"/>
  </r>
  <r>
    <x v="371"/>
    <n v="1417"/>
    <x v="5"/>
    <s v="South Jordan"/>
    <d v="2026-01-12T00:00:00"/>
    <d v="2026-01-10T00:00:00"/>
    <d v="2026-01-19T00:00:00"/>
    <n v="73.39"/>
    <x v="2"/>
  </r>
  <r>
    <x v="372"/>
    <n v="1418"/>
    <x v="1"/>
    <s v="South Jordan"/>
    <d v="2026-03-17T00:00:00"/>
    <d v="2026-03-15T00:00:00"/>
    <d v="2026-03-21T00:00:00"/>
    <n v="6.49"/>
    <x v="0"/>
  </r>
  <r>
    <x v="373"/>
    <n v="1419"/>
    <x v="1"/>
    <s v="Salt Lake City"/>
    <d v="2026-05-08T00:00:00"/>
    <d v="2026-05-07T00:00:00"/>
    <d v="2026-05-14T00:00:00"/>
    <n v="54.64"/>
    <x v="1"/>
  </r>
  <r>
    <x v="374"/>
    <n v="1420"/>
    <x v="0"/>
    <s v="Draper"/>
    <d v="2026-01-02T00:00:00"/>
    <d v="2026-01-06T00:00:00"/>
    <d v="2026-01-10T00:00:00"/>
    <n v="24.95"/>
    <x v="1"/>
  </r>
  <r>
    <x v="375"/>
    <n v="1421"/>
    <x v="2"/>
    <s v="Lehi"/>
    <d v="2026-02-09T00:00:00"/>
    <d v="2026-02-10T00:00:00"/>
    <d v="2026-02-15T00:00:00"/>
    <n v="108.13"/>
    <x v="1"/>
  </r>
  <r>
    <x v="376"/>
    <n v="1422"/>
    <x v="2"/>
    <s v="South Jordan"/>
    <d v="2026-03-16T00:00:00"/>
    <d v="2026-03-20T00:00:00"/>
    <d v="2026-03-19T00:00:00"/>
    <n v="8.16"/>
    <x v="0"/>
  </r>
  <r>
    <x v="377"/>
    <n v="1423"/>
    <x v="2"/>
    <s v="Salt Lake City"/>
    <d v="2026-01-12T00:00:00"/>
    <d v="2026-01-08T00:00:00"/>
    <d v="2026-01-16T00:00:00"/>
    <n v="27.86"/>
    <x v="1"/>
  </r>
  <r>
    <x v="378"/>
    <n v="1424"/>
    <x v="3"/>
    <s v="Lehi"/>
    <d v="2026-01-16T00:00:00"/>
    <d v="2026-01-14T00:00:00"/>
    <d v="2026-01-23T00:00:00"/>
    <n v="70.42"/>
    <x v="2"/>
  </r>
  <r>
    <x v="379"/>
    <n v="1425"/>
    <x v="0"/>
    <s v="Lehi"/>
    <d v="2026-04-12T00:00:00"/>
    <d v="2026-04-14T00:00:00"/>
    <d v="2026-04-19T00:00:00"/>
    <n v="8.48"/>
    <x v="1"/>
  </r>
  <r>
    <x v="380"/>
    <n v="1426"/>
    <x v="1"/>
    <s v="Lehi"/>
    <d v="2026-01-07T00:00:00"/>
    <d v="2026-01-10T00:00:00"/>
    <d v="2026-01-16T00:00:00"/>
    <n v="40.43"/>
    <x v="1"/>
  </r>
  <r>
    <x v="381"/>
    <n v="1427"/>
    <x v="0"/>
    <s v="Lehi"/>
    <d v="2026-03-15T00:00:00"/>
    <d v="2026-03-15T00:00:00"/>
    <d v="2026-03-19T00:00:00"/>
    <n v="11.05"/>
    <x v="0"/>
  </r>
  <r>
    <x v="382"/>
    <n v="1428"/>
    <x v="0"/>
    <s v="Draper"/>
    <d v="2026-04-09T00:00:00"/>
    <d v="2026-04-05T00:00:00"/>
    <d v="2026-04-16T00:00:00"/>
    <n v="12.28"/>
    <x v="0"/>
  </r>
  <r>
    <x v="383"/>
    <n v="1429"/>
    <x v="5"/>
    <s v="Salt Lake City"/>
    <d v="2026-04-02T00:00:00"/>
    <d v="2026-03-27T00:00:00"/>
    <d v="2026-04-05T00:00:00"/>
    <n v="48.21"/>
    <x v="2"/>
  </r>
  <r>
    <x v="384"/>
    <n v="1430"/>
    <x v="2"/>
    <s v="West Valley"/>
    <d v="2026-05-09T00:00:00"/>
    <d v="2026-05-16T00:00:00"/>
    <d v="2026-05-13T00:00:00"/>
    <n v="55.62"/>
    <x v="0"/>
  </r>
  <r>
    <x v="385"/>
    <n v="1431"/>
    <x v="1"/>
    <s v="South Jordan"/>
    <d v="2026-04-05T00:00:00"/>
    <d v="2026-04-05T00:00:00"/>
    <d v="2026-04-07T00:00:00"/>
    <n v="13.45"/>
    <x v="2"/>
  </r>
  <r>
    <x v="386"/>
    <n v="1432"/>
    <x v="1"/>
    <s v="Salt Lake City"/>
    <d v="2026-02-16T00:00:00"/>
    <d v="2026-02-19T00:00:00"/>
    <d v="2026-02-17T00:00:00"/>
    <n v="100.73"/>
    <x v="2"/>
  </r>
  <r>
    <x v="387"/>
    <n v="1433"/>
    <x v="3"/>
    <s v="Salt Lake City"/>
    <d v="2026-04-13T00:00:00"/>
    <d v="2026-04-15T00:00:00"/>
    <d v="2026-04-16T00:00:00"/>
    <n v="89.08"/>
    <x v="2"/>
  </r>
  <r>
    <x v="388"/>
    <n v="1434"/>
    <x v="0"/>
    <s v="Salt Lake City"/>
    <d v="2026-01-04T00:00:00"/>
    <d v="2026-01-07T00:00:00"/>
    <d v="2026-01-13T00:00:00"/>
    <n v="36.28"/>
    <x v="1"/>
  </r>
  <r>
    <x v="389"/>
    <n v="1435"/>
    <x v="3"/>
    <s v="Draper"/>
    <d v="2026-03-21T00:00:00"/>
    <d v="2026-03-20T00:00:00"/>
    <d v="2026-03-24T00:00:00"/>
    <n v="7.17"/>
    <x v="0"/>
  </r>
  <r>
    <x v="390"/>
    <n v="1436"/>
    <x v="4"/>
    <s v="Draper"/>
    <d v="2026-05-07T00:00:00"/>
    <d v="2026-05-10T00:00:00"/>
    <d v="2026-05-09T00:00:00"/>
    <n v="116.34"/>
    <x v="0"/>
  </r>
  <r>
    <x v="391"/>
    <n v="1437"/>
    <x v="4"/>
    <s v="Draper"/>
    <d v="2026-03-27T00:00:00"/>
    <d v="2026-03-28T00:00:00"/>
    <d v="2026-04-06T00:00:00"/>
    <n v="47.64"/>
    <x v="1"/>
  </r>
  <r>
    <x v="392"/>
    <n v="1438"/>
    <x v="0"/>
    <s v="Draper"/>
    <d v="2026-05-10T00:00:00"/>
    <d v="2026-05-05T00:00:00"/>
    <d v="2026-05-18T00:00:00"/>
    <n v="65.53"/>
    <x v="1"/>
  </r>
  <r>
    <x v="393"/>
    <n v="1439"/>
    <x v="2"/>
    <s v="Draper"/>
    <d v="2026-05-06T00:00:00"/>
    <d v="2026-05-10T00:00:00"/>
    <d v="2026-05-12T00:00:00"/>
    <n v="80.63"/>
    <x v="0"/>
  </r>
  <r>
    <x v="394"/>
    <n v="1440"/>
    <x v="2"/>
    <s v="South Jordan"/>
    <d v="2026-05-09T00:00:00"/>
    <d v="2026-05-13T00:00:00"/>
    <d v="2026-05-15T00:00:00"/>
    <n v="51.7"/>
    <x v="1"/>
  </r>
  <r>
    <x v="395"/>
    <n v="1442"/>
    <x v="0"/>
    <s v="Draper"/>
    <d v="2026-03-30T00:00:00"/>
    <d v="2026-04-01T00:00:00"/>
    <d v="2026-04-01T00:00:00"/>
    <n v="79.97"/>
    <x v="2"/>
  </r>
  <r>
    <x v="396"/>
    <n v="1443"/>
    <x v="5"/>
    <s v="Draper"/>
    <d v="2026-04-19T00:00:00"/>
    <d v="2026-04-17T00:00:00"/>
    <d v="2026-04-27T00:00:00"/>
    <n v="8.91"/>
    <x v="2"/>
  </r>
  <r>
    <x v="397"/>
    <n v="1445"/>
    <x v="2"/>
    <s v="South Jordan"/>
    <d v="2026-04-25T00:00:00"/>
    <d v="2026-04-23T00:00:00"/>
    <d v="2026-05-04T00:00:00"/>
    <n v="62.76"/>
    <x v="1"/>
  </r>
  <r>
    <x v="398"/>
    <n v="1446"/>
    <x v="5"/>
    <s v="Salt Lake City"/>
    <d v="2026-02-05T00:00:00"/>
    <d v="2026-01-30T00:00:00"/>
    <d v="2026-02-10T00:00:00"/>
    <n v="42.56"/>
    <x v="1"/>
  </r>
  <r>
    <x v="399"/>
    <n v="1447"/>
    <x v="5"/>
    <s v="West Valley"/>
    <d v="2026-02-16T00:00:00"/>
    <d v="2026-02-18T00:00:00"/>
    <d v="2026-02-21T00:00:00"/>
    <n v="89.9"/>
    <x v="1"/>
  </r>
  <r>
    <x v="400"/>
    <n v="1448"/>
    <x v="5"/>
    <s v="South Jordan"/>
    <d v="2026-04-22T00:00:00"/>
    <d v="2026-04-21T00:00:00"/>
    <d v="2026-04-24T00:00:00"/>
    <n v="110.86"/>
    <x v="2"/>
  </r>
  <r>
    <x v="401"/>
    <n v="1449"/>
    <x v="2"/>
    <s v="Draper"/>
    <d v="2026-01-03T00:00:00"/>
    <d v="2026-01-09T00:00:00"/>
    <d v="2026-01-11T00:00:00"/>
    <n v="23.8"/>
    <x v="1"/>
  </r>
  <r>
    <x v="402"/>
    <n v="1450"/>
    <x v="1"/>
    <s v="Draper"/>
    <d v="2026-04-25T00:00:00"/>
    <d v="2026-04-22T00:00:00"/>
    <d v="2026-05-05T00:00:00"/>
    <n v="107.19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2">
  <r>
    <n v="1"/>
    <n v="1"/>
    <s v="South Jordan"/>
    <n v="22"/>
    <d v="2026-04-01T00:00:00"/>
    <d v="2026-03-11T00:00:00"/>
    <n v="72"/>
    <s v="61-90"/>
    <n v="16"/>
    <s v="OK"/>
    <n v="619"/>
    <n v="320.5"/>
    <n v="0.05"/>
    <n v="134.77000000000001"/>
    <n v="2964.94"/>
    <x v="0"/>
    <s v="OK"/>
    <x v="0"/>
  </r>
  <r>
    <n v="2"/>
    <n v="2"/>
    <s v="South Jordan"/>
    <n v="405"/>
    <d v="2026-04-22T00:00:00"/>
    <d v="2026-06-02T00:00:00"/>
    <n v="-11"/>
    <s v="0-30"/>
    <n v="37"/>
    <s v="Overstock"/>
    <n v="919"/>
    <n v="662"/>
    <n v="0.06"/>
    <n v="20.21"/>
    <n v="8185.05"/>
    <x v="0"/>
    <s v="OK"/>
    <x v="1"/>
  </r>
  <r>
    <n v="3"/>
    <n v="2"/>
    <s v="Unknown"/>
    <n v="253"/>
    <d v="2026-04-23T00:00:00"/>
    <d v="2026-06-02T00:00:00"/>
    <n v="-11"/>
    <s v="0-30"/>
    <n v="37"/>
    <s v="Overstock"/>
    <n v="919"/>
    <n v="586"/>
    <n v="0.06"/>
    <n v="20.21"/>
    <n v="5113.13"/>
    <x v="0"/>
    <s v="OK"/>
    <x v="1"/>
  </r>
  <r>
    <n v="4"/>
    <n v="2"/>
    <s v="West Valley"/>
    <n v="257"/>
    <d v="2026-04-10T00:00:00"/>
    <d v="2026-06-02T00:00:00"/>
    <n v="-11"/>
    <s v="0-30"/>
    <n v="37"/>
    <s v="Overstock"/>
    <n v="919"/>
    <n v="588"/>
    <n v="0.06"/>
    <n v="20.21"/>
    <n v="5193.97"/>
    <x v="0"/>
    <s v="OK"/>
    <x v="1"/>
  </r>
  <r>
    <n v="5"/>
    <n v="3"/>
    <s v="South Jordan"/>
    <n v="51"/>
    <d v="2026-04-02T00:00:00"/>
    <d v="2026-02-24T00:00:00"/>
    <n v="87"/>
    <s v="61-90"/>
    <n v="27"/>
    <s v="OK"/>
    <n v="760"/>
    <n v="405.5"/>
    <n v="7.0000000000000007E-2"/>
    <n v="93.44"/>
    <n v="4765.4399999999996"/>
    <x v="0"/>
    <s v="OK"/>
    <x v="2"/>
  </r>
  <r>
    <n v="6"/>
    <n v="4"/>
    <s v="Draper"/>
    <n v="209"/>
    <d v="2026-04-22T00:00:00"/>
    <d v="2026-02-19T00:00:00"/>
    <n v="92"/>
    <s v="90+"/>
    <n v="67"/>
    <s v="Overstock"/>
    <n v="382"/>
    <n v="295.5"/>
    <n v="0.23"/>
    <n v="83.61"/>
    <n v="17474.490000000002"/>
    <x v="0"/>
    <s v="OK"/>
    <x v="3"/>
  </r>
  <r>
    <n v="7"/>
    <n v="5"/>
    <s v="South Jordan"/>
    <n v="400"/>
    <d v="2026-04-10T00:00:00"/>
    <d v="2026-03-24T00:00:00"/>
    <n v="59"/>
    <s v="31-60"/>
    <n v="16"/>
    <s v="Overstock"/>
    <n v="914"/>
    <n v="657"/>
    <n v="0.02"/>
    <n v="64.540000000000006"/>
    <n v="25816.000000000004"/>
    <x v="0"/>
    <s v="OK"/>
    <x v="4"/>
  </r>
  <r>
    <n v="8"/>
    <n v="6"/>
    <s v="South Jordan"/>
    <n v="168"/>
    <d v="2026-03-08T00:00:00"/>
    <d v="2026-01-28T00:00:00"/>
    <n v="114"/>
    <s v="90+"/>
    <n v="51"/>
    <s v="Overstock"/>
    <n v="392"/>
    <n v="280"/>
    <n v="0.18"/>
    <n v="21.93"/>
    <n v="3684.24"/>
    <x v="0"/>
    <s v="OK"/>
    <x v="5"/>
  </r>
  <r>
    <n v="9"/>
    <n v="6"/>
    <s v="Salt Lake City"/>
    <n v="273"/>
    <d v="2026-04-11T00:00:00"/>
    <d v="2026-01-28T00:00:00"/>
    <n v="114"/>
    <s v="90+"/>
    <n v="51"/>
    <s v="Overstock"/>
    <n v="392"/>
    <n v="332.5"/>
    <n v="0.15"/>
    <n v="21.93"/>
    <n v="5986.89"/>
    <x v="0"/>
    <s v="OK"/>
    <x v="5"/>
  </r>
  <r>
    <n v="10"/>
    <n v="6"/>
    <s v="Unknown"/>
    <n v="320"/>
    <d v="2026-03-14T00:00:00"/>
    <d v="2026-01-28T00:00:00"/>
    <n v="114"/>
    <s v="90+"/>
    <n v="51"/>
    <s v="Overstock"/>
    <n v="392"/>
    <n v="356"/>
    <n v="0.14000000000000001"/>
    <n v="21.93"/>
    <n v="7017.6"/>
    <x v="0"/>
    <s v="OK"/>
    <x v="5"/>
  </r>
  <r>
    <n v="11"/>
    <n v="7"/>
    <s v="Unknown"/>
    <n v="316"/>
    <d v="2026-03-22T00:00:00"/>
    <d v="2026-03-25T00:00:00"/>
    <n v="58"/>
    <s v="31-60"/>
    <n v="26"/>
    <s v="Overstock"/>
    <n v="962"/>
    <n v="639"/>
    <n v="0.04"/>
    <n v="98.84"/>
    <n v="31233.440000000002"/>
    <x v="0"/>
    <s v="OK"/>
    <x v="6"/>
  </r>
  <r>
    <n v="12"/>
    <n v="7"/>
    <s v="Salt Lake City"/>
    <n v="350"/>
    <d v="2026-04-17T00:00:00"/>
    <d v="2026-03-25T00:00:00"/>
    <n v="58"/>
    <s v="31-60"/>
    <n v="26"/>
    <s v="Overstock"/>
    <n v="962"/>
    <n v="656"/>
    <n v="0.04"/>
    <n v="98.84"/>
    <n v="34594"/>
    <x v="0"/>
    <s v="OK"/>
    <x v="6"/>
  </r>
  <r>
    <n v="13"/>
    <n v="8"/>
    <s v="Salt Lake City"/>
    <n v="389"/>
    <d v="2026-03-07T00:00:00"/>
    <d v="2026-02-24T00:00:00"/>
    <n v="87"/>
    <s v="61-90"/>
    <n v="61"/>
    <s v="Overstock"/>
    <n v="915"/>
    <n v="652"/>
    <n v="0.09"/>
    <n v="159.94999999999999"/>
    <n v="62220.549999999996"/>
    <x v="0"/>
    <s v="OK"/>
    <x v="7"/>
  </r>
  <r>
    <n v="14"/>
    <n v="8"/>
    <s v="South Jordan"/>
    <n v="51"/>
    <d v="2026-03-18T00:00:00"/>
    <d v="2026-02-24T00:00:00"/>
    <n v="87"/>
    <s v="61-90"/>
    <n v="61"/>
    <s v="OK"/>
    <n v="915"/>
    <n v="483"/>
    <n v="0.13"/>
    <n v="159.94999999999999"/>
    <n v="8157.45"/>
    <x v="0"/>
    <s v="OK"/>
    <x v="7"/>
  </r>
  <r>
    <n v="15"/>
    <n v="8"/>
    <s v="Salt Lake City"/>
    <n v="153"/>
    <d v="2026-04-29T00:00:00"/>
    <d v="2026-02-24T00:00:00"/>
    <n v="87"/>
    <s v="61-90"/>
    <n v="61"/>
    <s v="OK"/>
    <n v="915"/>
    <n v="534"/>
    <n v="0.11"/>
    <n v="159.94999999999999"/>
    <n v="24472.35"/>
    <x v="0"/>
    <s v="OK"/>
    <x v="7"/>
  </r>
  <r>
    <n v="16"/>
    <n v="9"/>
    <s v="Salt Lake City"/>
    <n v="183"/>
    <d v="2026-04-22T00:00:00"/>
    <d v="2026-04-05T00:00:00"/>
    <n v="47"/>
    <s v="31-60"/>
    <n v="31"/>
    <s v="Overstock"/>
    <n v="705"/>
    <n v="444"/>
    <n v="7.0000000000000007E-2"/>
    <n v="120.72"/>
    <n v="22091.759999999998"/>
    <x v="0"/>
    <s v="OK"/>
    <x v="8"/>
  </r>
  <r>
    <n v="17"/>
    <n v="9"/>
    <s v="Lehi"/>
    <n v="125"/>
    <d v="2026-03-26T00:00:00"/>
    <d v="2026-04-05T00:00:00"/>
    <n v="47"/>
    <s v="31-60"/>
    <n v="31"/>
    <s v="Overstock"/>
    <n v="705"/>
    <n v="415"/>
    <n v="7.0000000000000007E-2"/>
    <n v="120.72"/>
    <n v="15090"/>
    <x v="0"/>
    <s v="OK"/>
    <x v="8"/>
  </r>
  <r>
    <n v="18"/>
    <n v="10"/>
    <s v="Draper"/>
    <n v="40"/>
    <d v="2026-04-07T00:00:00"/>
    <d v="2026-02-09T00:00:00"/>
    <n v="102"/>
    <s v="90+"/>
    <n v="19"/>
    <s v="OK"/>
    <n v="345"/>
    <n v="192.5"/>
    <n v="0.1"/>
    <n v="71.52"/>
    <n v="2860.7999999999997"/>
    <x v="0"/>
    <s v="OK"/>
    <x v="9"/>
  </r>
  <r>
    <n v="19"/>
    <n v="10"/>
    <s v="Unknown"/>
    <n v="317"/>
    <d v="2026-03-31T00:00:00"/>
    <d v="2026-02-09T00:00:00"/>
    <n v="102"/>
    <s v="90+"/>
    <n v="19"/>
    <s v="Overstock"/>
    <n v="345"/>
    <n v="331"/>
    <n v="0.06"/>
    <n v="71.52"/>
    <n v="22671.84"/>
    <x v="0"/>
    <s v="OK"/>
    <x v="9"/>
  </r>
  <r>
    <n v="20"/>
    <n v="10"/>
    <s v="Salt Lake City"/>
    <n v="467"/>
    <d v="2026-04-17T00:00:00"/>
    <d v="2026-02-09T00:00:00"/>
    <n v="102"/>
    <s v="90+"/>
    <n v="19"/>
    <s v="Overstock"/>
    <n v="345"/>
    <n v="406"/>
    <n v="0.05"/>
    <n v="71.52"/>
    <n v="33399.839999999997"/>
    <x v="0"/>
    <s v="OK"/>
    <x v="9"/>
  </r>
  <r>
    <n v="21"/>
    <n v="11"/>
    <s v="Lehi"/>
    <n v="130"/>
    <d v="2026-03-05T00:00:00"/>
    <d v="2026-04-17T00:00:00"/>
    <n v="35"/>
    <s v="31-60"/>
    <n v="3"/>
    <s v="Overstock"/>
    <n v="864"/>
    <n v="497"/>
    <n v="0.01"/>
    <n v="41.66"/>
    <n v="5415.7999999999993"/>
    <x v="1"/>
    <s v="OK"/>
    <x v="10"/>
  </r>
  <r>
    <n v="22"/>
    <n v="11"/>
    <s v="South Jordan"/>
    <n v="411"/>
    <d v="2026-04-13T00:00:00"/>
    <d v="2026-04-17T00:00:00"/>
    <n v="35"/>
    <s v="31-60"/>
    <n v="3"/>
    <s v="Overstock"/>
    <n v="864"/>
    <n v="637.5"/>
    <n v="0"/>
    <n v="41.66"/>
    <n v="17122.259999999998"/>
    <x v="1"/>
    <s v="OK"/>
    <x v="10"/>
  </r>
  <r>
    <n v="23"/>
    <n v="12"/>
    <s v="Unknown"/>
    <n v="226"/>
    <d v="2026-03-25T00:00:00"/>
    <d v="2026-04-04T00:00:00"/>
    <n v="48"/>
    <s v="31-60"/>
    <n v="19"/>
    <s v="Overstock"/>
    <n v="-25"/>
    <n v="100.5"/>
    <n v="0.19"/>
    <n v="132.6"/>
    <n v="29967.599999999999"/>
    <x v="0"/>
    <s v="OK"/>
    <x v="11"/>
  </r>
  <r>
    <n v="24"/>
    <n v="12"/>
    <s v="Draper"/>
    <n v="153"/>
    <d v="2026-04-04T00:00:00"/>
    <d v="2026-04-04T00:00:00"/>
    <n v="48"/>
    <s v="31-60"/>
    <n v="19"/>
    <s v="Overstock"/>
    <n v="-25"/>
    <n v="64"/>
    <n v="0.3"/>
    <n v="132.6"/>
    <n v="20287.8"/>
    <x v="0"/>
    <s v="OK"/>
    <x v="11"/>
  </r>
  <r>
    <n v="25"/>
    <n v="12"/>
    <s v="Salt Lake City"/>
    <n v="353"/>
    <d v="2026-03-08T00:00:00"/>
    <d v="2026-04-04T00:00:00"/>
    <n v="48"/>
    <s v="31-60"/>
    <n v="19"/>
    <s v="Overstock"/>
    <n v="-25"/>
    <n v="164"/>
    <n v="0.12"/>
    <n v="132.6"/>
    <n v="46807.799999999996"/>
    <x v="0"/>
    <s v="OK"/>
    <x v="11"/>
  </r>
  <r>
    <n v="26"/>
    <n v="13"/>
    <s v="Draper"/>
    <n v="436"/>
    <d v="2026-04-16T00:00:00"/>
    <d v="2026-02-23T00:00:00"/>
    <n v="88"/>
    <s v="61-90"/>
    <n v="34"/>
    <s v="Overstock"/>
    <n v="44"/>
    <n v="240"/>
    <n v="0.14000000000000001"/>
    <n v="152.5"/>
    <n v="66490"/>
    <x v="0"/>
    <s v="OK"/>
    <x v="12"/>
  </r>
  <r>
    <n v="27"/>
    <n v="13"/>
    <s v="South Jordan"/>
    <n v="195"/>
    <d v="2026-03-26T00:00:00"/>
    <d v="2026-02-23T00:00:00"/>
    <n v="88"/>
    <s v="61-90"/>
    <n v="34"/>
    <s v="Overstock"/>
    <n v="44"/>
    <n v="119.5"/>
    <n v="0.28000000000000003"/>
    <n v="152.5"/>
    <n v="29737.5"/>
    <x v="0"/>
    <s v="OK"/>
    <x v="12"/>
  </r>
  <r>
    <n v="28"/>
    <n v="14"/>
    <s v="Lehi"/>
    <n v="500"/>
    <d v="2026-04-06T00:00:00"/>
    <d v="2026-04-13T00:00:00"/>
    <n v="39"/>
    <s v="31-60"/>
    <n v="33"/>
    <s v="Overstock"/>
    <n v="602"/>
    <n v="551"/>
    <n v="0.06"/>
    <n v="75.2"/>
    <n v="37600"/>
    <x v="0"/>
    <s v="OK"/>
    <x v="13"/>
  </r>
  <r>
    <n v="29"/>
    <n v="14"/>
    <s v="Salt Lake City"/>
    <n v="0"/>
    <d v="2026-03-04T00:00:00"/>
    <d v="2026-04-13T00:00:00"/>
    <n v="39"/>
    <s v="31-60"/>
    <n v="33"/>
    <s v="OK"/>
    <n v="602"/>
    <n v="301"/>
    <n v="0.11"/>
    <n v="75.2"/>
    <n v="0"/>
    <x v="0"/>
    <s v="OK"/>
    <x v="13"/>
  </r>
  <r>
    <n v="30"/>
    <n v="15"/>
    <s v="South Jordan"/>
    <n v="409"/>
    <d v="2026-03-11T00:00:00"/>
    <d v="2026-04-16T00:00:00"/>
    <n v="36"/>
    <s v="31-60"/>
    <n v="24"/>
    <s v="Overstock"/>
    <n v="263"/>
    <n v="336"/>
    <n v="7.0000000000000007E-2"/>
    <n v="159.82"/>
    <n v="65366.38"/>
    <x v="0"/>
    <s v="OK"/>
    <x v="14"/>
  </r>
  <r>
    <n v="31"/>
    <n v="15"/>
    <s v="Lehi"/>
    <n v="180"/>
    <d v="2026-04-19T00:00:00"/>
    <d v="2026-04-16T00:00:00"/>
    <n v="36"/>
    <s v="31-60"/>
    <n v="24"/>
    <s v="Overstock"/>
    <n v="263"/>
    <n v="221.5"/>
    <n v="0.11"/>
    <n v="159.82"/>
    <n v="28767.599999999999"/>
    <x v="0"/>
    <s v="OK"/>
    <x v="14"/>
  </r>
  <r>
    <n v="32"/>
    <n v="15"/>
    <s v="South Jordan"/>
    <n v="317"/>
    <d v="2026-03-14T00:00:00"/>
    <d v="2026-04-16T00:00:00"/>
    <n v="36"/>
    <s v="31-60"/>
    <n v="24"/>
    <s v="Overstock"/>
    <n v="263"/>
    <n v="290"/>
    <n v="0.08"/>
    <n v="159.82"/>
    <n v="50662.939999999995"/>
    <x v="0"/>
    <s v="OK"/>
    <x v="14"/>
  </r>
  <r>
    <n v="33"/>
    <n v="16"/>
    <s v="Draper"/>
    <n v="330"/>
    <d v="2026-03-12T00:00:00"/>
    <d v="2026-04-09T00:00:00"/>
    <n v="43"/>
    <s v="31-60"/>
    <n v="38"/>
    <s v="Overstock"/>
    <n v="191"/>
    <n v="260.5"/>
    <n v="0.15"/>
    <n v="135.37"/>
    <n v="44672.1"/>
    <x v="0"/>
    <s v="OK"/>
    <x v="15"/>
  </r>
  <r>
    <n v="34"/>
    <n v="16"/>
    <s v="Salt Lake City"/>
    <n v="225"/>
    <d v="2026-04-08T00:00:00"/>
    <d v="2026-04-09T00:00:00"/>
    <n v="43"/>
    <s v="31-60"/>
    <n v="38"/>
    <s v="Overstock"/>
    <n v="191"/>
    <n v="208"/>
    <n v="0.18"/>
    <n v="135.37"/>
    <n v="30458.25"/>
    <x v="0"/>
    <s v="OK"/>
    <x v="15"/>
  </r>
  <r>
    <n v="35"/>
    <n v="16"/>
    <s v="West Valley"/>
    <n v="374"/>
    <d v="2026-03-04T00:00:00"/>
    <d v="2026-04-09T00:00:00"/>
    <n v="43"/>
    <s v="31-60"/>
    <n v="38"/>
    <s v="Overstock"/>
    <n v="191"/>
    <n v="282.5"/>
    <n v="0.13"/>
    <n v="135.37"/>
    <n v="50628.380000000005"/>
    <x v="0"/>
    <s v="OK"/>
    <x v="15"/>
  </r>
  <r>
    <n v="36"/>
    <n v="17"/>
    <s v="West Valley"/>
    <n v="89"/>
    <d v="2026-03-12T00:00:00"/>
    <d v="2026-02-14T00:00:00"/>
    <n v="97"/>
    <s v="90+"/>
    <n v="42"/>
    <s v="OK"/>
    <n v="224"/>
    <n v="156.5"/>
    <n v="0.27"/>
    <n v="43.38"/>
    <n v="3860.82"/>
    <x v="0"/>
    <s v="OK"/>
    <x v="16"/>
  </r>
  <r>
    <n v="37"/>
    <n v="17"/>
    <s v="South Jordan"/>
    <n v="276"/>
    <d v="2026-04-08T00:00:00"/>
    <d v="2026-02-14T00:00:00"/>
    <n v="97"/>
    <s v="90+"/>
    <n v="42"/>
    <s v="Overstock"/>
    <n v="224"/>
    <n v="250"/>
    <n v="0.17"/>
    <n v="43.38"/>
    <n v="11972.880000000001"/>
    <x v="0"/>
    <s v="OK"/>
    <x v="16"/>
  </r>
  <r>
    <n v="38"/>
    <n v="18"/>
    <s v="Unknown"/>
    <n v="84"/>
    <d v="2026-03-10T00:00:00"/>
    <d v="2026-04-18T00:00:00"/>
    <n v="34"/>
    <s v="31-60"/>
    <n v="22"/>
    <s v="Overstock"/>
    <n v="646"/>
    <n v="365"/>
    <n v="0.06"/>
    <n v="31.75"/>
    <n v="2667"/>
    <x v="0"/>
    <s v="OK"/>
    <x v="17"/>
  </r>
  <r>
    <n v="39"/>
    <n v="18"/>
    <s v="Lehi"/>
    <n v="483"/>
    <d v="2026-03-11T00:00:00"/>
    <d v="2026-04-18T00:00:00"/>
    <n v="34"/>
    <s v="31-60"/>
    <n v="22"/>
    <s v="Overstock"/>
    <n v="646"/>
    <n v="564.5"/>
    <n v="0.04"/>
    <n v="31.75"/>
    <n v="15335.25"/>
    <x v="0"/>
    <s v="OK"/>
    <x v="17"/>
  </r>
  <r>
    <n v="40"/>
    <n v="18"/>
    <s v="South Jordan"/>
    <n v="151"/>
    <d v="2026-04-10T00:00:00"/>
    <d v="2026-04-18T00:00:00"/>
    <n v="34"/>
    <s v="31-60"/>
    <n v="22"/>
    <s v="Overstock"/>
    <n v="646"/>
    <n v="398.5"/>
    <n v="0.06"/>
    <n v="31.75"/>
    <n v="4794.25"/>
    <x v="0"/>
    <s v="OK"/>
    <x v="17"/>
  </r>
  <r>
    <n v="41"/>
    <n v="19"/>
    <s v="South Jordan"/>
    <n v="493"/>
    <d v="2026-03-14T00:00:00"/>
    <d v="2026-04-22T00:00:00"/>
    <n v="30"/>
    <s v="0-30"/>
    <n v="34"/>
    <s v="Overstock"/>
    <n v="98"/>
    <n v="295.5"/>
    <n v="0.12"/>
    <n v="71.78"/>
    <n v="35387.54"/>
    <x v="0"/>
    <s v="OK"/>
    <x v="18"/>
  </r>
  <r>
    <n v="42"/>
    <n v="20"/>
    <s v="South Jordan"/>
    <n v="495"/>
    <d v="2026-03-27T00:00:00"/>
    <d v="2026-01-26T00:00:00"/>
    <n v="116"/>
    <s v="90+"/>
    <n v="27"/>
    <s v="Overstock"/>
    <n v="194"/>
    <n v="344.5"/>
    <n v="0.08"/>
    <n v="124.3"/>
    <n v="61528.5"/>
    <x v="0"/>
    <s v="OK"/>
    <x v="19"/>
  </r>
  <r>
    <n v="43"/>
    <n v="21"/>
    <s v="Salt Lake City"/>
    <n v="7"/>
    <d v="2026-04-24T00:00:00"/>
    <d v="2026-03-19T00:00:00"/>
    <n v="64"/>
    <s v="61-90"/>
    <n v="26"/>
    <s v="OK"/>
    <n v="162"/>
    <n v="84.5"/>
    <n v="0.31"/>
    <n v="56.36"/>
    <n v="394.52"/>
    <x v="0"/>
    <s v="Reorder"/>
    <x v="20"/>
  </r>
  <r>
    <n v="44"/>
    <n v="21"/>
    <s v="South Jordan"/>
    <n v="232"/>
    <d v="2026-03-15T00:00:00"/>
    <d v="2026-03-19T00:00:00"/>
    <n v="64"/>
    <s v="61-90"/>
    <n v="26"/>
    <s v="Overstock"/>
    <n v="162"/>
    <n v="197"/>
    <n v="0.13"/>
    <n v="56.36"/>
    <n v="13075.52"/>
    <x v="0"/>
    <s v="Reorder"/>
    <x v="20"/>
  </r>
  <r>
    <n v="45"/>
    <n v="22"/>
    <s v="Lehi"/>
    <n v="326"/>
    <d v="2026-04-25T00:00:00"/>
    <e v="#N/A"/>
    <e v="#N/A"/>
    <e v="#N/A"/>
    <n v="57"/>
    <s v="Overstock"/>
    <n v="0"/>
    <n v="163"/>
    <n v="0.35"/>
    <n v="138.34"/>
    <n v="45098.840000000004"/>
    <x v="0"/>
    <s v=""/>
    <x v="21"/>
  </r>
  <r>
    <n v="46"/>
    <n v="22"/>
    <s v="South Jordan"/>
    <n v="345"/>
    <d v="2026-04-30T00:00:00"/>
    <e v="#N/A"/>
    <e v="#N/A"/>
    <e v="#N/A"/>
    <n v="57"/>
    <s v="Overstock"/>
    <n v="0"/>
    <n v="172.5"/>
    <n v="0.33"/>
    <n v="138.34"/>
    <n v="47727.3"/>
    <x v="0"/>
    <s v=""/>
    <x v="21"/>
  </r>
  <r>
    <n v="47"/>
    <n v="22"/>
    <s v="South Jordan"/>
    <n v="317"/>
    <d v="2026-03-27T00:00:00"/>
    <e v="#N/A"/>
    <e v="#N/A"/>
    <e v="#N/A"/>
    <n v="57"/>
    <s v="Overstock"/>
    <n v="0"/>
    <n v="158.5"/>
    <n v="0.36"/>
    <n v="138.34"/>
    <n v="43853.78"/>
    <x v="0"/>
    <s v=""/>
    <x v="21"/>
  </r>
  <r>
    <n v="48"/>
    <n v="23"/>
    <s v="Draper"/>
    <n v="325"/>
    <d v="2026-03-04T00:00:00"/>
    <d v="2026-03-19T00:00:00"/>
    <n v="64"/>
    <s v="61-90"/>
    <n v="23"/>
    <s v="Overstock"/>
    <n v="954"/>
    <n v="639.5"/>
    <n v="0.04"/>
    <n v="111.57"/>
    <n v="36260.25"/>
    <x v="0"/>
    <s v="OK"/>
    <x v="22"/>
  </r>
  <r>
    <n v="49"/>
    <n v="23"/>
    <s v="Salt Lake City"/>
    <n v="358"/>
    <d v="2026-04-05T00:00:00"/>
    <d v="2026-03-19T00:00:00"/>
    <n v="64"/>
    <s v="61-90"/>
    <n v="23"/>
    <s v="Overstock"/>
    <n v="954"/>
    <n v="656"/>
    <n v="0.04"/>
    <n v="111.57"/>
    <n v="39942.06"/>
    <x v="0"/>
    <s v="OK"/>
    <x v="22"/>
  </r>
  <r>
    <n v="50"/>
    <n v="24"/>
    <s v="Draper"/>
    <n v="23"/>
    <d v="2026-04-12T00:00:00"/>
    <d v="2026-02-11T00:00:00"/>
    <n v="100"/>
    <s v="90+"/>
    <n v="49"/>
    <s v="OK"/>
    <n v="611"/>
    <n v="317"/>
    <n v="0.15"/>
    <n v="61.73"/>
    <n v="1419.79"/>
    <x v="0"/>
    <s v="OK"/>
    <x v="23"/>
  </r>
  <r>
    <n v="51"/>
    <n v="25"/>
    <s v="Salt Lake City"/>
    <n v="120"/>
    <d v="2026-04-23T00:00:00"/>
    <d v="2026-05-24T00:00:00"/>
    <n v="-2"/>
    <s v="0-30"/>
    <n v="32"/>
    <s v="Overstock"/>
    <n v="212"/>
    <n v="166"/>
    <n v="0.19"/>
    <n v="15.14"/>
    <n v="1816.8000000000002"/>
    <x v="0"/>
    <s v="OK"/>
    <x v="24"/>
  </r>
  <r>
    <n v="52"/>
    <n v="25"/>
    <s v="Unknown"/>
    <n v="198"/>
    <d v="2026-03-20T00:00:00"/>
    <d v="2026-05-24T00:00:00"/>
    <n v="-2"/>
    <s v="0-30"/>
    <n v="32"/>
    <s v="Overstock"/>
    <n v="212"/>
    <n v="205"/>
    <n v="0.16"/>
    <n v="15.14"/>
    <n v="2997.7200000000003"/>
    <x v="0"/>
    <s v="OK"/>
    <x v="24"/>
  </r>
  <r>
    <n v="53"/>
    <n v="26"/>
    <s v="Unknown"/>
    <n v="380"/>
    <d v="2026-03-06T00:00:00"/>
    <d v="2026-03-26T00:00:00"/>
    <n v="57"/>
    <s v="31-60"/>
    <n v="6"/>
    <s v="Overstock"/>
    <n v="947"/>
    <n v="663.5"/>
    <n v="0.01"/>
    <n v="176.15"/>
    <n v="66937"/>
    <x v="1"/>
    <s v="OK"/>
    <x v="25"/>
  </r>
  <r>
    <n v="54"/>
    <n v="26"/>
    <s v="South Jordan"/>
    <n v="212"/>
    <d v="2026-03-09T00:00:00"/>
    <d v="2026-03-26T00:00:00"/>
    <n v="57"/>
    <s v="31-60"/>
    <n v="6"/>
    <s v="Overstock"/>
    <n v="947"/>
    <n v="579.5"/>
    <n v="0.01"/>
    <n v="176.15"/>
    <n v="37343.800000000003"/>
    <x v="1"/>
    <s v="OK"/>
    <x v="25"/>
  </r>
  <r>
    <n v="55"/>
    <n v="26"/>
    <s v="Lehi"/>
    <n v="250"/>
    <d v="2026-03-02T00:00:00"/>
    <d v="2026-03-26T00:00:00"/>
    <n v="57"/>
    <s v="31-60"/>
    <n v="6"/>
    <s v="Overstock"/>
    <n v="947"/>
    <n v="598.5"/>
    <n v="0.01"/>
    <n v="176.15"/>
    <n v="44037.5"/>
    <x v="1"/>
    <s v="OK"/>
    <x v="25"/>
  </r>
  <r>
    <n v="56"/>
    <n v="27"/>
    <s v="Salt Lake City"/>
    <n v="111"/>
    <d v="2026-03-02T00:00:00"/>
    <d v="2026-02-19T00:00:00"/>
    <n v="92"/>
    <s v="90+"/>
    <n v="31"/>
    <s v="Overstock"/>
    <n v="65"/>
    <n v="88"/>
    <n v="0.35"/>
    <n v="33.9"/>
    <n v="3762.8999999999996"/>
    <x v="0"/>
    <s v="OK"/>
    <x v="26"/>
  </r>
  <r>
    <n v="57"/>
    <n v="27"/>
    <s v="West Valley"/>
    <n v="120"/>
    <d v="2026-04-25T00:00:00"/>
    <d v="2026-02-19T00:00:00"/>
    <n v="92"/>
    <s v="90+"/>
    <n v="31"/>
    <s v="Overstock"/>
    <n v="65"/>
    <n v="92.5"/>
    <n v="0.34"/>
    <n v="33.9"/>
    <n v="4068"/>
    <x v="0"/>
    <s v="OK"/>
    <x v="26"/>
  </r>
  <r>
    <n v="58"/>
    <n v="28"/>
    <s v="West Valley"/>
    <n v="203"/>
    <d v="2026-04-24T00:00:00"/>
    <d v="2026-04-08T00:00:00"/>
    <n v="44"/>
    <s v="31-60"/>
    <n v="36"/>
    <s v="Overstock"/>
    <n v="202"/>
    <n v="202.5"/>
    <n v="0.18"/>
    <n v="74.819999999999993"/>
    <n v="15188.46"/>
    <x v="0"/>
    <s v="OK"/>
    <x v="27"/>
  </r>
  <r>
    <n v="59"/>
    <n v="28"/>
    <s v="Unknown"/>
    <n v="485"/>
    <d v="2026-04-02T00:00:00"/>
    <d v="2026-04-08T00:00:00"/>
    <n v="44"/>
    <s v="31-60"/>
    <n v="36"/>
    <s v="Overstock"/>
    <n v="202"/>
    <n v="343.5"/>
    <n v="0.1"/>
    <n v="74.819999999999993"/>
    <n v="36287.699999999997"/>
    <x v="0"/>
    <s v="OK"/>
    <x v="27"/>
  </r>
  <r>
    <n v="60"/>
    <n v="28"/>
    <s v="Salt Lake City"/>
    <n v="46"/>
    <d v="2026-03-21T00:00:00"/>
    <d v="2026-04-08T00:00:00"/>
    <n v="44"/>
    <s v="31-60"/>
    <n v="36"/>
    <s v="OK"/>
    <n v="202"/>
    <n v="124"/>
    <n v="0.28999999999999998"/>
    <n v="74.819999999999993"/>
    <n v="3441.72"/>
    <x v="0"/>
    <s v="OK"/>
    <x v="27"/>
  </r>
  <r>
    <n v="61"/>
    <n v="29"/>
    <s v="Salt Lake City"/>
    <n v="170"/>
    <d v="2026-04-23T00:00:00"/>
    <d v="2026-04-28T00:00:00"/>
    <n v="24"/>
    <s v="0-30"/>
    <n v="42"/>
    <s v="Overstock"/>
    <n v="633"/>
    <n v="401.5"/>
    <n v="0.1"/>
    <n v="48.38"/>
    <n v="8224.6"/>
    <x v="0"/>
    <s v="OK"/>
    <x v="28"/>
  </r>
  <r>
    <n v="62"/>
    <n v="29"/>
    <s v="Unknown"/>
    <n v="402"/>
    <d v="2026-04-27T00:00:00"/>
    <d v="2026-04-28T00:00:00"/>
    <n v="24"/>
    <s v="0-30"/>
    <n v="42"/>
    <s v="Overstock"/>
    <n v="633"/>
    <n v="517.5"/>
    <n v="0.08"/>
    <n v="48.38"/>
    <n v="19448.760000000002"/>
    <x v="0"/>
    <s v="OK"/>
    <x v="28"/>
  </r>
  <r>
    <n v="63"/>
    <n v="29"/>
    <s v="South Jordan"/>
    <n v="424"/>
    <d v="2026-04-18T00:00:00"/>
    <d v="2026-04-28T00:00:00"/>
    <n v="24"/>
    <s v="0-30"/>
    <n v="42"/>
    <s v="Overstock"/>
    <n v="633"/>
    <n v="528.5"/>
    <n v="0.08"/>
    <n v="48.38"/>
    <n v="20513.120000000003"/>
    <x v="0"/>
    <s v="OK"/>
    <x v="28"/>
  </r>
  <r>
    <n v="64"/>
    <n v="30"/>
    <s v="Draper"/>
    <n v="396"/>
    <d v="2026-03-05T00:00:00"/>
    <d v="2026-05-10T00:00:00"/>
    <n v="12"/>
    <s v="0-30"/>
    <n v="20"/>
    <s v="Overstock"/>
    <n v="578"/>
    <n v="487"/>
    <n v="0.04"/>
    <n v="43.54"/>
    <n v="17241.84"/>
    <x v="0"/>
    <s v="OK"/>
    <x v="29"/>
  </r>
  <r>
    <n v="65"/>
    <n v="30"/>
    <s v="Unknown"/>
    <n v="0"/>
    <d v="2026-04-23T00:00:00"/>
    <d v="2026-05-10T00:00:00"/>
    <n v="12"/>
    <s v="0-30"/>
    <n v="20"/>
    <s v="OK"/>
    <n v="578"/>
    <n v="289"/>
    <n v="7.0000000000000007E-2"/>
    <n v="43.54"/>
    <n v="0"/>
    <x v="0"/>
    <s v="OK"/>
    <x v="29"/>
  </r>
  <r>
    <n v="66"/>
    <n v="30"/>
    <s v="Draper"/>
    <n v="276"/>
    <d v="2026-04-20T00:00:00"/>
    <d v="2026-05-10T00:00:00"/>
    <n v="12"/>
    <s v="0-30"/>
    <n v="20"/>
    <s v="Overstock"/>
    <n v="578"/>
    <n v="427"/>
    <n v="0.05"/>
    <n v="43.54"/>
    <n v="12017.039999999999"/>
    <x v="0"/>
    <s v="OK"/>
    <x v="29"/>
  </r>
  <r>
    <n v="67"/>
    <n v="31"/>
    <s v="Salt Lake City"/>
    <n v="0"/>
    <d v="2026-03-25T00:00:00"/>
    <e v="#N/A"/>
    <e v="#N/A"/>
    <e v="#N/A"/>
    <n v="15"/>
    <s v="OK"/>
    <n v="0"/>
    <n v="0"/>
    <n v="0"/>
    <n v="155.44"/>
    <n v="0"/>
    <x v="0"/>
    <s v=""/>
    <x v="30"/>
  </r>
  <r>
    <n v="68"/>
    <n v="32"/>
    <s v="Salt Lake City"/>
    <n v="135"/>
    <d v="2026-03-15T00:00:00"/>
    <d v="2026-02-11T00:00:00"/>
    <n v="100"/>
    <s v="90+"/>
    <n v="23"/>
    <s v="Overstock"/>
    <n v="752"/>
    <n v="443.5"/>
    <n v="0.05"/>
    <n v="99.37"/>
    <n v="13414.95"/>
    <x v="0"/>
    <s v="OK"/>
    <x v="31"/>
  </r>
  <r>
    <n v="69"/>
    <n v="32"/>
    <s v="Draper"/>
    <n v="215"/>
    <d v="2026-03-15T00:00:00"/>
    <d v="2026-02-11T00:00:00"/>
    <n v="100"/>
    <s v="90+"/>
    <n v="23"/>
    <s v="Overstock"/>
    <n v="752"/>
    <n v="483.5"/>
    <n v="0.05"/>
    <n v="99.37"/>
    <n v="21364.55"/>
    <x v="0"/>
    <s v="OK"/>
    <x v="31"/>
  </r>
  <r>
    <n v="70"/>
    <n v="33"/>
    <s v="South Jordan"/>
    <n v="229"/>
    <d v="2026-03-30T00:00:00"/>
    <s v="NULL"/>
    <e v="#VALUE!"/>
    <e v="#VALUE!"/>
    <n v="22"/>
    <s v="Overstock"/>
    <n v="0"/>
    <n v="114.5"/>
    <n v="0.19"/>
    <n v="38.32"/>
    <n v="8775.2800000000007"/>
    <x v="0"/>
    <s v=""/>
    <x v="32"/>
  </r>
  <r>
    <n v="71"/>
    <n v="34"/>
    <s v="Salt Lake City"/>
    <n v="113"/>
    <d v="2026-04-29T00:00:00"/>
    <d v="2026-03-26T00:00:00"/>
    <n v="57"/>
    <s v="31-60"/>
    <n v="29"/>
    <s v="Overstock"/>
    <n v="656"/>
    <n v="384.5"/>
    <n v="0.08"/>
    <n v="86.73"/>
    <n v="9800.49"/>
    <x v="0"/>
    <s v="OK"/>
    <x v="33"/>
  </r>
  <r>
    <n v="72"/>
    <n v="34"/>
    <s v="South Jordan"/>
    <n v="372"/>
    <d v="2026-03-07T00:00:00"/>
    <d v="2026-03-26T00:00:00"/>
    <n v="57"/>
    <s v="31-60"/>
    <n v="29"/>
    <s v="Overstock"/>
    <n v="656"/>
    <n v="514"/>
    <n v="0.06"/>
    <n v="86.73"/>
    <n v="32263.56"/>
    <x v="0"/>
    <s v="OK"/>
    <x v="33"/>
  </r>
  <r>
    <n v="73"/>
    <n v="34"/>
    <s v="Lehi"/>
    <n v="337"/>
    <d v="2026-04-02T00:00:00"/>
    <d v="2026-03-26T00:00:00"/>
    <n v="57"/>
    <s v="31-60"/>
    <n v="29"/>
    <s v="Overstock"/>
    <n v="656"/>
    <n v="496.5"/>
    <n v="0.06"/>
    <n v="86.73"/>
    <n v="29228.010000000002"/>
    <x v="0"/>
    <s v="OK"/>
    <x v="33"/>
  </r>
  <r>
    <n v="74"/>
    <n v="35"/>
    <s v="Salt Lake City"/>
    <n v="433"/>
    <d v="2026-03-19T00:00:00"/>
    <d v="2025-12-31T00:00:00"/>
    <n v="142"/>
    <s v="90+"/>
    <n v="61"/>
    <s v="Overstock"/>
    <n v="128"/>
    <n v="280.5"/>
    <n v="0.22"/>
    <n v="145.1"/>
    <n v="62828.299999999996"/>
    <x v="0"/>
    <s v="OK"/>
    <x v="34"/>
  </r>
  <r>
    <n v="75"/>
    <n v="35"/>
    <s v="Unknown"/>
    <n v="55"/>
    <d v="2026-03-04T00:00:00"/>
    <d v="2025-12-31T00:00:00"/>
    <n v="142"/>
    <s v="90+"/>
    <n v="61"/>
    <s v="OK"/>
    <n v="128"/>
    <n v="91.5"/>
    <n v="0.67"/>
    <n v="145.1"/>
    <n v="7980.5"/>
    <x v="0"/>
    <s v="OK"/>
    <x v="34"/>
  </r>
  <r>
    <n v="76"/>
    <n v="35"/>
    <s v="Draper"/>
    <n v="227"/>
    <d v="2026-04-26T00:00:00"/>
    <d v="2025-12-31T00:00:00"/>
    <n v="142"/>
    <s v="90+"/>
    <n v="61"/>
    <s v="Overstock"/>
    <n v="128"/>
    <n v="177.5"/>
    <n v="0.34"/>
    <n v="145.1"/>
    <n v="32937.699999999997"/>
    <x v="0"/>
    <s v="OK"/>
    <x v="34"/>
  </r>
  <r>
    <n v="77"/>
    <n v="36"/>
    <s v="Draper"/>
    <n v="64"/>
    <d v="2026-03-22T00:00:00"/>
    <d v="2026-01-28T00:00:00"/>
    <n v="114"/>
    <s v="90+"/>
    <n v="38"/>
    <s v="OK"/>
    <n v="90"/>
    <n v="77"/>
    <n v="0.49"/>
    <n v="78.83"/>
    <n v="5045.12"/>
    <x v="0"/>
    <s v="OK"/>
    <x v="35"/>
  </r>
  <r>
    <n v="78"/>
    <n v="36"/>
    <s v="Salt Lake City"/>
    <n v="299"/>
    <d v="2026-04-11T00:00:00"/>
    <d v="2026-01-28T00:00:00"/>
    <n v="114"/>
    <s v="90+"/>
    <n v="38"/>
    <s v="Overstock"/>
    <n v="90"/>
    <n v="194.5"/>
    <n v="0.2"/>
    <n v="78.83"/>
    <n v="23570.17"/>
    <x v="0"/>
    <s v="OK"/>
    <x v="35"/>
  </r>
  <r>
    <n v="79"/>
    <n v="37"/>
    <s v="Unknown"/>
    <n v="232"/>
    <d v="2026-04-04T00:00:00"/>
    <d v="2026-05-21T00:00:00"/>
    <n v="1"/>
    <s v="0-30"/>
    <n v="24"/>
    <s v="Overstock"/>
    <n v="792"/>
    <n v="512"/>
    <n v="0.05"/>
    <n v="146.4"/>
    <n v="33964.800000000003"/>
    <x v="0"/>
    <s v="OK"/>
    <x v="36"/>
  </r>
  <r>
    <n v="80"/>
    <n v="37"/>
    <s v="Lehi"/>
    <n v="50"/>
    <d v="2026-04-24T00:00:00"/>
    <d v="2026-05-21T00:00:00"/>
    <n v="1"/>
    <s v="0-30"/>
    <n v="24"/>
    <s v="OK"/>
    <n v="792"/>
    <n v="421"/>
    <n v="0.06"/>
    <n v="146.4"/>
    <n v="7320"/>
    <x v="0"/>
    <s v="OK"/>
    <x v="36"/>
  </r>
  <r>
    <n v="81"/>
    <n v="38"/>
    <s v="Unknown"/>
    <n v="231"/>
    <d v="2026-04-05T00:00:00"/>
    <d v="2025-12-25T00:00:00"/>
    <n v="148"/>
    <s v="90+"/>
    <n v="33"/>
    <s v="Overstock"/>
    <n v="872"/>
    <n v="551.5"/>
    <n v="0.06"/>
    <n v="167.11"/>
    <n v="38602.410000000003"/>
    <x v="0"/>
    <s v="OK"/>
    <x v="37"/>
  </r>
  <r>
    <n v="82"/>
    <n v="38"/>
    <s v="Draper"/>
    <n v="173"/>
    <d v="2026-04-06T00:00:00"/>
    <d v="2025-12-25T00:00:00"/>
    <n v="148"/>
    <s v="90+"/>
    <n v="33"/>
    <s v="Overstock"/>
    <n v="872"/>
    <n v="522.5"/>
    <n v="0.06"/>
    <n v="167.11"/>
    <n v="28910.030000000002"/>
    <x v="0"/>
    <s v="OK"/>
    <x v="37"/>
  </r>
  <r>
    <n v="83"/>
    <n v="38"/>
    <s v="South Jordan"/>
    <n v="212"/>
    <d v="2026-04-11T00:00:00"/>
    <d v="2025-12-25T00:00:00"/>
    <n v="148"/>
    <s v="90+"/>
    <n v="33"/>
    <s v="Overstock"/>
    <n v="872"/>
    <n v="542"/>
    <n v="0.06"/>
    <n v="167.11"/>
    <n v="35427.32"/>
    <x v="0"/>
    <s v="OK"/>
    <x v="37"/>
  </r>
  <r>
    <n v="84"/>
    <n v="39"/>
    <s v="West Valley"/>
    <n v="191"/>
    <d v="2026-03-19T00:00:00"/>
    <d v="2026-05-24T00:00:00"/>
    <n v="-2"/>
    <s v="0-30"/>
    <n v="46"/>
    <s v="Overstock"/>
    <n v="169"/>
    <n v="180"/>
    <n v="0.26"/>
    <n v="42.41"/>
    <n v="8100.3099999999995"/>
    <x v="0"/>
    <s v="OK"/>
    <x v="38"/>
  </r>
  <r>
    <n v="85"/>
    <n v="39"/>
    <s v="Lehi"/>
    <n v="472"/>
    <d v="2026-04-26T00:00:00"/>
    <d v="2026-05-24T00:00:00"/>
    <n v="-2"/>
    <s v="0-30"/>
    <n v="46"/>
    <s v="Overstock"/>
    <n v="169"/>
    <n v="320.5"/>
    <n v="0.14000000000000001"/>
    <n v="42.41"/>
    <n v="20017.519999999997"/>
    <x v="0"/>
    <s v="OK"/>
    <x v="38"/>
  </r>
  <r>
    <n v="86"/>
    <n v="40"/>
    <s v="Salt Lake City"/>
    <n v="221"/>
    <d v="2026-03-15T00:00:00"/>
    <d v="2026-02-04T00:00:00"/>
    <n v="107"/>
    <s v="90+"/>
    <n v="42"/>
    <s v="Overstock"/>
    <n v="74"/>
    <n v="147.5"/>
    <n v="0.28000000000000003"/>
    <n v="177.43"/>
    <n v="39212.03"/>
    <x v="0"/>
    <s v="OK"/>
    <x v="39"/>
  </r>
  <r>
    <n v="87"/>
    <n v="41"/>
    <s v="Draper"/>
    <n v="300"/>
    <d v="2026-03-27T00:00:00"/>
    <s v="NULL"/>
    <e v="#VALUE!"/>
    <e v="#VALUE!"/>
    <n v="9"/>
    <s v="Overstock"/>
    <n v="0"/>
    <n v="150"/>
    <n v="0.06"/>
    <n v="120.83"/>
    <n v="36249"/>
    <x v="1"/>
    <s v=""/>
    <x v="40"/>
  </r>
  <r>
    <n v="88"/>
    <n v="41"/>
    <s v="Salt Lake City"/>
    <n v="168"/>
    <d v="2026-04-05T00:00:00"/>
    <s v="NULL"/>
    <e v="#VALUE!"/>
    <e v="#VALUE!"/>
    <n v="9"/>
    <s v="Overstock"/>
    <n v="0"/>
    <n v="84"/>
    <n v="0.11"/>
    <n v="120.83"/>
    <n v="20299.439999999999"/>
    <x v="1"/>
    <s v=""/>
    <x v="40"/>
  </r>
  <r>
    <n v="89"/>
    <n v="42"/>
    <s v="South Jordan"/>
    <n v="495"/>
    <d v="2026-04-12T00:00:00"/>
    <d v="2026-05-01T00:00:00"/>
    <n v="21"/>
    <s v="0-30"/>
    <n v="22"/>
    <s v="Overstock"/>
    <n v="804"/>
    <n v="649.5"/>
    <n v="0.03"/>
    <n v="106.36"/>
    <n v="52648.2"/>
    <x v="0"/>
    <s v="OK"/>
    <x v="41"/>
  </r>
  <r>
    <n v="90"/>
    <n v="42"/>
    <s v="Salt Lake City"/>
    <n v="180"/>
    <d v="2026-03-30T00:00:00"/>
    <d v="2026-05-01T00:00:00"/>
    <n v="21"/>
    <s v="0-30"/>
    <n v="22"/>
    <s v="Overstock"/>
    <n v="804"/>
    <n v="492"/>
    <n v="0.04"/>
    <n v="106.36"/>
    <n v="19144.8"/>
    <x v="0"/>
    <s v="OK"/>
    <x v="41"/>
  </r>
  <r>
    <n v="91"/>
    <n v="43"/>
    <s v="Draper"/>
    <n v="336"/>
    <d v="2026-03-08T00:00:00"/>
    <d v="2026-05-30T00:00:00"/>
    <n v="-8"/>
    <s v="0-30"/>
    <n v="54"/>
    <s v="Overstock"/>
    <n v="203"/>
    <n v="269.5"/>
    <n v="0.2"/>
    <n v="88.44"/>
    <n v="29715.84"/>
    <x v="0"/>
    <s v="OK"/>
    <x v="42"/>
  </r>
  <r>
    <n v="92"/>
    <n v="44"/>
    <s v="West Valley"/>
    <n v="432"/>
    <d v="2026-04-24T00:00:00"/>
    <d v="2026-03-27T00:00:00"/>
    <n v="56"/>
    <s v="31-60"/>
    <n v="20"/>
    <s v="Overstock"/>
    <n v="310"/>
    <n v="371"/>
    <n v="0.05"/>
    <n v="16.989999999999998"/>
    <n v="7339.6799999999994"/>
    <x v="0"/>
    <s v="OK"/>
    <x v="43"/>
  </r>
  <r>
    <n v="93"/>
    <n v="45"/>
    <s v="Draper"/>
    <n v="432"/>
    <d v="2026-03-13T00:00:00"/>
    <d v="2026-05-04T00:00:00"/>
    <n v="18"/>
    <s v="0-30"/>
    <n v="40"/>
    <s v="Overstock"/>
    <n v="857"/>
    <n v="644.5"/>
    <n v="0.06"/>
    <n v="48.09"/>
    <n v="20774.88"/>
    <x v="0"/>
    <s v="OK"/>
    <x v="44"/>
  </r>
  <r>
    <n v="94"/>
    <n v="45"/>
    <s v="South Jordan"/>
    <n v="419"/>
    <d v="2026-03-19T00:00:00"/>
    <d v="2026-05-04T00:00:00"/>
    <n v="18"/>
    <s v="0-30"/>
    <n v="40"/>
    <s v="Overstock"/>
    <n v="857"/>
    <n v="638"/>
    <n v="0.06"/>
    <n v="48.09"/>
    <n v="20149.710000000003"/>
    <x v="0"/>
    <s v="OK"/>
    <x v="44"/>
  </r>
  <r>
    <n v="95"/>
    <n v="46"/>
    <s v="Unknown"/>
    <n v="475"/>
    <d v="2026-03-18T00:00:00"/>
    <d v="2026-03-13T00:00:00"/>
    <n v="70"/>
    <s v="61-90"/>
    <n v="44"/>
    <s v="Overstock"/>
    <n v="858"/>
    <n v="666.5"/>
    <n v="7.0000000000000007E-2"/>
    <n v="40.75"/>
    <n v="19356.25"/>
    <x v="0"/>
    <s v="OK"/>
    <x v="45"/>
  </r>
  <r>
    <n v="96"/>
    <n v="46"/>
    <s v="Salt Lake City"/>
    <n v="0"/>
    <d v="2026-03-18T00:00:00"/>
    <d v="2026-03-13T00:00:00"/>
    <n v="70"/>
    <s v="61-90"/>
    <n v="44"/>
    <s v="OK"/>
    <n v="858"/>
    <n v="429"/>
    <n v="0.1"/>
    <n v="40.75"/>
    <n v="0"/>
    <x v="0"/>
    <s v="OK"/>
    <x v="45"/>
  </r>
  <r>
    <n v="97"/>
    <n v="46"/>
    <s v="Lehi"/>
    <n v="390"/>
    <d v="2026-04-10T00:00:00"/>
    <d v="2026-03-13T00:00:00"/>
    <n v="70"/>
    <s v="61-90"/>
    <n v="44"/>
    <s v="Overstock"/>
    <n v="858"/>
    <n v="624"/>
    <n v="7.0000000000000007E-2"/>
    <n v="40.75"/>
    <n v="15892.5"/>
    <x v="0"/>
    <s v="OK"/>
    <x v="45"/>
  </r>
  <r>
    <n v="98"/>
    <n v="47"/>
    <s v="Salt Lake City"/>
    <n v="445"/>
    <d v="2026-03-20T00:00:00"/>
    <e v="#N/A"/>
    <e v="#N/A"/>
    <e v="#N/A"/>
    <n v="47"/>
    <s v="Overstock"/>
    <n v="0"/>
    <n v="222.5"/>
    <n v="0.21"/>
    <n v="122.55"/>
    <n v="54534.75"/>
    <x v="0"/>
    <s v=""/>
    <x v="46"/>
  </r>
  <r>
    <n v="99"/>
    <n v="47"/>
    <s v="Draper"/>
    <n v="205"/>
    <d v="2026-03-15T00:00:00"/>
    <e v="#N/A"/>
    <e v="#N/A"/>
    <e v="#N/A"/>
    <n v="47"/>
    <s v="Overstock"/>
    <n v="0"/>
    <n v="102.5"/>
    <n v="0.46"/>
    <n v="122.55"/>
    <n v="25122.75"/>
    <x v="0"/>
    <s v=""/>
    <x v="46"/>
  </r>
  <r>
    <n v="100"/>
    <n v="48"/>
    <s v="Salt Lake City"/>
    <n v="271"/>
    <d v="2026-04-05T00:00:00"/>
    <d v="2026-04-10T00:00:00"/>
    <n v="42"/>
    <s v="31-60"/>
    <n v="43"/>
    <s v="Overstock"/>
    <n v="171"/>
    <n v="221"/>
    <n v="0.19"/>
    <n v="85.2"/>
    <n v="23089.200000000001"/>
    <x v="0"/>
    <s v="OK"/>
    <x v="47"/>
  </r>
  <r>
    <n v="101"/>
    <n v="48"/>
    <s v="Salt Lake City"/>
    <n v="232"/>
    <d v="2026-04-08T00:00:00"/>
    <d v="2026-04-10T00:00:00"/>
    <n v="42"/>
    <s v="31-60"/>
    <n v="43"/>
    <s v="Overstock"/>
    <n v="171"/>
    <n v="201.5"/>
    <n v="0.21"/>
    <n v="85.2"/>
    <n v="19766.400000000001"/>
    <x v="0"/>
    <s v="OK"/>
    <x v="47"/>
  </r>
  <r>
    <n v="102"/>
    <n v="48"/>
    <s v="West Valley"/>
    <n v="159"/>
    <d v="2026-03-13T00:00:00"/>
    <d v="2026-04-10T00:00:00"/>
    <n v="42"/>
    <s v="31-60"/>
    <n v="43"/>
    <s v="Overstock"/>
    <n v="171"/>
    <n v="165"/>
    <n v="0.26"/>
    <n v="85.2"/>
    <n v="13546.800000000001"/>
    <x v="0"/>
    <s v="OK"/>
    <x v="47"/>
  </r>
  <r>
    <n v="103"/>
    <n v="49"/>
    <s v="Salt Lake City"/>
    <n v="80"/>
    <d v="2026-04-28T00:00:00"/>
    <d v="2026-02-09T00:00:00"/>
    <n v="102"/>
    <s v="90+"/>
    <n v="18"/>
    <s v="Overstock"/>
    <n v="78"/>
    <n v="79"/>
    <n v="0.23"/>
    <n v="51.41"/>
    <n v="4112.7999999999993"/>
    <x v="0"/>
    <s v="OK"/>
    <x v="48"/>
  </r>
  <r>
    <n v="104"/>
    <n v="49"/>
    <s v="Salt Lake City"/>
    <n v="345"/>
    <d v="2026-04-03T00:00:00"/>
    <d v="2026-02-09T00:00:00"/>
    <n v="102"/>
    <s v="90+"/>
    <n v="18"/>
    <s v="Overstock"/>
    <n v="78"/>
    <n v="211.5"/>
    <n v="0.09"/>
    <n v="51.41"/>
    <n v="17736.449999999997"/>
    <x v="0"/>
    <s v="OK"/>
    <x v="48"/>
  </r>
  <r>
    <n v="105"/>
    <n v="49"/>
    <s v="Unknown"/>
    <n v="338"/>
    <d v="2026-03-24T00:00:00"/>
    <d v="2026-02-09T00:00:00"/>
    <n v="102"/>
    <s v="90+"/>
    <n v="18"/>
    <s v="Overstock"/>
    <n v="78"/>
    <n v="208"/>
    <n v="0.09"/>
    <n v="51.41"/>
    <n v="17376.579999999998"/>
    <x v="0"/>
    <s v="OK"/>
    <x v="48"/>
  </r>
  <r>
    <n v="106"/>
    <n v="50"/>
    <s v="South Jordan"/>
    <n v="110"/>
    <d v="2026-04-24T00:00:00"/>
    <d v="2026-03-20T00:00:00"/>
    <n v="63"/>
    <s v="61-90"/>
    <n v="26"/>
    <s v="Overstock"/>
    <n v="829"/>
    <n v="469.5"/>
    <n v="0.06"/>
    <n v="32.61"/>
    <n v="3587.1"/>
    <x v="0"/>
    <s v="OK"/>
    <x v="49"/>
  </r>
  <r>
    <n v="107"/>
    <n v="50"/>
    <s v="Lehi"/>
    <n v="176"/>
    <d v="2026-04-13T00:00:00"/>
    <d v="2026-03-20T00:00:00"/>
    <n v="63"/>
    <s v="61-90"/>
    <n v="26"/>
    <s v="Overstock"/>
    <n v="829"/>
    <n v="502.5"/>
    <n v="0.05"/>
    <n v="32.61"/>
    <n v="5739.36"/>
    <x v="0"/>
    <s v="OK"/>
    <x v="49"/>
  </r>
  <r>
    <n v="108"/>
    <n v="51"/>
    <s v="South Jordan"/>
    <n v="112"/>
    <d v="2026-03-24T00:00:00"/>
    <d v="2026-02-20T00:00:00"/>
    <n v="91"/>
    <s v="90+"/>
    <n v="11"/>
    <s v="Overstock"/>
    <n v="481"/>
    <n v="296.5"/>
    <n v="0.04"/>
    <n v="57.39"/>
    <n v="6427.68"/>
    <x v="0"/>
    <s v="OK"/>
    <x v="50"/>
  </r>
  <r>
    <n v="109"/>
    <n v="51"/>
    <s v="Lehi"/>
    <n v="0"/>
    <d v="2026-03-02T00:00:00"/>
    <d v="2026-02-20T00:00:00"/>
    <n v="91"/>
    <s v="90+"/>
    <n v="11"/>
    <s v="OK"/>
    <n v="481"/>
    <n v="240.5"/>
    <n v="0.05"/>
    <n v="57.39"/>
    <n v="0"/>
    <x v="0"/>
    <s v="OK"/>
    <x v="50"/>
  </r>
  <r>
    <n v="110"/>
    <n v="51"/>
    <s v="Salt Lake City"/>
    <n v="108"/>
    <d v="2026-03-14T00:00:00"/>
    <d v="2026-02-20T00:00:00"/>
    <n v="91"/>
    <s v="90+"/>
    <n v="11"/>
    <s v="Overstock"/>
    <n v="481"/>
    <n v="294.5"/>
    <n v="0.04"/>
    <n v="57.39"/>
    <n v="6198.12"/>
    <x v="0"/>
    <s v="OK"/>
    <x v="50"/>
  </r>
  <r>
    <n v="111"/>
    <n v="52"/>
    <s v="Lehi"/>
    <n v="0"/>
    <d v="2026-04-20T00:00:00"/>
    <d v="2026-03-04T00:00:00"/>
    <n v="79"/>
    <s v="61-90"/>
    <n v="55"/>
    <s v="OK"/>
    <n v="216"/>
    <n v="108"/>
    <n v="0.51"/>
    <n v="134.91999999999999"/>
    <n v="0"/>
    <x v="0"/>
    <s v="Reorder"/>
    <x v="51"/>
  </r>
  <r>
    <n v="112"/>
    <n v="52"/>
    <s v="West Valley"/>
    <n v="66"/>
    <d v="2026-03-17T00:00:00"/>
    <d v="2026-03-04T00:00:00"/>
    <n v="79"/>
    <s v="61-90"/>
    <n v="55"/>
    <s v="OK"/>
    <n v="216"/>
    <n v="141"/>
    <n v="0.39"/>
    <n v="134.91999999999999"/>
    <n v="8904.7199999999993"/>
    <x v="0"/>
    <s v="Reorder"/>
    <x v="51"/>
  </r>
  <r>
    <n v="113"/>
    <n v="53"/>
    <s v="Unknown"/>
    <n v="286"/>
    <d v="2026-03-11T00:00:00"/>
    <d v="2026-01-27T00:00:00"/>
    <n v="115"/>
    <s v="90+"/>
    <n v="19"/>
    <s v="Overstock"/>
    <n v="671"/>
    <n v="478.5"/>
    <n v="0.04"/>
    <s v="NULL"/>
    <n v="0"/>
    <x v="0"/>
    <s v="OK"/>
    <x v="52"/>
  </r>
  <r>
    <n v="114"/>
    <n v="54"/>
    <s v="Salt Lake City"/>
    <n v="441"/>
    <d v="2026-04-04T00:00:00"/>
    <d v="2026-05-14T00:00:00"/>
    <n v="8"/>
    <s v="0-30"/>
    <n v="11"/>
    <s v="Overstock"/>
    <n v="794"/>
    <n v="617.5"/>
    <n v="0.02"/>
    <n v="163.43"/>
    <n v="72072.63"/>
    <x v="0"/>
    <s v="OK"/>
    <x v="53"/>
  </r>
  <r>
    <n v="115"/>
    <n v="54"/>
    <s v="South Jordan"/>
    <n v="9"/>
    <d v="2026-04-27T00:00:00"/>
    <d v="2026-05-14T00:00:00"/>
    <n v="8"/>
    <s v="0-30"/>
    <n v="11"/>
    <s v="OK"/>
    <n v="794"/>
    <n v="401.5"/>
    <n v="0.03"/>
    <n v="163.43"/>
    <n v="1470.8700000000001"/>
    <x v="0"/>
    <s v="OK"/>
    <x v="53"/>
  </r>
  <r>
    <n v="116"/>
    <n v="55"/>
    <s v="South Jordan"/>
    <n v="363"/>
    <d v="2026-04-13T00:00:00"/>
    <d v="2026-02-23T00:00:00"/>
    <n v="88"/>
    <s v="61-90"/>
    <n v="24"/>
    <s v="Overstock"/>
    <n v="374"/>
    <n v="368.5"/>
    <n v="7.0000000000000007E-2"/>
    <n v="12.72"/>
    <n v="4617.3600000000006"/>
    <x v="0"/>
    <s v="OK"/>
    <x v="54"/>
  </r>
  <r>
    <n v="117"/>
    <n v="55"/>
    <s v="Unknown"/>
    <n v="58"/>
    <d v="2026-04-11T00:00:00"/>
    <d v="2026-02-23T00:00:00"/>
    <n v="88"/>
    <s v="61-90"/>
    <n v="24"/>
    <s v="OK"/>
    <n v="374"/>
    <n v="216"/>
    <n v="0.11"/>
    <n v="12.72"/>
    <n v="737.76"/>
    <x v="0"/>
    <s v="OK"/>
    <x v="54"/>
  </r>
  <r>
    <n v="118"/>
    <n v="56"/>
    <s v="South Jordan"/>
    <n v="425"/>
    <d v="2026-04-08T00:00:00"/>
    <d v="2026-04-30T00:00:00"/>
    <n v="22"/>
    <s v="0-30"/>
    <n v="28"/>
    <s v="Overstock"/>
    <n v="938"/>
    <n v="681.5"/>
    <n v="0.04"/>
    <n v="134.72"/>
    <n v="57256"/>
    <x v="0"/>
    <s v="OK"/>
    <x v="55"/>
  </r>
  <r>
    <n v="119"/>
    <n v="57"/>
    <s v="South Jordan"/>
    <n v="432"/>
    <d v="2026-04-04T00:00:00"/>
    <s v="NULL"/>
    <e v="#VALUE!"/>
    <e v="#VALUE!"/>
    <n v="34"/>
    <s v="Overstock"/>
    <n v="0"/>
    <n v="216"/>
    <n v="0.16"/>
    <n v="18.170000000000002"/>
    <n v="7849.4400000000005"/>
    <x v="0"/>
    <s v=""/>
    <x v="56"/>
  </r>
  <r>
    <n v="120"/>
    <n v="58"/>
    <s v="South Jordan"/>
    <n v="445"/>
    <d v="2026-04-10T00:00:00"/>
    <d v="2026-01-09T00:00:00"/>
    <n v="133"/>
    <s v="90+"/>
    <n v="16"/>
    <s v="Overstock"/>
    <n v="914"/>
    <n v="679.5"/>
    <n v="0.02"/>
    <n v="106.94"/>
    <n v="47588.299999999996"/>
    <x v="0"/>
    <s v="OK"/>
    <x v="57"/>
  </r>
  <r>
    <n v="121"/>
    <n v="58"/>
    <s v="Salt Lake City"/>
    <n v="113"/>
    <d v="2026-04-21T00:00:00"/>
    <d v="2026-01-09T00:00:00"/>
    <n v="133"/>
    <s v="90+"/>
    <n v="16"/>
    <s v="Overstock"/>
    <n v="914"/>
    <n v="513.5"/>
    <n v="0.03"/>
    <n v="106.94"/>
    <n v="12084.22"/>
    <x v="0"/>
    <s v="OK"/>
    <x v="57"/>
  </r>
  <r>
    <n v="122"/>
    <n v="58"/>
    <s v="Draper"/>
    <n v="39"/>
    <d v="2026-04-24T00:00:00"/>
    <d v="2026-01-09T00:00:00"/>
    <n v="133"/>
    <s v="90+"/>
    <n v="16"/>
    <s v="OK"/>
    <n v="914"/>
    <n v="476.5"/>
    <n v="0.03"/>
    <n v="106.94"/>
    <n v="4170.66"/>
    <x v="0"/>
    <s v="OK"/>
    <x v="57"/>
  </r>
  <r>
    <n v="123"/>
    <n v="59"/>
    <s v="Unknown"/>
    <n v="178"/>
    <d v="2026-03-10T00:00:00"/>
    <d v="2026-04-29T00:00:00"/>
    <n v="23"/>
    <s v="0-30"/>
    <n v="17"/>
    <s v="Overstock"/>
    <n v="245"/>
    <n v="211.5"/>
    <n v="0.08"/>
    <n v="162.32"/>
    <n v="28892.959999999999"/>
    <x v="0"/>
    <s v="OK"/>
    <x v="58"/>
  </r>
  <r>
    <n v="124"/>
    <n v="59"/>
    <s v="Draper"/>
    <n v="330"/>
    <d v="2026-04-16T00:00:00"/>
    <d v="2026-04-29T00:00:00"/>
    <n v="23"/>
    <s v="0-30"/>
    <n v="17"/>
    <s v="Overstock"/>
    <n v="245"/>
    <n v="287.5"/>
    <n v="0.06"/>
    <n v="162.32"/>
    <n v="53565.599999999999"/>
    <x v="0"/>
    <s v="OK"/>
    <x v="58"/>
  </r>
  <r>
    <n v="125"/>
    <n v="59"/>
    <s v="South Jordan"/>
    <n v="52"/>
    <d v="2026-04-19T00:00:00"/>
    <d v="2026-04-29T00:00:00"/>
    <n v="23"/>
    <s v="0-30"/>
    <n v="17"/>
    <s v="Overstock"/>
    <n v="245"/>
    <n v="148.5"/>
    <n v="0.11"/>
    <n v="162.32"/>
    <n v="8440.64"/>
    <x v="0"/>
    <s v="OK"/>
    <x v="58"/>
  </r>
  <r>
    <n v="126"/>
    <n v="60"/>
    <s v="Draper"/>
    <n v="389"/>
    <d v="2026-04-27T00:00:00"/>
    <d v="2026-02-25T00:00:00"/>
    <n v="86"/>
    <s v="61-90"/>
    <n v="31"/>
    <s v="Overstock"/>
    <n v="761"/>
    <n v="575"/>
    <n v="0.05"/>
    <n v="121.71"/>
    <n v="47345.189999999995"/>
    <x v="0"/>
    <s v="OK"/>
    <x v="59"/>
  </r>
  <r>
    <n v="127"/>
    <n v="61"/>
    <s v="South Jordan"/>
    <n v="237"/>
    <d v="2026-03-14T00:00:00"/>
    <e v="#N/A"/>
    <e v="#N/A"/>
    <e v="#N/A"/>
    <n v="43"/>
    <s v="Overstock"/>
    <n v="0"/>
    <n v="118.5"/>
    <n v="0.36"/>
    <n v="156.31"/>
    <n v="37045.47"/>
    <x v="0"/>
    <s v=""/>
    <x v="60"/>
  </r>
  <r>
    <n v="128"/>
    <n v="62"/>
    <s v="South Jordan"/>
    <n v="497"/>
    <d v="2026-04-22T00:00:00"/>
    <d v="2026-04-22T00:00:00"/>
    <n v="30"/>
    <s v="0-30"/>
    <n v="18"/>
    <s v="Overstock"/>
    <n v="672"/>
    <n v="584.5"/>
    <n v="0.03"/>
    <n v="133.9"/>
    <n v="66548.3"/>
    <x v="0"/>
    <s v="OK"/>
    <x v="61"/>
  </r>
  <r>
    <n v="129"/>
    <n v="62"/>
    <s v="West Valley"/>
    <n v="225"/>
    <d v="2026-04-03T00:00:00"/>
    <d v="2026-04-22T00:00:00"/>
    <n v="30"/>
    <s v="0-30"/>
    <n v="18"/>
    <s v="Overstock"/>
    <n v="672"/>
    <n v="448.5"/>
    <n v="0.04"/>
    <n v="133.9"/>
    <n v="30127.5"/>
    <x v="0"/>
    <s v="OK"/>
    <x v="61"/>
  </r>
  <r>
    <n v="130"/>
    <n v="62"/>
    <s v="South Jordan"/>
    <n v="323"/>
    <d v="2026-04-14T00:00:00"/>
    <d v="2026-04-22T00:00:00"/>
    <n v="30"/>
    <s v="0-30"/>
    <n v="18"/>
    <s v="Overstock"/>
    <n v="672"/>
    <n v="497.5"/>
    <n v="0.04"/>
    <n v="133.9"/>
    <n v="43249.700000000004"/>
    <x v="0"/>
    <s v="OK"/>
    <x v="61"/>
  </r>
  <r>
    <n v="131"/>
    <n v="63"/>
    <s v="Salt Lake City"/>
    <n v="37"/>
    <d v="2026-04-03T00:00:00"/>
    <d v="2026-04-06T00:00:00"/>
    <n v="46"/>
    <s v="31-60"/>
    <n v="31"/>
    <s v="OK"/>
    <n v="688"/>
    <n v="362.5"/>
    <n v="0.09"/>
    <n v="32.86"/>
    <n v="1215.82"/>
    <x v="0"/>
    <s v="OK"/>
    <x v="62"/>
  </r>
  <r>
    <n v="132"/>
    <n v="63"/>
    <s v="West Valley"/>
    <n v="19"/>
    <d v="2026-03-09T00:00:00"/>
    <d v="2026-04-06T00:00:00"/>
    <n v="46"/>
    <s v="31-60"/>
    <n v="31"/>
    <s v="OK"/>
    <n v="688"/>
    <n v="353.5"/>
    <n v="0.09"/>
    <n v="32.86"/>
    <n v="624.34"/>
    <x v="0"/>
    <s v="OK"/>
    <x v="62"/>
  </r>
  <r>
    <n v="133"/>
    <n v="63"/>
    <s v="Lehi"/>
    <n v="146"/>
    <d v="2026-03-07T00:00:00"/>
    <d v="2026-04-06T00:00:00"/>
    <n v="46"/>
    <s v="31-60"/>
    <n v="31"/>
    <s v="Overstock"/>
    <n v="688"/>
    <n v="417"/>
    <n v="7.0000000000000007E-2"/>
    <n v="32.86"/>
    <n v="4797.5599999999995"/>
    <x v="0"/>
    <s v="OK"/>
    <x v="62"/>
  </r>
  <r>
    <n v="134"/>
    <n v="64"/>
    <s v="Unknown"/>
    <n v="196"/>
    <d v="2026-03-27T00:00:00"/>
    <d v="2026-03-13T00:00:00"/>
    <n v="70"/>
    <s v="61-90"/>
    <n v="18"/>
    <s v="Overstock"/>
    <n v="66"/>
    <n v="131"/>
    <n v="0.14000000000000001"/>
    <n v="43.93"/>
    <n v="8610.2800000000007"/>
    <x v="0"/>
    <s v="OK"/>
    <x v="63"/>
  </r>
  <r>
    <n v="135"/>
    <n v="65"/>
    <s v="Salt Lake City"/>
    <n v="292"/>
    <d v="2026-04-11T00:00:00"/>
    <d v="2026-04-27T00:00:00"/>
    <n v="25"/>
    <s v="0-30"/>
    <n v="12"/>
    <s v="Overstock"/>
    <n v="204"/>
    <n v="248"/>
    <n v="0.05"/>
    <n v="44.01"/>
    <n v="12850.92"/>
    <x v="0"/>
    <s v="OK"/>
    <x v="64"/>
  </r>
  <r>
    <n v="136"/>
    <n v="65"/>
    <s v="South Jordan"/>
    <n v="309"/>
    <d v="2026-04-22T00:00:00"/>
    <d v="2026-04-27T00:00:00"/>
    <n v="25"/>
    <s v="0-30"/>
    <n v="12"/>
    <s v="Overstock"/>
    <n v="204"/>
    <n v="256.5"/>
    <n v="0.05"/>
    <n v="44.01"/>
    <n v="13599.09"/>
    <x v="0"/>
    <s v="OK"/>
    <x v="64"/>
  </r>
  <r>
    <n v="137"/>
    <n v="65"/>
    <s v="South Jordan"/>
    <n v="490"/>
    <d v="2026-04-25T00:00:00"/>
    <d v="2026-04-27T00:00:00"/>
    <n v="25"/>
    <s v="0-30"/>
    <n v="12"/>
    <s v="Overstock"/>
    <n v="204"/>
    <n v="347"/>
    <n v="0.03"/>
    <n v="44.01"/>
    <n v="21564.899999999998"/>
    <x v="0"/>
    <s v="OK"/>
    <x v="64"/>
  </r>
  <r>
    <n v="138"/>
    <n v="66"/>
    <s v="Salt Lake City"/>
    <n v="20"/>
    <d v="2026-04-03T00:00:00"/>
    <d v="2026-04-11T00:00:00"/>
    <n v="41"/>
    <s v="31-60"/>
    <n v="15"/>
    <s v="OK"/>
    <n v="848"/>
    <n v="434"/>
    <n v="0.03"/>
    <n v="174.21"/>
    <n v="3484.2000000000003"/>
    <x v="0"/>
    <s v="OK"/>
    <x v="65"/>
  </r>
  <r>
    <n v="139"/>
    <n v="66"/>
    <s v="Draper"/>
    <n v="224"/>
    <d v="2026-03-23T00:00:00"/>
    <d v="2026-04-11T00:00:00"/>
    <n v="41"/>
    <s v="31-60"/>
    <n v="15"/>
    <s v="Overstock"/>
    <n v="848"/>
    <n v="536"/>
    <n v="0.03"/>
    <n v="174.21"/>
    <n v="39023.040000000001"/>
    <x v="0"/>
    <s v="OK"/>
    <x v="65"/>
  </r>
  <r>
    <n v="140"/>
    <n v="67"/>
    <s v="West Valley"/>
    <n v="190"/>
    <d v="2026-04-07T00:00:00"/>
    <d v="2026-06-08T00:00:00"/>
    <n v="-17"/>
    <s v="0-30"/>
    <n v="25"/>
    <s v="Overstock"/>
    <n v="162"/>
    <n v="176"/>
    <n v="0.14000000000000001"/>
    <n v="25.18"/>
    <n v="4784.2"/>
    <x v="0"/>
    <s v="OK"/>
    <x v="66"/>
  </r>
  <r>
    <n v="141"/>
    <n v="68"/>
    <s v="West Valley"/>
    <n v="404"/>
    <d v="2026-04-10T00:00:00"/>
    <s v="NULL"/>
    <e v="#VALUE!"/>
    <e v="#VALUE!"/>
    <n v="44"/>
    <s v="Overstock"/>
    <n v="0"/>
    <n v="202"/>
    <n v="0.22"/>
    <n v="23.97"/>
    <n v="9683.8799999999992"/>
    <x v="0"/>
    <s v=""/>
    <x v="67"/>
  </r>
  <r>
    <n v="142"/>
    <n v="68"/>
    <s v="Salt Lake City"/>
    <n v="33"/>
    <d v="2026-03-27T00:00:00"/>
    <s v="NULL"/>
    <e v="#VALUE!"/>
    <e v="#VALUE!"/>
    <n v="44"/>
    <s v="OK"/>
    <n v="0"/>
    <n v="16.5"/>
    <n v="2.67"/>
    <n v="23.97"/>
    <n v="791.01"/>
    <x v="0"/>
    <s v=""/>
    <x v="67"/>
  </r>
  <r>
    <n v="143"/>
    <n v="69"/>
    <s v="South Jordan"/>
    <n v="370"/>
    <d v="2026-03-04T00:00:00"/>
    <d v="2026-05-17T00:00:00"/>
    <n v="5"/>
    <s v="0-30"/>
    <n v="8"/>
    <s v="Overstock"/>
    <n v="519"/>
    <n v="444.5"/>
    <n v="0.02"/>
    <n v="162.41"/>
    <n v="60091.7"/>
    <x v="1"/>
    <s v="OK"/>
    <x v="68"/>
  </r>
  <r>
    <n v="144"/>
    <n v="69"/>
    <s v="Lehi"/>
    <n v="308"/>
    <d v="2026-04-10T00:00:00"/>
    <d v="2026-05-17T00:00:00"/>
    <n v="5"/>
    <s v="0-30"/>
    <n v="8"/>
    <s v="Overstock"/>
    <n v="519"/>
    <n v="413.5"/>
    <n v="0.02"/>
    <n v="162.41"/>
    <n v="50022.28"/>
    <x v="1"/>
    <s v="OK"/>
    <x v="68"/>
  </r>
  <r>
    <n v="145"/>
    <n v="69"/>
    <s v="Draper"/>
    <n v="41"/>
    <d v="2026-04-22T00:00:00"/>
    <d v="2026-05-17T00:00:00"/>
    <n v="5"/>
    <s v="0-30"/>
    <n v="8"/>
    <s v="Overstock"/>
    <n v="519"/>
    <n v="280"/>
    <n v="0.03"/>
    <n v="162.41"/>
    <n v="6658.8099999999995"/>
    <x v="1"/>
    <s v="OK"/>
    <x v="68"/>
  </r>
  <r>
    <n v="146"/>
    <n v="70"/>
    <s v="Lehi"/>
    <n v="66"/>
    <d v="2026-03-02T00:00:00"/>
    <d v="2026-05-05T00:00:00"/>
    <n v="17"/>
    <s v="0-30"/>
    <n v="26"/>
    <s v="OK"/>
    <n v="530"/>
    <n v="298"/>
    <n v="0.09"/>
    <n v="95.99"/>
    <n v="6335.3399999999992"/>
    <x v="0"/>
    <s v="OK"/>
    <x v="69"/>
  </r>
  <r>
    <n v="147"/>
    <n v="70"/>
    <s v="South Jordan"/>
    <n v="43"/>
    <d v="2026-04-07T00:00:00"/>
    <d v="2026-05-05T00:00:00"/>
    <n v="17"/>
    <s v="0-30"/>
    <n v="26"/>
    <s v="OK"/>
    <n v="530"/>
    <n v="286.5"/>
    <n v="0.09"/>
    <n v="95.99"/>
    <n v="4127.57"/>
    <x v="0"/>
    <s v="OK"/>
    <x v="69"/>
  </r>
  <r>
    <n v="148"/>
    <n v="71"/>
    <s v="West Valley"/>
    <n v="359"/>
    <d v="2026-03-15T00:00:00"/>
    <d v="2026-03-13T00:00:00"/>
    <n v="70"/>
    <s v="61-90"/>
    <n v="28"/>
    <s v="Overstock"/>
    <n v="324"/>
    <n v="341.5"/>
    <n v="0.08"/>
    <n v="171.05"/>
    <n v="61406.950000000004"/>
    <x v="0"/>
    <s v="OK"/>
    <x v="70"/>
  </r>
  <r>
    <n v="149"/>
    <n v="71"/>
    <s v="Draper"/>
    <n v="350"/>
    <d v="2026-04-26T00:00:00"/>
    <d v="2026-03-13T00:00:00"/>
    <n v="70"/>
    <s v="61-90"/>
    <n v="28"/>
    <s v="Overstock"/>
    <n v="324"/>
    <n v="337"/>
    <n v="0.08"/>
    <n v="171.05"/>
    <n v="59867.500000000007"/>
    <x v="0"/>
    <s v="OK"/>
    <x v="70"/>
  </r>
  <r>
    <n v="150"/>
    <n v="71"/>
    <s v="Unknown"/>
    <n v="330"/>
    <d v="2026-03-30T00:00:00"/>
    <d v="2026-03-13T00:00:00"/>
    <n v="70"/>
    <s v="61-90"/>
    <n v="28"/>
    <s v="Overstock"/>
    <n v="324"/>
    <n v="327"/>
    <n v="0.09"/>
    <n v="171.05"/>
    <n v="56446.500000000007"/>
    <x v="0"/>
    <s v="OK"/>
    <x v="70"/>
  </r>
  <r>
    <n v="151"/>
    <n v="72"/>
    <s v="Salt Lake City"/>
    <n v="158"/>
    <d v="2026-04-18T00:00:00"/>
    <d v="2026-02-16T00:00:00"/>
    <n v="95"/>
    <s v="90+"/>
    <n v="16"/>
    <s v="Overstock"/>
    <n v="943"/>
    <n v="550.5"/>
    <n v="0.03"/>
    <n v="93.75"/>
    <n v="14812.5"/>
    <x v="0"/>
    <s v="OK"/>
    <x v="71"/>
  </r>
  <r>
    <n v="152"/>
    <n v="72"/>
    <s v="West Valley"/>
    <n v="174"/>
    <d v="2026-03-31T00:00:00"/>
    <d v="2026-02-16T00:00:00"/>
    <n v="95"/>
    <s v="90+"/>
    <n v="16"/>
    <s v="Overstock"/>
    <n v="943"/>
    <n v="558.5"/>
    <n v="0.03"/>
    <n v="93.75"/>
    <n v="16312.5"/>
    <x v="0"/>
    <s v="OK"/>
    <x v="71"/>
  </r>
  <r>
    <n v="153"/>
    <n v="73"/>
    <s v="Draper"/>
    <n v="70"/>
    <d v="2026-04-13T00:00:00"/>
    <d v="2026-05-01T00:00:00"/>
    <n v="21"/>
    <s v="0-30"/>
    <n v="55"/>
    <s v="OK"/>
    <n v="361"/>
    <n v="215.5"/>
    <n v="0.26"/>
    <n v="27.28"/>
    <n v="1909.6000000000001"/>
    <x v="0"/>
    <s v="OK"/>
    <x v="72"/>
  </r>
  <r>
    <n v="154"/>
    <n v="74"/>
    <s v="Unknown"/>
    <n v="394"/>
    <d v="2026-03-15T00:00:00"/>
    <s v="NULL"/>
    <e v="#VALUE!"/>
    <e v="#VALUE!"/>
    <n v="42"/>
    <s v="Overstock"/>
    <n v="0"/>
    <n v="197"/>
    <n v="0.21"/>
    <n v="104.59"/>
    <n v="41208.46"/>
    <x v="0"/>
    <s v=""/>
    <x v="73"/>
  </r>
  <r>
    <n v="155"/>
    <n v="75"/>
    <s v="Salt Lake City"/>
    <n v="316"/>
    <d v="2026-04-07T00:00:00"/>
    <d v="2026-03-22T00:00:00"/>
    <n v="61"/>
    <s v="61-90"/>
    <n v="40"/>
    <s v="Overstock"/>
    <n v="140"/>
    <n v="228"/>
    <n v="0.18"/>
    <n v="80.23"/>
    <n v="25352.68"/>
    <x v="0"/>
    <s v="OK"/>
    <x v="74"/>
  </r>
  <r>
    <n v="156"/>
    <n v="75"/>
    <s v="West Valley"/>
    <n v="78"/>
    <d v="2026-03-09T00:00:00"/>
    <d v="2026-03-22T00:00:00"/>
    <n v="61"/>
    <s v="61-90"/>
    <n v="40"/>
    <s v="OK"/>
    <n v="140"/>
    <n v="109"/>
    <n v="0.37"/>
    <n v="80.23"/>
    <n v="6257.9400000000005"/>
    <x v="0"/>
    <s v="OK"/>
    <x v="74"/>
  </r>
  <r>
    <n v="157"/>
    <n v="75"/>
    <s v="South Jordan"/>
    <n v="354"/>
    <d v="2026-03-11T00:00:00"/>
    <d v="2026-03-22T00:00:00"/>
    <n v="61"/>
    <s v="61-90"/>
    <n v="40"/>
    <s v="Overstock"/>
    <n v="140"/>
    <n v="247"/>
    <n v="0.16"/>
    <n v="80.23"/>
    <n v="28401.420000000002"/>
    <x v="0"/>
    <s v="OK"/>
    <x v="74"/>
  </r>
  <r>
    <n v="158"/>
    <n v="76"/>
    <s v="South Jordan"/>
    <n v="22"/>
    <d v="2026-03-19T00:00:00"/>
    <d v="2026-04-10T00:00:00"/>
    <n v="42"/>
    <s v="31-60"/>
    <n v="56"/>
    <s v="OK"/>
    <n v="302"/>
    <n v="162"/>
    <n v="0.35"/>
    <n v="123.23"/>
    <n v="2711.06"/>
    <x v="0"/>
    <s v="OK"/>
    <x v="75"/>
  </r>
  <r>
    <n v="159"/>
    <n v="77"/>
    <s v="Draper"/>
    <n v="145"/>
    <d v="2026-03-12T00:00:00"/>
    <d v="2026-01-13T00:00:00"/>
    <n v="129"/>
    <s v="90+"/>
    <n v="22"/>
    <s v="Overstock"/>
    <n v="94"/>
    <n v="119.5"/>
    <n v="0.18"/>
    <n v="95.2"/>
    <n v="13804"/>
    <x v="0"/>
    <s v="OK"/>
    <x v="76"/>
  </r>
  <r>
    <n v="160"/>
    <n v="77"/>
    <s v="South Jordan"/>
    <n v="229"/>
    <d v="2026-04-16T00:00:00"/>
    <d v="2026-01-13T00:00:00"/>
    <n v="129"/>
    <s v="90+"/>
    <n v="22"/>
    <s v="Overstock"/>
    <n v="94"/>
    <n v="161.5"/>
    <n v="0.14000000000000001"/>
    <n v="95.2"/>
    <n v="21800.799999999999"/>
    <x v="0"/>
    <s v="OK"/>
    <x v="76"/>
  </r>
  <r>
    <n v="161"/>
    <n v="77"/>
    <s v="Lehi"/>
    <n v="158"/>
    <d v="2026-03-12T00:00:00"/>
    <d v="2026-01-13T00:00:00"/>
    <n v="129"/>
    <s v="90+"/>
    <n v="22"/>
    <s v="Overstock"/>
    <n v="94"/>
    <n v="126"/>
    <n v="0.17"/>
    <n v="95.2"/>
    <n v="15041.6"/>
    <x v="0"/>
    <s v="OK"/>
    <x v="76"/>
  </r>
  <r>
    <n v="162"/>
    <n v="78"/>
    <s v="Draper"/>
    <n v="347"/>
    <d v="2026-04-03T00:00:00"/>
    <d v="2026-02-15T00:00:00"/>
    <n v="96"/>
    <s v="90+"/>
    <n v="45"/>
    <s v="Overstock"/>
    <n v="522"/>
    <n v="434.5"/>
    <n v="0.1"/>
    <n v="44.31"/>
    <n v="15375.570000000002"/>
    <x v="0"/>
    <s v="OK"/>
    <x v="77"/>
  </r>
  <r>
    <n v="163"/>
    <n v="78"/>
    <s v="West Valley"/>
    <n v="236"/>
    <d v="2026-03-13T00:00:00"/>
    <d v="2026-02-15T00:00:00"/>
    <n v="96"/>
    <s v="90+"/>
    <n v="45"/>
    <s v="Overstock"/>
    <n v="522"/>
    <n v="379"/>
    <n v="0.12"/>
    <n v="44.31"/>
    <n v="10457.16"/>
    <x v="0"/>
    <s v="OK"/>
    <x v="77"/>
  </r>
  <r>
    <n v="164"/>
    <n v="79"/>
    <s v="Unknown"/>
    <n v="494"/>
    <d v="2026-04-19T00:00:00"/>
    <d v="2026-01-18T00:00:00"/>
    <n v="124"/>
    <s v="90+"/>
    <n v="44"/>
    <s v="Overstock"/>
    <n v="987"/>
    <n v="740.5"/>
    <n v="0.06"/>
    <n v="111.97"/>
    <n v="55313.18"/>
    <x v="0"/>
    <s v="OK"/>
    <x v="78"/>
  </r>
  <r>
    <n v="165"/>
    <n v="79"/>
    <s v="South Jordan"/>
    <n v="410"/>
    <d v="2026-03-07T00:00:00"/>
    <d v="2026-01-18T00:00:00"/>
    <n v="124"/>
    <s v="90+"/>
    <n v="44"/>
    <s v="Overstock"/>
    <n v="987"/>
    <n v="698.5"/>
    <n v="0.06"/>
    <n v="111.97"/>
    <n v="45907.7"/>
    <x v="0"/>
    <s v="OK"/>
    <x v="78"/>
  </r>
  <r>
    <n v="166"/>
    <n v="80"/>
    <s v="Salt Lake City"/>
    <n v="447"/>
    <d v="2026-03-03T00:00:00"/>
    <d v="2026-01-15T00:00:00"/>
    <n v="127"/>
    <s v="90+"/>
    <n v="17"/>
    <s v="Overstock"/>
    <n v="279"/>
    <n v="363"/>
    <n v="0.05"/>
    <n v="91.52"/>
    <n v="40909.439999999995"/>
    <x v="0"/>
    <s v="OK"/>
    <x v="79"/>
  </r>
  <r>
    <n v="167"/>
    <n v="80"/>
    <s v="South Jordan"/>
    <n v="52"/>
    <d v="2026-03-29T00:00:00"/>
    <d v="2026-01-15T00:00:00"/>
    <n v="127"/>
    <s v="90+"/>
    <n v="17"/>
    <s v="Overstock"/>
    <n v="279"/>
    <n v="165.5"/>
    <n v="0.1"/>
    <n v="91.52"/>
    <n v="4759.04"/>
    <x v="0"/>
    <s v="OK"/>
    <x v="79"/>
  </r>
  <r>
    <n v="168"/>
    <n v="81"/>
    <s v="Lehi"/>
    <n v="42"/>
    <d v="2026-04-14T00:00:00"/>
    <d v="2026-04-27T00:00:00"/>
    <n v="25"/>
    <s v="0-30"/>
    <n v="76"/>
    <s v="OK"/>
    <n v="269"/>
    <n v="155.5"/>
    <n v="0.49"/>
    <n v="43.3"/>
    <n v="1818.6"/>
    <x v="0"/>
    <s v="OK"/>
    <x v="80"/>
  </r>
  <r>
    <n v="169"/>
    <n v="82"/>
    <s v="Unknown"/>
    <n v="425"/>
    <d v="2026-03-02T00:00:00"/>
    <d v="2026-05-05T00:00:00"/>
    <n v="17"/>
    <s v="0-30"/>
    <n v="55"/>
    <s v="Overstock"/>
    <n v="379"/>
    <n v="402"/>
    <n v="0.14000000000000001"/>
    <n v="84.88"/>
    <n v="36074"/>
    <x v="0"/>
    <s v="OK"/>
    <x v="81"/>
  </r>
  <r>
    <n v="170"/>
    <n v="82"/>
    <s v="Draper"/>
    <n v="466"/>
    <d v="2026-04-03T00:00:00"/>
    <d v="2026-05-05T00:00:00"/>
    <n v="17"/>
    <s v="0-30"/>
    <n v="55"/>
    <s v="Overstock"/>
    <n v="379"/>
    <n v="422.5"/>
    <n v="0.13"/>
    <n v="84.88"/>
    <n v="39554.079999999994"/>
    <x v="0"/>
    <s v="OK"/>
    <x v="81"/>
  </r>
  <r>
    <n v="171"/>
    <n v="83"/>
    <s v="Salt Lake City"/>
    <n v="27"/>
    <d v="2026-04-08T00:00:00"/>
    <d v="2026-01-20T00:00:00"/>
    <n v="122"/>
    <s v="90+"/>
    <n v="35"/>
    <s v="OK"/>
    <n v="450"/>
    <n v="238.5"/>
    <n v="0.15"/>
    <n v="147.63"/>
    <n v="3986.0099999999998"/>
    <x v="0"/>
    <s v="OK"/>
    <x v="82"/>
  </r>
  <r>
    <n v="172"/>
    <n v="83"/>
    <s v="South Jordan"/>
    <n v="120"/>
    <d v="2026-04-26T00:00:00"/>
    <d v="2026-01-20T00:00:00"/>
    <n v="122"/>
    <s v="90+"/>
    <n v="35"/>
    <s v="Overstock"/>
    <n v="450"/>
    <n v="285"/>
    <n v="0.12"/>
    <n v="147.63"/>
    <n v="17715.599999999999"/>
    <x v="0"/>
    <s v="OK"/>
    <x v="82"/>
  </r>
  <r>
    <n v="173"/>
    <n v="84"/>
    <s v="Draper"/>
    <n v="163"/>
    <d v="2026-03-09T00:00:00"/>
    <d v="2026-02-25T00:00:00"/>
    <n v="86"/>
    <s v="61-90"/>
    <n v="57"/>
    <s v="OK"/>
    <n v="712"/>
    <n v="437.5"/>
    <n v="0.13"/>
    <n v="135.13999999999999"/>
    <n v="22027.819999999996"/>
    <x v="0"/>
    <s v="OK"/>
    <x v="83"/>
  </r>
  <r>
    <n v="174"/>
    <n v="84"/>
    <s v="Salt Lake City"/>
    <n v="365"/>
    <d v="2026-03-12T00:00:00"/>
    <d v="2026-02-25T00:00:00"/>
    <n v="86"/>
    <s v="61-90"/>
    <n v="57"/>
    <s v="Overstock"/>
    <n v="712"/>
    <n v="538.5"/>
    <n v="0.11"/>
    <n v="135.13999999999999"/>
    <n v="49326.1"/>
    <x v="0"/>
    <s v="OK"/>
    <x v="83"/>
  </r>
  <r>
    <n v="175"/>
    <n v="85"/>
    <s v="Draper"/>
    <n v="19"/>
    <d v="2026-03-09T00:00:00"/>
    <d v="2026-06-01T00:00:00"/>
    <n v="-10"/>
    <s v="0-30"/>
    <n v="33"/>
    <s v="OK"/>
    <n v="10"/>
    <n v="14.5"/>
    <n v="2.2799999999999998"/>
    <n v="139.02000000000001"/>
    <n v="2641.38"/>
    <x v="0"/>
    <s v="OK"/>
    <x v="84"/>
  </r>
  <r>
    <n v="176"/>
    <n v="86"/>
    <s v="Draper"/>
    <n v="229"/>
    <d v="2026-03-05T00:00:00"/>
    <d v="2026-04-15T00:00:00"/>
    <n v="37"/>
    <s v="31-60"/>
    <n v="21"/>
    <s v="Overstock"/>
    <n v="386"/>
    <n v="307.5"/>
    <n v="7.0000000000000007E-2"/>
    <n v="129.87"/>
    <n v="29740.23"/>
    <x v="0"/>
    <s v="OK"/>
    <x v="85"/>
  </r>
  <r>
    <n v="177"/>
    <n v="86"/>
    <s v="South Jordan"/>
    <n v="0"/>
    <d v="2026-03-09T00:00:00"/>
    <d v="2026-04-15T00:00:00"/>
    <n v="37"/>
    <s v="31-60"/>
    <n v="21"/>
    <s v="OK"/>
    <n v="386"/>
    <n v="193"/>
    <n v="0.11"/>
    <n v="129.87"/>
    <n v="0"/>
    <x v="0"/>
    <s v="OK"/>
    <x v="85"/>
  </r>
  <r>
    <n v="178"/>
    <n v="87"/>
    <s v="Unknown"/>
    <n v="481"/>
    <d v="2026-03-29T00:00:00"/>
    <d v="2026-05-25T00:00:00"/>
    <n v="-3"/>
    <s v="0-30"/>
    <n v="46"/>
    <s v="Overstock"/>
    <n v="834"/>
    <n v="657.5"/>
    <n v="7.0000000000000007E-2"/>
    <n v="31.4"/>
    <n v="15103.4"/>
    <x v="0"/>
    <s v="OK"/>
    <x v="86"/>
  </r>
  <r>
    <n v="179"/>
    <n v="88"/>
    <s v="Salt Lake City"/>
    <n v="121"/>
    <d v="2026-04-28T00:00:00"/>
    <d v="2026-04-01T00:00:00"/>
    <n v="51"/>
    <s v="31-60"/>
    <n v="46"/>
    <s v="OK"/>
    <n v="58"/>
    <n v="89.5"/>
    <n v="0.51"/>
    <n v="77.599999999999994"/>
    <n v="9389.5999999999985"/>
    <x v="0"/>
    <s v="OK"/>
    <x v="87"/>
  </r>
  <r>
    <n v="180"/>
    <n v="88"/>
    <s v="Lehi"/>
    <n v="122"/>
    <d v="2026-03-12T00:00:00"/>
    <d v="2026-04-01T00:00:00"/>
    <n v="51"/>
    <s v="31-60"/>
    <n v="46"/>
    <s v="OK"/>
    <n v="58"/>
    <n v="90"/>
    <n v="0.51"/>
    <n v="77.599999999999994"/>
    <n v="9467.1999999999989"/>
    <x v="0"/>
    <s v="OK"/>
    <x v="87"/>
  </r>
  <r>
    <n v="181"/>
    <n v="89"/>
    <s v="South Jordan"/>
    <n v="428"/>
    <d v="2026-03-24T00:00:00"/>
    <d v="2026-03-29T00:00:00"/>
    <n v="54"/>
    <s v="31-60"/>
    <n v="21"/>
    <s v="Overstock"/>
    <n v="273"/>
    <n v="350.5"/>
    <n v="0.06"/>
    <n v="150.76"/>
    <n v="64525.279999999999"/>
    <x v="0"/>
    <s v="OK"/>
    <x v="88"/>
  </r>
  <r>
    <n v="182"/>
    <n v="89"/>
    <s v="Salt Lake City"/>
    <n v="0"/>
    <d v="2026-03-26T00:00:00"/>
    <d v="2026-03-29T00:00:00"/>
    <n v="54"/>
    <s v="31-60"/>
    <n v="21"/>
    <s v="OK"/>
    <n v="273"/>
    <n v="136.5"/>
    <n v="0.15"/>
    <n v="150.76"/>
    <n v="0"/>
    <x v="0"/>
    <s v="OK"/>
    <x v="88"/>
  </r>
  <r>
    <n v="183"/>
    <n v="89"/>
    <s v="Salt Lake City"/>
    <n v="123"/>
    <d v="2026-04-13T00:00:00"/>
    <d v="2026-03-29T00:00:00"/>
    <n v="54"/>
    <s v="31-60"/>
    <n v="21"/>
    <s v="Overstock"/>
    <n v="273"/>
    <n v="198"/>
    <n v="0.11"/>
    <n v="150.76"/>
    <n v="18543.48"/>
    <x v="0"/>
    <s v="OK"/>
    <x v="88"/>
  </r>
  <r>
    <n v="184"/>
    <n v="90"/>
    <s v="Salt Lake City"/>
    <n v="123"/>
    <d v="2026-04-20T00:00:00"/>
    <d v="2026-02-02T00:00:00"/>
    <n v="109"/>
    <s v="90+"/>
    <n v="22"/>
    <s v="Overstock"/>
    <n v="796"/>
    <n v="459.5"/>
    <n v="0.05"/>
    <n v="6.03"/>
    <n v="741.69"/>
    <x v="0"/>
    <s v="OK"/>
    <x v="89"/>
  </r>
  <r>
    <n v="185"/>
    <n v="90"/>
    <s v="West Valley"/>
    <n v="340"/>
    <d v="2026-03-29T00:00:00"/>
    <d v="2026-02-02T00:00:00"/>
    <n v="109"/>
    <s v="90+"/>
    <n v="22"/>
    <s v="Overstock"/>
    <n v="796"/>
    <n v="568"/>
    <n v="0.04"/>
    <n v="6.03"/>
    <n v="2050.2000000000003"/>
    <x v="0"/>
    <s v="OK"/>
    <x v="89"/>
  </r>
  <r>
    <n v="186"/>
    <n v="91"/>
    <s v="Salt Lake City"/>
    <n v="199"/>
    <d v="2026-04-29T00:00:00"/>
    <d v="2026-06-13T00:00:00"/>
    <n v="-22"/>
    <s v="0-30"/>
    <n v="62"/>
    <s v="Overstock"/>
    <n v="553"/>
    <n v="376"/>
    <n v="0.16"/>
    <n v="135.82"/>
    <n v="27028.18"/>
    <x v="0"/>
    <s v="OK"/>
    <x v="90"/>
  </r>
  <r>
    <n v="187"/>
    <n v="91"/>
    <s v="Salt Lake City"/>
    <n v="325"/>
    <d v="2026-04-08T00:00:00"/>
    <d v="2026-06-13T00:00:00"/>
    <n v="-22"/>
    <s v="0-30"/>
    <n v="62"/>
    <s v="Overstock"/>
    <n v="553"/>
    <n v="439"/>
    <n v="0.14000000000000001"/>
    <n v="135.82"/>
    <n v="44141.5"/>
    <x v="0"/>
    <s v="OK"/>
    <x v="90"/>
  </r>
  <r>
    <n v="188"/>
    <n v="92"/>
    <s v="Salt Lake City"/>
    <n v="403"/>
    <d v="2026-04-16T00:00:00"/>
    <d v="2026-05-29T00:00:00"/>
    <n v="-7"/>
    <s v="0-30"/>
    <n v="32"/>
    <s v="Overstock"/>
    <n v="934"/>
    <n v="668.5"/>
    <n v="0.05"/>
    <n v="81.27"/>
    <n v="32751.809999999998"/>
    <x v="0"/>
    <s v="OK"/>
    <x v="91"/>
  </r>
  <r>
    <n v="189"/>
    <n v="92"/>
    <s v="West Valley"/>
    <n v="375"/>
    <d v="2026-04-25T00:00:00"/>
    <d v="2026-05-29T00:00:00"/>
    <n v="-7"/>
    <s v="0-30"/>
    <n v="32"/>
    <s v="Overstock"/>
    <n v="934"/>
    <n v="654.5"/>
    <n v="0.05"/>
    <n v="81.27"/>
    <n v="30476.25"/>
    <x v="0"/>
    <s v="OK"/>
    <x v="91"/>
  </r>
  <r>
    <n v="190"/>
    <n v="93"/>
    <s v="West Valley"/>
    <n v="180"/>
    <d v="2026-03-10T00:00:00"/>
    <e v="#N/A"/>
    <e v="#N/A"/>
    <e v="#N/A"/>
    <n v="31"/>
    <s v="Overstock"/>
    <n v="0"/>
    <n v="90"/>
    <n v="0.34"/>
    <n v="152.09"/>
    <n v="27376.2"/>
    <x v="0"/>
    <s v=""/>
    <x v="92"/>
  </r>
  <r>
    <n v="191"/>
    <n v="93"/>
    <s v="Draper"/>
    <n v="329"/>
    <d v="2026-03-13T00:00:00"/>
    <e v="#N/A"/>
    <e v="#N/A"/>
    <e v="#N/A"/>
    <n v="31"/>
    <s v="Overstock"/>
    <n v="0"/>
    <n v="164.5"/>
    <n v="0.19"/>
    <n v="152.09"/>
    <n v="50037.61"/>
    <x v="0"/>
    <s v=""/>
    <x v="92"/>
  </r>
  <r>
    <n v="192"/>
    <n v="93"/>
    <s v="Salt Lake City"/>
    <n v="350"/>
    <d v="2026-03-18T00:00:00"/>
    <e v="#N/A"/>
    <e v="#N/A"/>
    <e v="#N/A"/>
    <n v="31"/>
    <s v="Overstock"/>
    <n v="0"/>
    <n v="175"/>
    <n v="0.18"/>
    <n v="152.09"/>
    <n v="53231.5"/>
    <x v="0"/>
    <s v=""/>
    <x v="92"/>
  </r>
  <r>
    <n v="193"/>
    <n v="94"/>
    <s v="Draper"/>
    <n v="32"/>
    <d v="2026-03-02T00:00:00"/>
    <d v="2026-04-16T00:00:00"/>
    <n v="36"/>
    <s v="31-60"/>
    <n v="34"/>
    <s v="OK"/>
    <n v="828"/>
    <n v="430"/>
    <n v="0.08"/>
    <n v="117.48"/>
    <n v="3759.36"/>
    <x v="0"/>
    <s v="OK"/>
    <x v="93"/>
  </r>
  <r>
    <n v="194"/>
    <n v="94"/>
    <s v="Unknown"/>
    <n v="234"/>
    <d v="2026-04-19T00:00:00"/>
    <d v="2026-04-16T00:00:00"/>
    <n v="36"/>
    <s v="31-60"/>
    <n v="34"/>
    <s v="Overstock"/>
    <n v="828"/>
    <n v="531"/>
    <n v="0.06"/>
    <n v="117.48"/>
    <n v="27490.32"/>
    <x v="0"/>
    <s v="OK"/>
    <x v="93"/>
  </r>
  <r>
    <n v="195"/>
    <n v="95"/>
    <s v="Draper"/>
    <n v="453"/>
    <d v="2026-03-03T00:00:00"/>
    <d v="2025-12-25T00:00:00"/>
    <n v="148"/>
    <s v="90+"/>
    <n v="23"/>
    <s v="Overstock"/>
    <n v="885"/>
    <n v="669"/>
    <n v="0.03"/>
    <n v="71.34"/>
    <n v="32317.02"/>
    <x v="0"/>
    <s v="OK"/>
    <x v="94"/>
  </r>
  <r>
    <n v="196"/>
    <n v="96"/>
    <s v="Unknown"/>
    <n v="417"/>
    <d v="2026-04-15T00:00:00"/>
    <d v="2026-06-11T00:00:00"/>
    <n v="-20"/>
    <s v="0-30"/>
    <n v="30"/>
    <s v="Overstock"/>
    <n v="284"/>
    <n v="350.5"/>
    <n v="0.09"/>
    <n v="136.6"/>
    <n v="56962.2"/>
    <x v="0"/>
    <s v="OK"/>
    <x v="95"/>
  </r>
  <r>
    <n v="197"/>
    <n v="96"/>
    <s v="South Jordan"/>
    <n v="18"/>
    <d v="2026-04-19T00:00:00"/>
    <d v="2026-06-11T00:00:00"/>
    <n v="-20"/>
    <s v="0-30"/>
    <n v="30"/>
    <s v="OK"/>
    <n v="284"/>
    <n v="151"/>
    <n v="0.2"/>
    <n v="136.6"/>
    <n v="2458.7999999999997"/>
    <x v="0"/>
    <s v="OK"/>
    <x v="95"/>
  </r>
  <r>
    <n v="198"/>
    <n v="97"/>
    <s v="West Valley"/>
    <n v="443"/>
    <d v="2026-04-14T00:00:00"/>
    <d v="2026-01-04T00:00:00"/>
    <n v="138"/>
    <s v="90+"/>
    <n v="19"/>
    <s v="Overstock"/>
    <n v="284"/>
    <n v="363.5"/>
    <n v="0.05"/>
    <n v="8.39"/>
    <n v="3716.7700000000004"/>
    <x v="0"/>
    <s v="OK"/>
    <x v="96"/>
  </r>
  <r>
    <n v="199"/>
    <n v="97"/>
    <s v="Salt Lake City"/>
    <n v="63"/>
    <d v="2026-04-04T00:00:00"/>
    <d v="2026-01-04T00:00:00"/>
    <n v="138"/>
    <s v="90+"/>
    <n v="19"/>
    <s v="Overstock"/>
    <n v="284"/>
    <n v="173.5"/>
    <n v="0.11"/>
    <n v="8.39"/>
    <n v="528.57000000000005"/>
    <x v="0"/>
    <s v="OK"/>
    <x v="96"/>
  </r>
  <r>
    <n v="200"/>
    <n v="98"/>
    <s v="South Jordan"/>
    <n v="173"/>
    <d v="2026-03-31T00:00:00"/>
    <s v="NULL"/>
    <e v="#VALUE!"/>
    <e v="#VALUE!"/>
    <n v="58"/>
    <s v="OK"/>
    <n v="0"/>
    <n v="86.5"/>
    <n v="0.67"/>
    <n v="136.99"/>
    <n v="23699.27"/>
    <x v="0"/>
    <s v=""/>
    <x v="97"/>
  </r>
  <r>
    <n v="201"/>
    <n v="98"/>
    <s v="South Jordan"/>
    <n v="354"/>
    <d v="2026-03-03T00:00:00"/>
    <s v="NULL"/>
    <e v="#VALUE!"/>
    <e v="#VALUE!"/>
    <n v="58"/>
    <s v="Overstock"/>
    <n v="0"/>
    <n v="177"/>
    <n v="0.33"/>
    <n v="136.99"/>
    <n v="48494.460000000006"/>
    <x v="0"/>
    <s v=""/>
    <x v="97"/>
  </r>
  <r>
    <n v="202"/>
    <n v="99"/>
    <s v="Lehi"/>
    <n v="217"/>
    <d v="2026-03-24T00:00:00"/>
    <d v="2026-04-21T00:00:00"/>
    <n v="31"/>
    <s v="31-60"/>
    <n v="36"/>
    <s v="Overstock"/>
    <n v="626"/>
    <n v="421.5"/>
    <n v="0.09"/>
    <n v="31.67"/>
    <n v="6872.39"/>
    <x v="0"/>
    <s v="OK"/>
    <x v="98"/>
  </r>
  <r>
    <n v="203"/>
    <n v="99"/>
    <s v="Salt Lake City"/>
    <n v="421"/>
    <d v="2026-04-13T00:00:00"/>
    <d v="2026-04-21T00:00:00"/>
    <n v="31"/>
    <s v="31-60"/>
    <n v="36"/>
    <s v="Overstock"/>
    <n v="626"/>
    <n v="523.5"/>
    <n v="7.0000000000000007E-2"/>
    <n v="31.67"/>
    <n v="13333.070000000002"/>
    <x v="0"/>
    <s v="OK"/>
    <x v="98"/>
  </r>
  <r>
    <n v="204"/>
    <n v="99"/>
    <s v="West Valley"/>
    <n v="164"/>
    <d v="2026-04-11T00:00:00"/>
    <d v="2026-04-21T00:00:00"/>
    <n v="31"/>
    <s v="31-60"/>
    <n v="36"/>
    <s v="Overstock"/>
    <n v="626"/>
    <n v="395"/>
    <n v="0.09"/>
    <n v="31.67"/>
    <n v="5193.88"/>
    <x v="0"/>
    <s v="OK"/>
    <x v="98"/>
  </r>
  <r>
    <n v="205"/>
    <n v="100"/>
    <s v="Lehi"/>
    <n v="308"/>
    <d v="2026-04-21T00:00:00"/>
    <d v="2026-05-31T00:00:00"/>
    <n v="-9"/>
    <s v="0-30"/>
    <n v="22"/>
    <s v="Overstock"/>
    <n v="477"/>
    <n v="392.5"/>
    <n v="0.06"/>
    <n v="127.41"/>
    <n v="39242.28"/>
    <x v="0"/>
    <s v="OK"/>
    <x v="99"/>
  </r>
  <r>
    <n v="206"/>
    <n v="100"/>
    <s v="Unknown"/>
    <n v="353"/>
    <d v="2026-04-03T00:00:00"/>
    <d v="2026-05-31T00:00:00"/>
    <n v="-9"/>
    <s v="0-30"/>
    <n v="22"/>
    <s v="Overstock"/>
    <n v="477"/>
    <n v="415"/>
    <n v="0.05"/>
    <n v="127.41"/>
    <n v="44975.729999999996"/>
    <x v="0"/>
    <s v="OK"/>
    <x v="99"/>
  </r>
  <r>
    <n v="207"/>
    <n v="100"/>
    <s v="Draper"/>
    <n v="21"/>
    <d v="2026-03-04T00:00:00"/>
    <d v="2026-05-31T00:00:00"/>
    <n v="-9"/>
    <s v="0-30"/>
    <n v="22"/>
    <s v="OK"/>
    <n v="477"/>
    <n v="249"/>
    <n v="0.09"/>
    <n v="127.41"/>
    <n v="2675.61"/>
    <x v="0"/>
    <s v="OK"/>
    <x v="99"/>
  </r>
  <r>
    <n v="208"/>
    <n v="101"/>
    <s v="South Jordan"/>
    <n v="327"/>
    <d v="2026-03-02T00:00:00"/>
    <d v="2026-02-14T00:00:00"/>
    <n v="97"/>
    <s v="90+"/>
    <n v="25"/>
    <s v="Overstock"/>
    <n v="260"/>
    <n v="293.5"/>
    <n v="0.09"/>
    <n v="173.83"/>
    <n v="56842.41"/>
    <x v="0"/>
    <s v="OK"/>
    <x v="100"/>
  </r>
  <r>
    <n v="209"/>
    <n v="101"/>
    <s v="Lehi"/>
    <n v="29"/>
    <d v="2026-03-22T00:00:00"/>
    <d v="2026-02-14T00:00:00"/>
    <n v="97"/>
    <s v="90+"/>
    <n v="25"/>
    <s v="OK"/>
    <n v="260"/>
    <n v="144.5"/>
    <n v="0.17"/>
    <n v="173.83"/>
    <n v="5041.0700000000006"/>
    <x v="0"/>
    <s v="OK"/>
    <x v="100"/>
  </r>
  <r>
    <n v="210"/>
    <n v="102"/>
    <s v="West Valley"/>
    <n v="487"/>
    <d v="2026-03-08T00:00:00"/>
    <d v="2026-02-17T00:00:00"/>
    <n v="94"/>
    <s v="90+"/>
    <n v="40"/>
    <s v="Overstock"/>
    <n v="206"/>
    <n v="346.5"/>
    <n v="0.12"/>
    <n v="169.76"/>
    <n v="82673.119999999995"/>
    <x v="0"/>
    <s v="OK"/>
    <x v="101"/>
  </r>
  <r>
    <n v="211"/>
    <n v="102"/>
    <s v="Draper"/>
    <n v="311"/>
    <d v="2026-04-03T00:00:00"/>
    <d v="2026-02-17T00:00:00"/>
    <n v="94"/>
    <s v="90+"/>
    <n v="40"/>
    <s v="Overstock"/>
    <n v="206"/>
    <n v="258.5"/>
    <n v="0.15"/>
    <n v="169.76"/>
    <n v="52795.360000000001"/>
    <x v="0"/>
    <s v="OK"/>
    <x v="101"/>
  </r>
  <r>
    <n v="212"/>
    <n v="103"/>
    <s v="Draper"/>
    <n v="34"/>
    <d v="2026-03-21T00:00:00"/>
    <d v="2026-05-07T00:00:00"/>
    <n v="15"/>
    <s v="0-30"/>
    <n v="21"/>
    <s v="OK"/>
    <n v="479"/>
    <n v="256.5"/>
    <n v="0.08"/>
    <n v="145.97"/>
    <n v="4962.9799999999996"/>
    <x v="0"/>
    <s v="OK"/>
    <x v="102"/>
  </r>
  <r>
    <n v="213"/>
    <n v="104"/>
    <s v="West Valley"/>
    <n v="486"/>
    <d v="2026-03-24T00:00:00"/>
    <d v="2026-04-16T00:00:00"/>
    <n v="36"/>
    <s v="31-60"/>
    <n v="27"/>
    <s v="Overstock"/>
    <n v="528"/>
    <n v="507"/>
    <n v="0.05"/>
    <n v="17.07"/>
    <n v="8296.02"/>
    <x v="0"/>
    <s v="OK"/>
    <x v="103"/>
  </r>
  <r>
    <n v="214"/>
    <n v="104"/>
    <s v="South Jordan"/>
    <n v="78"/>
    <d v="2026-03-02T00:00:00"/>
    <d v="2026-04-16T00:00:00"/>
    <n v="36"/>
    <s v="31-60"/>
    <n v="27"/>
    <s v="OK"/>
    <n v="528"/>
    <n v="303"/>
    <n v="0.09"/>
    <n v="17.07"/>
    <n v="1331.46"/>
    <x v="0"/>
    <s v="OK"/>
    <x v="103"/>
  </r>
  <r>
    <n v="215"/>
    <n v="105"/>
    <s v="West Valley"/>
    <n v="390"/>
    <d v="2026-04-23T00:00:00"/>
    <s v="NULL"/>
    <e v="#VALUE!"/>
    <e v="#VALUE!"/>
    <n v="14"/>
    <s v="Overstock"/>
    <n v="0"/>
    <n v="195"/>
    <n v="7.0000000000000007E-2"/>
    <n v="23.47"/>
    <n v="9153.2999999999993"/>
    <x v="0"/>
    <s v=""/>
    <x v="104"/>
  </r>
  <r>
    <n v="216"/>
    <n v="105"/>
    <s v="South Jordan"/>
    <n v="271"/>
    <d v="2026-04-11T00:00:00"/>
    <s v="NULL"/>
    <e v="#VALUE!"/>
    <e v="#VALUE!"/>
    <n v="14"/>
    <s v="Overstock"/>
    <n v="0"/>
    <n v="135.5"/>
    <n v="0.1"/>
    <n v="23.47"/>
    <n v="6360.37"/>
    <x v="0"/>
    <s v=""/>
    <x v="104"/>
  </r>
  <r>
    <n v="217"/>
    <n v="106"/>
    <s v="Lehi"/>
    <n v="13"/>
    <d v="2026-03-31T00:00:00"/>
    <d v="2026-01-15T00:00:00"/>
    <n v="127"/>
    <s v="90+"/>
    <n v="34"/>
    <s v="OK"/>
    <n v="904"/>
    <n v="458.5"/>
    <n v="7.0000000000000007E-2"/>
    <s v="NULL"/>
    <n v="0"/>
    <x v="0"/>
    <s v="OK"/>
    <x v="105"/>
  </r>
  <r>
    <n v="218"/>
    <n v="106"/>
    <s v="Draper"/>
    <n v="265"/>
    <d v="2026-03-27T00:00:00"/>
    <d v="2026-01-15T00:00:00"/>
    <n v="127"/>
    <s v="90+"/>
    <n v="34"/>
    <s v="Overstock"/>
    <n v="904"/>
    <n v="584.5"/>
    <n v="0.06"/>
    <s v="NULL"/>
    <n v="0"/>
    <x v="0"/>
    <s v="OK"/>
    <x v="105"/>
  </r>
  <r>
    <n v="219"/>
    <n v="106"/>
    <s v="Salt Lake City"/>
    <n v="60"/>
    <d v="2026-04-15T00:00:00"/>
    <d v="2026-01-15T00:00:00"/>
    <n v="127"/>
    <s v="90+"/>
    <n v="34"/>
    <s v="OK"/>
    <n v="904"/>
    <n v="482"/>
    <n v="7.0000000000000007E-2"/>
    <s v="NULL"/>
    <n v="0"/>
    <x v="0"/>
    <s v="OK"/>
    <x v="105"/>
  </r>
  <r>
    <n v="220"/>
    <n v="107"/>
    <s v="South Jordan"/>
    <n v="146"/>
    <d v="2026-03-31T00:00:00"/>
    <d v="2026-02-24T00:00:00"/>
    <n v="87"/>
    <s v="61-90"/>
    <n v="46"/>
    <s v="Overstock"/>
    <n v="152"/>
    <n v="149"/>
    <n v="0.31"/>
    <n v="81.23"/>
    <n v="11859.58"/>
    <x v="0"/>
    <s v="OK"/>
    <x v="106"/>
  </r>
  <r>
    <n v="221"/>
    <n v="107"/>
    <s v="Draper"/>
    <n v="102"/>
    <d v="2026-03-08T00:00:00"/>
    <d v="2026-02-24T00:00:00"/>
    <n v="87"/>
    <s v="61-90"/>
    <n v="46"/>
    <s v="OK"/>
    <n v="152"/>
    <n v="127"/>
    <n v="0.36"/>
    <n v="81.23"/>
    <n v="8285.4600000000009"/>
    <x v="0"/>
    <s v="OK"/>
    <x v="106"/>
  </r>
  <r>
    <n v="222"/>
    <n v="107"/>
    <s v="Lehi"/>
    <n v="37"/>
    <d v="2026-03-05T00:00:00"/>
    <d v="2026-02-24T00:00:00"/>
    <n v="87"/>
    <s v="61-90"/>
    <n v="46"/>
    <s v="OK"/>
    <n v="152"/>
    <n v="94.5"/>
    <n v="0.49"/>
    <n v="81.23"/>
    <n v="3005.51"/>
    <x v="0"/>
    <s v="OK"/>
    <x v="106"/>
  </r>
  <r>
    <n v="223"/>
    <n v="108"/>
    <s v="South Jordan"/>
    <n v="349"/>
    <d v="2026-04-11T00:00:00"/>
    <s v="NULL"/>
    <e v="#VALUE!"/>
    <e v="#VALUE!"/>
    <n v="37"/>
    <s v="Overstock"/>
    <n v="0"/>
    <n v="174.5"/>
    <n v="0.21"/>
    <n v="53.81"/>
    <n v="18779.690000000002"/>
    <x v="0"/>
    <s v=""/>
    <x v="107"/>
  </r>
  <r>
    <n v="224"/>
    <n v="108"/>
    <s v="Salt Lake City"/>
    <n v="341"/>
    <d v="2026-04-27T00:00:00"/>
    <s v="NULL"/>
    <e v="#VALUE!"/>
    <e v="#VALUE!"/>
    <n v="37"/>
    <s v="Overstock"/>
    <n v="0"/>
    <n v="170.5"/>
    <n v="0.22"/>
    <n v="53.81"/>
    <n v="18349.21"/>
    <x v="0"/>
    <s v=""/>
    <x v="107"/>
  </r>
  <r>
    <n v="225"/>
    <n v="108"/>
    <s v="South Jordan"/>
    <n v="281"/>
    <d v="2026-03-05T00:00:00"/>
    <s v="NULL"/>
    <e v="#VALUE!"/>
    <e v="#VALUE!"/>
    <n v="37"/>
    <s v="Overstock"/>
    <n v="0"/>
    <n v="140.5"/>
    <n v="0.26"/>
    <n v="53.81"/>
    <n v="15120.61"/>
    <x v="0"/>
    <s v=""/>
    <x v="107"/>
  </r>
  <r>
    <n v="226"/>
    <n v="109"/>
    <s v="Draper"/>
    <n v="406"/>
    <d v="2026-04-17T00:00:00"/>
    <d v="2026-02-19T00:00:00"/>
    <n v="92"/>
    <s v="90+"/>
    <n v="56"/>
    <s v="Overstock"/>
    <n v="834"/>
    <n v="620"/>
    <n v="0.09"/>
    <n v="10.02"/>
    <n v="4068.12"/>
    <x v="0"/>
    <s v="OK"/>
    <x v="108"/>
  </r>
  <r>
    <n v="227"/>
    <n v="109"/>
    <s v="Unknown"/>
    <n v="62"/>
    <d v="2026-03-12T00:00:00"/>
    <d v="2026-02-19T00:00:00"/>
    <n v="92"/>
    <s v="90+"/>
    <n v="56"/>
    <s v="OK"/>
    <n v="834"/>
    <n v="448"/>
    <n v="0.13"/>
    <n v="10.02"/>
    <n v="621.24"/>
    <x v="0"/>
    <s v="OK"/>
    <x v="108"/>
  </r>
  <r>
    <n v="228"/>
    <n v="110"/>
    <s v="Draper"/>
    <n v="404"/>
    <d v="2026-04-08T00:00:00"/>
    <d v="2026-06-14T00:00:00"/>
    <n v="-23"/>
    <s v="0-30"/>
    <n v="38"/>
    <s v="Overstock"/>
    <n v="398"/>
    <n v="401"/>
    <n v="0.09"/>
    <n v="144.62"/>
    <n v="58426.48"/>
    <x v="0"/>
    <s v="OK"/>
    <x v="109"/>
  </r>
  <r>
    <n v="229"/>
    <n v="111"/>
    <s v="West Valley"/>
    <n v="282"/>
    <d v="2026-03-06T00:00:00"/>
    <s v="NULL"/>
    <e v="#VALUE!"/>
    <e v="#VALUE!"/>
    <n v="22"/>
    <s v="Overstock"/>
    <n v="0"/>
    <n v="141"/>
    <n v="0.16"/>
    <n v="170.91"/>
    <n v="48196.62"/>
    <x v="0"/>
    <s v=""/>
    <x v="110"/>
  </r>
  <r>
    <n v="230"/>
    <n v="111"/>
    <s v="South Jordan"/>
    <n v="44"/>
    <d v="2026-04-06T00:00:00"/>
    <s v="NULL"/>
    <e v="#VALUE!"/>
    <e v="#VALUE!"/>
    <n v="22"/>
    <s v="OK"/>
    <n v="0"/>
    <n v="22"/>
    <n v="1"/>
    <n v="170.91"/>
    <n v="7520.04"/>
    <x v="0"/>
    <s v=""/>
    <x v="110"/>
  </r>
  <r>
    <n v="231"/>
    <n v="111"/>
    <s v="South Jordan"/>
    <n v="367"/>
    <d v="2026-03-29T00:00:00"/>
    <s v="NULL"/>
    <e v="#VALUE!"/>
    <e v="#VALUE!"/>
    <n v="22"/>
    <s v="Overstock"/>
    <n v="0"/>
    <n v="183.5"/>
    <n v="0.12"/>
    <n v="170.91"/>
    <n v="62723.97"/>
    <x v="0"/>
    <s v=""/>
    <x v="110"/>
  </r>
  <r>
    <n v="232"/>
    <n v="112"/>
    <s v="South Jordan"/>
    <n v="64"/>
    <d v="2026-03-21T00:00:00"/>
    <d v="2026-01-17T00:00:00"/>
    <n v="125"/>
    <s v="90+"/>
    <n v="41"/>
    <s v="OK"/>
    <n v="905"/>
    <n v="484.5"/>
    <n v="0.08"/>
    <n v="118.03"/>
    <n v="7553.92"/>
    <x v="0"/>
    <s v="OK"/>
    <x v="111"/>
  </r>
  <r>
    <n v="233"/>
    <n v="112"/>
    <s v="Salt Lake City"/>
    <n v="37"/>
    <d v="2026-03-19T00:00:00"/>
    <d v="2026-01-17T00:00:00"/>
    <n v="125"/>
    <s v="90+"/>
    <n v="41"/>
    <s v="OK"/>
    <n v="905"/>
    <n v="471"/>
    <n v="0.09"/>
    <n v="118.03"/>
    <n v="4367.1099999999997"/>
    <x v="0"/>
    <s v="OK"/>
    <x v="111"/>
  </r>
  <r>
    <n v="234"/>
    <n v="113"/>
    <s v="West Valley"/>
    <n v="399"/>
    <d v="2026-03-25T00:00:00"/>
    <d v="2026-04-21T00:00:00"/>
    <n v="31"/>
    <s v="31-60"/>
    <n v="21"/>
    <s v="Overstock"/>
    <n v="845"/>
    <n v="622"/>
    <n v="0.03"/>
    <n v="75.77"/>
    <n v="30232.23"/>
    <x v="0"/>
    <s v="OK"/>
    <x v="112"/>
  </r>
  <r>
    <n v="235"/>
    <n v="113"/>
    <s v="Draper"/>
    <n v="93"/>
    <d v="2026-04-23T00:00:00"/>
    <d v="2026-04-21T00:00:00"/>
    <n v="31"/>
    <s v="31-60"/>
    <n v="21"/>
    <s v="Overstock"/>
    <n v="845"/>
    <n v="469"/>
    <n v="0.04"/>
    <n v="75.77"/>
    <n v="7046.61"/>
    <x v="0"/>
    <s v="OK"/>
    <x v="112"/>
  </r>
  <r>
    <n v="236"/>
    <n v="113"/>
    <s v="South Jordan"/>
    <n v="221"/>
    <d v="2026-03-07T00:00:00"/>
    <d v="2026-04-21T00:00:00"/>
    <n v="31"/>
    <s v="31-60"/>
    <n v="21"/>
    <s v="Overstock"/>
    <n v="845"/>
    <n v="533"/>
    <n v="0.04"/>
    <n v="75.77"/>
    <n v="16745.169999999998"/>
    <x v="0"/>
    <s v="OK"/>
    <x v="112"/>
  </r>
  <r>
    <n v="237"/>
    <n v="114"/>
    <s v="Salt Lake City"/>
    <n v="265"/>
    <d v="2026-04-21T00:00:00"/>
    <d v="2026-01-23T00:00:00"/>
    <n v="119"/>
    <s v="90+"/>
    <n v="25"/>
    <s v="Overstock"/>
    <n v="518"/>
    <n v="391.5"/>
    <n v="0.06"/>
    <n v="179.41"/>
    <n v="47543.65"/>
    <x v="0"/>
    <s v="OK"/>
    <x v="113"/>
  </r>
  <r>
    <n v="238"/>
    <n v="115"/>
    <s v="West Valley"/>
    <n v="478"/>
    <d v="2026-04-09T00:00:00"/>
    <d v="2026-01-05T00:00:00"/>
    <n v="137"/>
    <s v="90+"/>
    <n v="22"/>
    <s v="Overstock"/>
    <n v="922"/>
    <n v="700"/>
    <n v="0.03"/>
    <n v="58.66"/>
    <n v="28039.48"/>
    <x v="0"/>
    <s v="OK"/>
    <x v="114"/>
  </r>
  <r>
    <n v="239"/>
    <n v="116"/>
    <s v="Lehi"/>
    <n v="100"/>
    <d v="2026-03-27T00:00:00"/>
    <d v="2026-05-11T00:00:00"/>
    <n v="11"/>
    <s v="0-30"/>
    <n v="14"/>
    <s v="Overstock"/>
    <n v="500"/>
    <n v="300"/>
    <n v="0.05"/>
    <n v="171.4"/>
    <n v="17140"/>
    <x v="0"/>
    <s v="OK"/>
    <x v="115"/>
  </r>
  <r>
    <n v="240"/>
    <n v="116"/>
    <s v="Salt Lake City"/>
    <n v="140"/>
    <d v="2026-04-12T00:00:00"/>
    <d v="2026-05-11T00:00:00"/>
    <n v="11"/>
    <s v="0-30"/>
    <n v="14"/>
    <s v="Overstock"/>
    <n v="500"/>
    <n v="320"/>
    <n v="0.04"/>
    <n v="171.4"/>
    <n v="23996"/>
    <x v="0"/>
    <s v="OK"/>
    <x v="115"/>
  </r>
  <r>
    <n v="241"/>
    <n v="116"/>
    <s v="Draper"/>
    <n v="314"/>
    <d v="2026-03-30T00:00:00"/>
    <d v="2026-05-11T00:00:00"/>
    <n v="11"/>
    <s v="0-30"/>
    <n v="14"/>
    <s v="Overstock"/>
    <n v="500"/>
    <n v="407"/>
    <n v="0.03"/>
    <n v="171.4"/>
    <n v="53819.6"/>
    <x v="0"/>
    <s v="OK"/>
    <x v="115"/>
  </r>
  <r>
    <n v="242"/>
    <n v="117"/>
    <s v="Draper"/>
    <n v="337"/>
    <d v="2026-03-05T00:00:00"/>
    <d v="2026-04-07T00:00:00"/>
    <n v="45"/>
    <s v="31-60"/>
    <n v="55"/>
    <s v="Overstock"/>
    <n v="285"/>
    <n v="311"/>
    <n v="0.18"/>
    <n v="131.80000000000001"/>
    <n v="44416.600000000006"/>
    <x v="0"/>
    <s v="OK"/>
    <x v="116"/>
  </r>
  <r>
    <n v="243"/>
    <n v="117"/>
    <s v="Unknown"/>
    <n v="309"/>
    <d v="2026-03-03T00:00:00"/>
    <d v="2026-04-07T00:00:00"/>
    <n v="45"/>
    <s v="31-60"/>
    <n v="55"/>
    <s v="Overstock"/>
    <n v="285"/>
    <n v="297"/>
    <n v="0.19"/>
    <n v="131.80000000000001"/>
    <n v="40726.200000000004"/>
    <x v="0"/>
    <s v="OK"/>
    <x v="116"/>
  </r>
  <r>
    <n v="244"/>
    <n v="117"/>
    <s v="Salt Lake City"/>
    <n v="288"/>
    <d v="2026-03-07T00:00:00"/>
    <d v="2026-04-07T00:00:00"/>
    <n v="45"/>
    <s v="31-60"/>
    <n v="55"/>
    <s v="Overstock"/>
    <n v="285"/>
    <n v="286.5"/>
    <n v="0.19"/>
    <n v="131.80000000000001"/>
    <n v="37958.400000000001"/>
    <x v="0"/>
    <s v="OK"/>
    <x v="116"/>
  </r>
  <r>
    <n v="245"/>
    <n v="118"/>
    <s v="Salt Lake City"/>
    <n v="23"/>
    <d v="2026-03-13T00:00:00"/>
    <d v="2025-12-19T00:00:00"/>
    <n v="154"/>
    <s v="90+"/>
    <n v="30"/>
    <s v="OK"/>
    <n v="146"/>
    <n v="84.5"/>
    <n v="0.36"/>
    <n v="44.81"/>
    <n v="1030.6300000000001"/>
    <x v="0"/>
    <s v="OK"/>
    <x v="117"/>
  </r>
  <r>
    <n v="246"/>
    <n v="119"/>
    <s v="Lehi"/>
    <n v="292"/>
    <d v="2026-03-22T00:00:00"/>
    <d v="2026-02-20T00:00:00"/>
    <n v="91"/>
    <s v="90+"/>
    <n v="51"/>
    <s v="Overstock"/>
    <n v="752"/>
    <n v="522"/>
    <n v="0.1"/>
    <n v="27.15"/>
    <n v="7927.7999999999993"/>
    <x v="0"/>
    <s v="OK"/>
    <x v="118"/>
  </r>
  <r>
    <n v="247"/>
    <n v="119"/>
    <s v="Draper"/>
    <n v="15"/>
    <d v="2026-03-22T00:00:00"/>
    <d v="2026-02-20T00:00:00"/>
    <n v="91"/>
    <s v="90+"/>
    <n v="51"/>
    <s v="OK"/>
    <n v="752"/>
    <n v="383.5"/>
    <n v="0.13"/>
    <n v="27.15"/>
    <n v="407.25"/>
    <x v="0"/>
    <s v="OK"/>
    <x v="118"/>
  </r>
  <r>
    <n v="248"/>
    <n v="119"/>
    <s v="South Jordan"/>
    <n v="279"/>
    <d v="2026-04-12T00:00:00"/>
    <d v="2026-02-20T00:00:00"/>
    <n v="91"/>
    <s v="90+"/>
    <n v="51"/>
    <s v="Overstock"/>
    <n v="752"/>
    <n v="515.5"/>
    <n v="0.1"/>
    <n v="27.15"/>
    <n v="7574.8499999999995"/>
    <x v="0"/>
    <s v="OK"/>
    <x v="118"/>
  </r>
  <r>
    <n v="249"/>
    <n v="120"/>
    <s v="Draper"/>
    <n v="152"/>
    <d v="2026-03-18T00:00:00"/>
    <d v="2026-03-13T00:00:00"/>
    <n v="70"/>
    <s v="61-90"/>
    <n v="30"/>
    <s v="Overstock"/>
    <n v="-22"/>
    <n v="65"/>
    <n v="0.46"/>
    <n v="116.63"/>
    <n v="17727.759999999998"/>
    <x v="0"/>
    <s v="OK"/>
    <x v="119"/>
  </r>
  <r>
    <n v="250"/>
    <n v="120"/>
    <s v="South Jordan"/>
    <n v="30"/>
    <d v="2026-04-05T00:00:00"/>
    <d v="2026-03-13T00:00:00"/>
    <n v="70"/>
    <s v="61-90"/>
    <n v="30"/>
    <s v="OK"/>
    <n v="-22"/>
    <n v="4"/>
    <n v="7.5"/>
    <n v="116.63"/>
    <n v="3498.8999999999996"/>
    <x v="0"/>
    <s v="OK"/>
    <x v="119"/>
  </r>
  <r>
    <n v="251"/>
    <n v="121"/>
    <s v="South Jordan"/>
    <n v="174"/>
    <d v="2026-04-11T00:00:00"/>
    <d v="2026-05-23T00:00:00"/>
    <n v="-1"/>
    <s v="0-30"/>
    <n v="25"/>
    <s v="Overstock"/>
    <n v="909"/>
    <n v="541.5"/>
    <n v="0.05"/>
    <n v="54.76"/>
    <n v="9528.24"/>
    <x v="0"/>
    <s v="OK"/>
    <x v="120"/>
  </r>
  <r>
    <n v="252"/>
    <n v="121"/>
    <s v="Draper"/>
    <n v="441"/>
    <d v="2026-03-16T00:00:00"/>
    <d v="2026-05-23T00:00:00"/>
    <n v="-1"/>
    <s v="0-30"/>
    <n v="25"/>
    <s v="Overstock"/>
    <n v="909"/>
    <n v="675"/>
    <n v="0.04"/>
    <n v="54.76"/>
    <n v="24149.16"/>
    <x v="0"/>
    <s v="OK"/>
    <x v="120"/>
  </r>
  <r>
    <n v="253"/>
    <n v="122"/>
    <s v="South Jordan"/>
    <n v="389"/>
    <d v="2026-03-27T00:00:00"/>
    <s v="NULL"/>
    <e v="#VALUE!"/>
    <e v="#VALUE!"/>
    <n v="47"/>
    <s v="Overstock"/>
    <n v="0"/>
    <n v="194.5"/>
    <n v="0.24"/>
    <n v="169.69"/>
    <n v="66009.41"/>
    <x v="0"/>
    <s v=""/>
    <x v="121"/>
  </r>
  <r>
    <n v="254"/>
    <n v="122"/>
    <s v="Draper"/>
    <n v="54"/>
    <d v="2026-04-02T00:00:00"/>
    <s v="NULL"/>
    <e v="#VALUE!"/>
    <e v="#VALUE!"/>
    <n v="47"/>
    <s v="OK"/>
    <n v="0"/>
    <n v="27"/>
    <n v="1.74"/>
    <n v="169.69"/>
    <n v="9163.26"/>
    <x v="0"/>
    <s v=""/>
    <x v="121"/>
  </r>
  <r>
    <n v="255"/>
    <n v="123"/>
    <s v="Lehi"/>
    <n v="230"/>
    <d v="2026-04-25T00:00:00"/>
    <d v="2026-02-20T00:00:00"/>
    <n v="91"/>
    <s v="90+"/>
    <n v="41"/>
    <s v="Overstock"/>
    <n v="315"/>
    <n v="272.5"/>
    <n v="0.15"/>
    <n v="105.98"/>
    <n v="24375.4"/>
    <x v="0"/>
    <s v="OK"/>
    <x v="122"/>
  </r>
  <r>
    <n v="256"/>
    <n v="124"/>
    <s v="Lehi"/>
    <n v="484"/>
    <d v="2026-03-23T00:00:00"/>
    <s v="NULL"/>
    <e v="#VALUE!"/>
    <e v="#VALUE!"/>
    <n v="38"/>
    <s v="Overstock"/>
    <n v="0"/>
    <n v="242"/>
    <n v="0.16"/>
    <n v="178.94"/>
    <n v="86606.959999999992"/>
    <x v="0"/>
    <s v=""/>
    <x v="123"/>
  </r>
  <r>
    <n v="257"/>
    <n v="125"/>
    <s v="Draper"/>
    <n v="416"/>
    <d v="2026-03-26T00:00:00"/>
    <d v="2026-01-10T00:00:00"/>
    <n v="132"/>
    <s v="90+"/>
    <n v="50"/>
    <s v="Overstock"/>
    <n v="497"/>
    <n v="456.5"/>
    <n v="0.11"/>
    <n v="71.569999999999993"/>
    <n v="29773.119999999995"/>
    <x v="0"/>
    <s v="OK"/>
    <x v="124"/>
  </r>
  <r>
    <n v="258"/>
    <n v="125"/>
    <s v="Draper"/>
    <n v="369"/>
    <d v="2026-03-14T00:00:00"/>
    <d v="2026-01-10T00:00:00"/>
    <n v="132"/>
    <s v="90+"/>
    <n v="50"/>
    <s v="Overstock"/>
    <n v="497"/>
    <n v="433"/>
    <n v="0.12"/>
    <n v="71.569999999999993"/>
    <n v="26409.329999999998"/>
    <x v="0"/>
    <s v="OK"/>
    <x v="124"/>
  </r>
  <r>
    <n v="259"/>
    <n v="126"/>
    <s v="South Jordan"/>
    <n v="263"/>
    <d v="2026-03-06T00:00:00"/>
    <s v="NULL"/>
    <e v="#VALUE!"/>
    <e v="#VALUE!"/>
    <n v="49"/>
    <s v="Overstock"/>
    <n v="0"/>
    <n v="131.5"/>
    <n v="0.37"/>
    <n v="104.51"/>
    <n v="27486.13"/>
    <x v="0"/>
    <s v=""/>
    <x v="125"/>
  </r>
  <r>
    <n v="260"/>
    <n v="127"/>
    <s v="South Jordan"/>
    <n v="46"/>
    <d v="2026-03-30T00:00:00"/>
    <d v="2026-03-03T00:00:00"/>
    <n v="80"/>
    <s v="61-90"/>
    <n v="54"/>
    <s v="OK"/>
    <n v="76"/>
    <n v="61"/>
    <n v="0.89"/>
    <n v="51.31"/>
    <n v="2360.2600000000002"/>
    <x v="0"/>
    <s v="OK"/>
    <x v="126"/>
  </r>
  <r>
    <n v="261"/>
    <n v="127"/>
    <s v="Salt Lake City"/>
    <n v="234"/>
    <d v="2026-04-18T00:00:00"/>
    <d v="2026-03-03T00:00:00"/>
    <n v="80"/>
    <s v="61-90"/>
    <n v="54"/>
    <s v="Overstock"/>
    <n v="76"/>
    <n v="155"/>
    <n v="0.35"/>
    <n v="51.31"/>
    <n v="12006.54"/>
    <x v="0"/>
    <s v="OK"/>
    <x v="126"/>
  </r>
  <r>
    <n v="262"/>
    <n v="128"/>
    <s v="West Valley"/>
    <n v="144"/>
    <d v="2026-03-06T00:00:00"/>
    <e v="#N/A"/>
    <e v="#N/A"/>
    <e v="#N/A"/>
    <n v="65"/>
    <s v="OK"/>
    <n v="0"/>
    <n v="72"/>
    <n v="0.9"/>
    <n v="5.47"/>
    <n v="787.68"/>
    <x v="0"/>
    <s v=""/>
    <x v="127"/>
  </r>
  <r>
    <n v="263"/>
    <n v="128"/>
    <s v="Salt Lake City"/>
    <n v="431"/>
    <d v="2026-04-01T00:00:00"/>
    <e v="#N/A"/>
    <e v="#N/A"/>
    <e v="#N/A"/>
    <n v="65"/>
    <s v="Overstock"/>
    <n v="0"/>
    <n v="215.5"/>
    <n v="0.3"/>
    <n v="5.47"/>
    <n v="2357.5699999999997"/>
    <x v="0"/>
    <s v=""/>
    <x v="127"/>
  </r>
  <r>
    <n v="264"/>
    <n v="128"/>
    <s v="South Jordan"/>
    <n v="146"/>
    <d v="2026-03-08T00:00:00"/>
    <e v="#N/A"/>
    <e v="#N/A"/>
    <e v="#N/A"/>
    <n v="65"/>
    <s v="OK"/>
    <n v="0"/>
    <n v="73"/>
    <n v="0.89"/>
    <n v="5.47"/>
    <n v="798.62"/>
    <x v="0"/>
    <s v=""/>
    <x v="127"/>
  </r>
  <r>
    <n v="265"/>
    <n v="129"/>
    <s v="South Jordan"/>
    <n v="68"/>
    <d v="2026-03-16T00:00:00"/>
    <d v="2026-01-30T00:00:00"/>
    <n v="112"/>
    <s v="90+"/>
    <n v="23"/>
    <s v="OK"/>
    <n v="790"/>
    <n v="429"/>
    <n v="0.05"/>
    <n v="55.42"/>
    <n v="3768.56"/>
    <x v="0"/>
    <s v="OK"/>
    <x v="128"/>
  </r>
  <r>
    <n v="266"/>
    <n v="130"/>
    <s v="South Jordan"/>
    <n v="23"/>
    <d v="2026-03-26T00:00:00"/>
    <d v="2026-02-09T00:00:00"/>
    <n v="102"/>
    <s v="90+"/>
    <n v="34"/>
    <s v="OK"/>
    <n v="958"/>
    <n v="490.5"/>
    <n v="7.0000000000000007E-2"/>
    <n v="142.87"/>
    <n v="3286.01"/>
    <x v="0"/>
    <s v="OK"/>
    <x v="129"/>
  </r>
  <r>
    <n v="267"/>
    <n v="130"/>
    <s v="West Valley"/>
    <n v="287"/>
    <d v="2026-03-27T00:00:00"/>
    <d v="2026-02-09T00:00:00"/>
    <n v="102"/>
    <s v="90+"/>
    <n v="34"/>
    <s v="Overstock"/>
    <n v="958"/>
    <n v="622.5"/>
    <n v="0.05"/>
    <n v="142.87"/>
    <n v="41003.69"/>
    <x v="0"/>
    <s v="OK"/>
    <x v="129"/>
  </r>
  <r>
    <n v="268"/>
    <n v="131"/>
    <s v="Salt Lake City"/>
    <n v="258"/>
    <d v="2026-03-27T00:00:00"/>
    <d v="2026-04-25T00:00:00"/>
    <n v="27"/>
    <s v="0-30"/>
    <n v="36"/>
    <s v="Overstock"/>
    <n v="123"/>
    <n v="190.5"/>
    <n v="0.19"/>
    <n v="44.34"/>
    <n v="11439.720000000001"/>
    <x v="0"/>
    <s v="OK"/>
    <x v="130"/>
  </r>
  <r>
    <n v="269"/>
    <n v="131"/>
    <s v="South Jordan"/>
    <n v="143"/>
    <d v="2026-03-23T00:00:00"/>
    <d v="2026-04-25T00:00:00"/>
    <n v="27"/>
    <s v="0-30"/>
    <n v="36"/>
    <s v="Overstock"/>
    <n v="123"/>
    <n v="133"/>
    <n v="0.27"/>
    <n v="44.34"/>
    <n v="6340.6200000000008"/>
    <x v="0"/>
    <s v="OK"/>
    <x v="130"/>
  </r>
  <r>
    <n v="270"/>
    <n v="132"/>
    <s v="Salt Lake City"/>
    <n v="201"/>
    <d v="2026-04-10T00:00:00"/>
    <d v="2026-03-11T00:00:00"/>
    <n v="72"/>
    <s v="61-90"/>
    <n v="18"/>
    <s v="Overstock"/>
    <n v="486"/>
    <n v="343.5"/>
    <n v="0.05"/>
    <n v="15.44"/>
    <n v="3103.44"/>
    <x v="0"/>
    <s v="OK"/>
    <x v="131"/>
  </r>
  <r>
    <n v="271"/>
    <n v="132"/>
    <s v="Draper"/>
    <n v="285"/>
    <d v="2026-03-14T00:00:00"/>
    <d v="2026-03-11T00:00:00"/>
    <n v="72"/>
    <s v="61-90"/>
    <n v="18"/>
    <s v="Overstock"/>
    <n v="486"/>
    <n v="385.5"/>
    <n v="0.05"/>
    <n v="15.44"/>
    <n v="4400.3999999999996"/>
    <x v="0"/>
    <s v="OK"/>
    <x v="131"/>
  </r>
  <r>
    <n v="272"/>
    <n v="132"/>
    <s v="Salt Lake City"/>
    <n v="73"/>
    <d v="2026-03-30T00:00:00"/>
    <d v="2026-03-11T00:00:00"/>
    <n v="72"/>
    <s v="61-90"/>
    <n v="18"/>
    <s v="Overstock"/>
    <n v="486"/>
    <n v="279.5"/>
    <n v="0.06"/>
    <n v="15.44"/>
    <n v="1127.1199999999999"/>
    <x v="0"/>
    <s v="OK"/>
    <x v="131"/>
  </r>
  <r>
    <n v="273"/>
    <n v="133"/>
    <s v="Unknown"/>
    <n v="23"/>
    <d v="2026-03-17T00:00:00"/>
    <d v="2026-02-26T00:00:00"/>
    <n v="85"/>
    <s v="61-90"/>
    <n v="28"/>
    <s v="OK"/>
    <n v="669"/>
    <n v="346"/>
    <n v="0.08"/>
    <n v="125.52"/>
    <n v="2886.96"/>
    <x v="0"/>
    <s v="OK"/>
    <x v="132"/>
  </r>
  <r>
    <n v="274"/>
    <n v="133"/>
    <s v="Salt Lake City"/>
    <n v="170"/>
    <d v="2026-03-29T00:00:00"/>
    <d v="2026-02-26T00:00:00"/>
    <n v="85"/>
    <s v="61-90"/>
    <n v="28"/>
    <s v="Overstock"/>
    <n v="669"/>
    <n v="419.5"/>
    <n v="7.0000000000000007E-2"/>
    <n v="125.52"/>
    <n v="21338.399999999998"/>
    <x v="0"/>
    <s v="OK"/>
    <x v="132"/>
  </r>
  <r>
    <n v="275"/>
    <n v="134"/>
    <s v="Draper"/>
    <n v="167"/>
    <d v="2026-04-11T00:00:00"/>
    <d v="2026-02-25T00:00:00"/>
    <n v="86"/>
    <s v="61-90"/>
    <n v="68"/>
    <s v="OK"/>
    <n v="456"/>
    <n v="311.5"/>
    <n v="0.22"/>
    <n v="19.079999999999998"/>
    <n v="3186.3599999999997"/>
    <x v="0"/>
    <s v="OK"/>
    <x v="133"/>
  </r>
  <r>
    <n v="276"/>
    <n v="134"/>
    <s v="Unknown"/>
    <n v="83"/>
    <d v="2026-03-23T00:00:00"/>
    <d v="2026-02-25T00:00:00"/>
    <n v="86"/>
    <s v="61-90"/>
    <n v="68"/>
    <s v="OK"/>
    <n v="456"/>
    <n v="269.5"/>
    <n v="0.25"/>
    <n v="19.079999999999998"/>
    <n v="1583.6399999999999"/>
    <x v="0"/>
    <s v="OK"/>
    <x v="133"/>
  </r>
  <r>
    <n v="277"/>
    <n v="135"/>
    <s v="Lehi"/>
    <n v="424"/>
    <d v="2026-03-31T00:00:00"/>
    <d v="2026-04-29T00:00:00"/>
    <n v="23"/>
    <s v="0-30"/>
    <n v="33"/>
    <s v="Overstock"/>
    <n v="13"/>
    <n v="218.5"/>
    <n v="0.15"/>
    <n v="48.81"/>
    <n v="20695.440000000002"/>
    <x v="0"/>
    <s v="OK"/>
    <x v="134"/>
  </r>
  <r>
    <n v="278"/>
    <n v="135"/>
    <s v="West Valley"/>
    <n v="362"/>
    <d v="2026-04-01T00:00:00"/>
    <d v="2026-04-29T00:00:00"/>
    <n v="23"/>
    <s v="0-30"/>
    <n v="33"/>
    <s v="Overstock"/>
    <n v="13"/>
    <n v="187.5"/>
    <n v="0.18"/>
    <n v="48.81"/>
    <n v="17669.22"/>
    <x v="0"/>
    <s v="OK"/>
    <x v="134"/>
  </r>
  <r>
    <n v="279"/>
    <n v="135"/>
    <s v="Unknown"/>
    <n v="0"/>
    <d v="2026-03-19T00:00:00"/>
    <d v="2026-04-29T00:00:00"/>
    <n v="23"/>
    <s v="0-30"/>
    <n v="33"/>
    <s v="OK"/>
    <n v="13"/>
    <n v="6.5"/>
    <n v="5.08"/>
    <n v="48.81"/>
    <n v="0"/>
    <x v="0"/>
    <s v="OK"/>
    <x v="134"/>
  </r>
  <r>
    <n v="280"/>
    <n v="136"/>
    <s v="South Jordan"/>
    <n v="298"/>
    <d v="2026-03-05T00:00:00"/>
    <d v="2026-03-15T00:00:00"/>
    <n v="68"/>
    <s v="61-90"/>
    <n v="27"/>
    <s v="Overstock"/>
    <n v="497"/>
    <n v="397.5"/>
    <n v="7.0000000000000007E-2"/>
    <n v="12.04"/>
    <n v="3587.9199999999996"/>
    <x v="0"/>
    <s v="OK"/>
    <x v="135"/>
  </r>
  <r>
    <n v="281"/>
    <n v="137"/>
    <s v="Salt Lake City"/>
    <n v="495"/>
    <d v="2026-03-13T00:00:00"/>
    <d v="2026-04-16T00:00:00"/>
    <n v="36"/>
    <s v="31-60"/>
    <n v="36"/>
    <s v="Overstock"/>
    <n v="76"/>
    <n v="285.5"/>
    <n v="0.13"/>
    <n v="36.76"/>
    <n v="18196.2"/>
    <x v="0"/>
    <s v="OK"/>
    <x v="136"/>
  </r>
  <r>
    <n v="282"/>
    <n v="137"/>
    <s v="South Jordan"/>
    <n v="296"/>
    <d v="2026-03-16T00:00:00"/>
    <d v="2026-04-16T00:00:00"/>
    <n v="36"/>
    <s v="31-60"/>
    <n v="36"/>
    <s v="Overstock"/>
    <n v="76"/>
    <n v="186"/>
    <n v="0.19"/>
    <n v="36.76"/>
    <n v="10880.96"/>
    <x v="0"/>
    <s v="OK"/>
    <x v="136"/>
  </r>
  <r>
    <n v="283"/>
    <n v="137"/>
    <s v="Draper"/>
    <n v="26"/>
    <d v="2026-04-21T00:00:00"/>
    <d v="2026-04-16T00:00:00"/>
    <n v="36"/>
    <s v="31-60"/>
    <n v="36"/>
    <s v="OK"/>
    <n v="76"/>
    <n v="51"/>
    <n v="0.71"/>
    <n v="36.76"/>
    <n v="955.76"/>
    <x v="0"/>
    <s v="OK"/>
    <x v="136"/>
  </r>
  <r>
    <n v="284"/>
    <n v="138"/>
    <s v="South Jordan"/>
    <n v="348"/>
    <d v="2026-03-26T00:00:00"/>
    <d v="2026-01-08T00:00:00"/>
    <n v="134"/>
    <s v="90+"/>
    <n v="32"/>
    <s v="Overstock"/>
    <n v="216"/>
    <n v="282"/>
    <n v="0.11"/>
    <n v="76.459999999999994"/>
    <n v="26608.079999999998"/>
    <x v="0"/>
    <s v="OK"/>
    <x v="137"/>
  </r>
  <r>
    <n v="285"/>
    <n v="138"/>
    <s v="Draper"/>
    <n v="485"/>
    <d v="2026-04-19T00:00:00"/>
    <d v="2026-01-08T00:00:00"/>
    <n v="134"/>
    <s v="90+"/>
    <n v="32"/>
    <s v="Overstock"/>
    <n v="216"/>
    <n v="350.5"/>
    <n v="0.09"/>
    <n v="76.459999999999994"/>
    <n v="37083.1"/>
    <x v="0"/>
    <s v="OK"/>
    <x v="137"/>
  </r>
  <r>
    <n v="286"/>
    <n v="138"/>
    <s v="Unknown"/>
    <n v="9"/>
    <d v="2026-04-05T00:00:00"/>
    <d v="2026-01-08T00:00:00"/>
    <n v="134"/>
    <s v="90+"/>
    <n v="32"/>
    <s v="OK"/>
    <n v="216"/>
    <n v="112.5"/>
    <n v="0.28000000000000003"/>
    <n v="76.459999999999994"/>
    <n v="688.14"/>
    <x v="0"/>
    <s v="OK"/>
    <x v="137"/>
  </r>
  <r>
    <n v="287"/>
    <n v="139"/>
    <s v="South Jordan"/>
    <n v="353"/>
    <d v="2026-03-30T00:00:00"/>
    <d v="2026-03-17T00:00:00"/>
    <n v="66"/>
    <s v="61-90"/>
    <n v="17"/>
    <s v="Overstock"/>
    <n v="958"/>
    <n v="655.5"/>
    <n v="0.03"/>
    <n v="77.040000000000006"/>
    <n v="27195.120000000003"/>
    <x v="0"/>
    <s v="OK"/>
    <x v="138"/>
  </r>
  <r>
    <n v="288"/>
    <n v="140"/>
    <s v="South Jordan"/>
    <n v="70"/>
    <d v="2026-03-27T00:00:00"/>
    <d v="2026-02-25T00:00:00"/>
    <n v="86"/>
    <s v="61-90"/>
    <n v="36"/>
    <s v="OK"/>
    <n v="776"/>
    <n v="423"/>
    <n v="0.09"/>
    <n v="20.41"/>
    <n v="1428.7"/>
    <x v="0"/>
    <s v="OK"/>
    <x v="139"/>
  </r>
  <r>
    <n v="289"/>
    <n v="140"/>
    <s v="Salt Lake City"/>
    <n v="166"/>
    <d v="2026-04-01T00:00:00"/>
    <d v="2026-02-25T00:00:00"/>
    <n v="86"/>
    <s v="61-90"/>
    <n v="36"/>
    <s v="Overstock"/>
    <n v="776"/>
    <n v="471"/>
    <n v="0.08"/>
    <n v="20.41"/>
    <n v="3388.06"/>
    <x v="0"/>
    <s v="OK"/>
    <x v="139"/>
  </r>
  <r>
    <n v="290"/>
    <n v="140"/>
    <s v="West Valley"/>
    <n v="269"/>
    <d v="2026-04-20T00:00:00"/>
    <d v="2026-02-25T00:00:00"/>
    <n v="86"/>
    <s v="61-90"/>
    <n v="36"/>
    <s v="Overstock"/>
    <n v="776"/>
    <n v="522.5"/>
    <n v="7.0000000000000007E-2"/>
    <n v="20.41"/>
    <n v="5490.29"/>
    <x v="0"/>
    <s v="OK"/>
    <x v="139"/>
  </r>
  <r>
    <n v="291"/>
    <n v="141"/>
    <s v="Unknown"/>
    <n v="279"/>
    <d v="2026-03-13T00:00:00"/>
    <d v="2026-04-22T00:00:00"/>
    <n v="30"/>
    <s v="0-30"/>
    <n v="55"/>
    <s v="Overstock"/>
    <n v="893"/>
    <n v="586"/>
    <n v="0.09"/>
    <n v="149.36000000000001"/>
    <n v="41671.440000000002"/>
    <x v="0"/>
    <s v="OK"/>
    <x v="140"/>
  </r>
  <r>
    <n v="292"/>
    <n v="141"/>
    <s v="West Valley"/>
    <n v="444"/>
    <d v="2026-03-21T00:00:00"/>
    <d v="2026-04-22T00:00:00"/>
    <n v="30"/>
    <s v="0-30"/>
    <n v="55"/>
    <s v="Overstock"/>
    <n v="893"/>
    <n v="668.5"/>
    <n v="0.08"/>
    <n v="149.36000000000001"/>
    <n v="66315.840000000011"/>
    <x v="0"/>
    <s v="OK"/>
    <x v="140"/>
  </r>
  <r>
    <n v="293"/>
    <n v="142"/>
    <s v="Lehi"/>
    <n v="490"/>
    <d v="2026-03-27T00:00:00"/>
    <d v="2026-05-26T00:00:00"/>
    <n v="-4"/>
    <s v="0-30"/>
    <n v="27"/>
    <s v="Overstock"/>
    <n v="567"/>
    <n v="528.5"/>
    <n v="0.05"/>
    <n v="95.73"/>
    <n v="46907.700000000004"/>
    <x v="0"/>
    <s v="OK"/>
    <x v="141"/>
  </r>
  <r>
    <n v="294"/>
    <n v="142"/>
    <s v="South Jordan"/>
    <n v="152"/>
    <d v="2026-04-12T00:00:00"/>
    <d v="2026-05-26T00:00:00"/>
    <n v="-4"/>
    <s v="0-30"/>
    <n v="27"/>
    <s v="Overstock"/>
    <n v="567"/>
    <n v="359.5"/>
    <n v="0.08"/>
    <n v="95.73"/>
    <n v="14550.960000000001"/>
    <x v="0"/>
    <s v="OK"/>
    <x v="141"/>
  </r>
  <r>
    <n v="295"/>
    <n v="142"/>
    <s v="Salt Lake City"/>
    <n v="394"/>
    <d v="2026-04-18T00:00:00"/>
    <d v="2026-05-26T00:00:00"/>
    <n v="-4"/>
    <s v="0-30"/>
    <n v="27"/>
    <s v="Overstock"/>
    <n v="567"/>
    <n v="480.5"/>
    <n v="0.06"/>
    <n v="95.73"/>
    <n v="37717.620000000003"/>
    <x v="0"/>
    <s v="OK"/>
    <x v="141"/>
  </r>
  <r>
    <n v="296"/>
    <n v="143"/>
    <s v="South Jordan"/>
    <n v="178"/>
    <d v="2026-03-03T00:00:00"/>
    <d v="2026-05-10T00:00:00"/>
    <n v="12"/>
    <s v="0-30"/>
    <n v="22"/>
    <s v="Overstock"/>
    <n v="787"/>
    <n v="482.5"/>
    <n v="0.05"/>
    <n v="40.619999999999997"/>
    <n v="7230.36"/>
    <x v="0"/>
    <s v="OK"/>
    <x v="142"/>
  </r>
  <r>
    <n v="297"/>
    <n v="143"/>
    <s v="West Valley"/>
    <n v="407"/>
    <d v="2026-04-13T00:00:00"/>
    <d v="2026-05-10T00:00:00"/>
    <n v="12"/>
    <s v="0-30"/>
    <n v="22"/>
    <s v="Overstock"/>
    <n v="787"/>
    <n v="597"/>
    <n v="0.04"/>
    <n v="40.619999999999997"/>
    <n v="16532.34"/>
    <x v="0"/>
    <s v="OK"/>
    <x v="142"/>
  </r>
  <r>
    <n v="298"/>
    <n v="143"/>
    <s v="Draper"/>
    <n v="62"/>
    <d v="2026-03-28T00:00:00"/>
    <d v="2026-05-10T00:00:00"/>
    <n v="12"/>
    <s v="0-30"/>
    <n v="22"/>
    <s v="OK"/>
    <n v="787"/>
    <n v="424.5"/>
    <n v="0.05"/>
    <n v="40.619999999999997"/>
    <n v="2518.44"/>
    <x v="0"/>
    <s v="OK"/>
    <x v="142"/>
  </r>
  <r>
    <n v="299"/>
    <n v="144"/>
    <s v="South Jordan"/>
    <n v="488"/>
    <d v="2026-04-22T00:00:00"/>
    <d v="2026-03-09T00:00:00"/>
    <n v="74"/>
    <s v="61-90"/>
    <n v="32"/>
    <s v="Overstock"/>
    <n v="-3"/>
    <n v="242.5"/>
    <n v="0.13"/>
    <n v="10.050000000000001"/>
    <n v="4904.4000000000005"/>
    <x v="0"/>
    <s v="OK"/>
    <x v="143"/>
  </r>
  <r>
    <n v="300"/>
    <n v="144"/>
    <s v="West Valley"/>
    <n v="148"/>
    <d v="2026-03-17T00:00:00"/>
    <d v="2026-03-09T00:00:00"/>
    <n v="74"/>
    <s v="61-90"/>
    <n v="32"/>
    <s v="Overstock"/>
    <n v="-3"/>
    <n v="72.5"/>
    <n v="0.44"/>
    <n v="10.050000000000001"/>
    <n v="1487.4"/>
    <x v="0"/>
    <s v="OK"/>
    <x v="143"/>
  </r>
  <r>
    <n v="301"/>
    <n v="145"/>
    <s v="West Valley"/>
    <n v="473"/>
    <d v="2026-04-15T00:00:00"/>
    <s v="NULL"/>
    <e v="#VALUE!"/>
    <e v="#VALUE!"/>
    <n v="24"/>
    <s v="Overstock"/>
    <n v="0"/>
    <n v="236.5"/>
    <n v="0.1"/>
    <n v="101.4"/>
    <n v="47962.200000000004"/>
    <x v="0"/>
    <s v=""/>
    <x v="144"/>
  </r>
  <r>
    <n v="302"/>
    <n v="146"/>
    <s v="South Jordan"/>
    <n v="423"/>
    <d v="2026-03-03T00:00:00"/>
    <d v="2026-01-07T00:00:00"/>
    <n v="135"/>
    <s v="90+"/>
    <n v="18"/>
    <s v="Overstock"/>
    <n v="741"/>
    <n v="582"/>
    <n v="0.03"/>
    <n v="170.74"/>
    <n v="72223.02"/>
    <x v="0"/>
    <s v="OK"/>
    <x v="145"/>
  </r>
  <r>
    <n v="303"/>
    <n v="146"/>
    <s v="Draper"/>
    <n v="287"/>
    <d v="2026-04-23T00:00:00"/>
    <d v="2026-01-07T00:00:00"/>
    <n v="135"/>
    <s v="90+"/>
    <n v="18"/>
    <s v="Overstock"/>
    <n v="741"/>
    <n v="514"/>
    <n v="0.04"/>
    <n v="170.74"/>
    <n v="49002.380000000005"/>
    <x v="0"/>
    <s v="OK"/>
    <x v="145"/>
  </r>
  <r>
    <n v="304"/>
    <n v="146"/>
    <s v="Salt Lake City"/>
    <n v="55"/>
    <d v="2026-03-25T00:00:00"/>
    <d v="2026-01-07T00:00:00"/>
    <n v="135"/>
    <s v="90+"/>
    <n v="18"/>
    <s v="Overstock"/>
    <n v="741"/>
    <n v="398"/>
    <n v="0.05"/>
    <n v="170.74"/>
    <n v="9390.7000000000007"/>
    <x v="0"/>
    <s v="OK"/>
    <x v="145"/>
  </r>
  <r>
    <n v="305"/>
    <n v="147"/>
    <s v="Draper"/>
    <n v="25"/>
    <d v="2026-03-29T00:00:00"/>
    <d v="2026-02-04T00:00:00"/>
    <n v="107"/>
    <s v="90+"/>
    <n v="33"/>
    <s v="OK"/>
    <n v="82"/>
    <n v="53.5"/>
    <n v="0.62"/>
    <n v="128.44999999999999"/>
    <n v="3211.2499999999995"/>
    <x v="0"/>
    <s v="OK"/>
    <x v="146"/>
  </r>
  <r>
    <n v="306"/>
    <n v="148"/>
    <s v="Draper"/>
    <n v="26"/>
    <d v="2026-04-10T00:00:00"/>
    <d v="2026-04-26T00:00:00"/>
    <n v="26"/>
    <s v="0-30"/>
    <n v="47"/>
    <s v="OK"/>
    <n v="248"/>
    <n v="137"/>
    <n v="0.34"/>
    <n v="101.47"/>
    <n v="2638.22"/>
    <x v="0"/>
    <s v="OK"/>
    <x v="147"/>
  </r>
  <r>
    <n v="307"/>
    <n v="149"/>
    <s v="South Jordan"/>
    <n v="394"/>
    <d v="2026-03-27T00:00:00"/>
    <d v="2026-05-20T00:00:00"/>
    <n v="2"/>
    <s v="0-30"/>
    <n v="22"/>
    <s v="Overstock"/>
    <n v="904"/>
    <n v="649"/>
    <n v="0.03"/>
    <n v="140.22"/>
    <n v="55246.68"/>
    <x v="0"/>
    <s v="OK"/>
    <x v="148"/>
  </r>
  <r>
    <n v="308"/>
    <n v="149"/>
    <s v="Salt Lake City"/>
    <n v="500"/>
    <d v="2026-04-05T00:00:00"/>
    <d v="2026-05-20T00:00:00"/>
    <n v="2"/>
    <s v="0-30"/>
    <n v="22"/>
    <s v="Overstock"/>
    <n v="904"/>
    <n v="702"/>
    <n v="0.03"/>
    <n v="140.22"/>
    <n v="70110"/>
    <x v="0"/>
    <s v="OK"/>
    <x v="148"/>
  </r>
  <r>
    <n v="309"/>
    <n v="149"/>
    <s v="West Valley"/>
    <n v="334"/>
    <d v="2026-03-06T00:00:00"/>
    <d v="2026-05-20T00:00:00"/>
    <n v="2"/>
    <s v="0-30"/>
    <n v="22"/>
    <s v="Overstock"/>
    <n v="904"/>
    <n v="619"/>
    <n v="0.04"/>
    <n v="140.22"/>
    <n v="46833.48"/>
    <x v="0"/>
    <s v="OK"/>
    <x v="148"/>
  </r>
  <r>
    <n v="310"/>
    <n v="150"/>
    <s v="South Jordan"/>
    <n v="387"/>
    <d v="2026-04-11T00:00:00"/>
    <d v="2026-03-08T00:00:00"/>
    <n v="75"/>
    <s v="61-90"/>
    <n v="27"/>
    <s v="Overstock"/>
    <n v="367"/>
    <n v="377"/>
    <n v="7.0000000000000007E-2"/>
    <n v="54.5"/>
    <n v="21091.5"/>
    <x v="0"/>
    <s v="OK"/>
    <x v="149"/>
  </r>
  <r>
    <n v="311"/>
    <n v="150"/>
    <s v="Draper"/>
    <n v="146"/>
    <d v="2026-03-04T00:00:00"/>
    <d v="2026-03-08T00:00:00"/>
    <n v="75"/>
    <s v="61-90"/>
    <n v="27"/>
    <s v="Overstock"/>
    <n v="367"/>
    <n v="256.5"/>
    <n v="0.11"/>
    <n v="54.5"/>
    <n v="7957"/>
    <x v="0"/>
    <s v="OK"/>
    <x v="149"/>
  </r>
  <r>
    <n v="312"/>
    <n v="9999"/>
    <s v="Salt Lake City"/>
    <n v="50"/>
    <d v="2026-05-01T00:00:00"/>
    <e v="#N/A"/>
    <e v="#N/A"/>
    <e v="#N/A"/>
    <n v="0"/>
    <s v="Overstock"/>
    <n v="0"/>
    <n v="25"/>
    <n v="0"/>
    <n v="0"/>
    <n v="0"/>
    <x v="1"/>
    <s v=""/>
    <x v="1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CFE0BC-AD0D-47F0-AC14-8CAFDF140E25}" name="PivotTable3" cacheId="5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:B12" firstHeaderRow="1" firstDataRow="1" firstDataCol="1" rowPageCount="1" colPageCount="1"/>
  <pivotFields count="18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Page" compact="0" outline="0" showAll="0">
      <items count="3">
        <item h="1" x="0"/>
        <item x="1"/>
        <item t="default"/>
      </items>
    </pivotField>
    <pivotField compact="0" outline="0" showAll="0"/>
    <pivotField axis="axisRow" compact="0" outline="0" showAll="0" sortType="descending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h="1" x="1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7"/>
  </rowFields>
  <rowItems count="5">
    <i>
      <x v="25"/>
    </i>
    <i>
      <x v="68"/>
    </i>
    <i>
      <x v="40"/>
    </i>
    <i>
      <x v="10"/>
    </i>
    <i t="grand">
      <x/>
    </i>
  </rowItems>
  <colItems count="1">
    <i/>
  </colItems>
  <pageFields count="1">
    <pageField fld="15" item="1" hier="-1"/>
  </pageFields>
  <dataFields count="1">
    <dataField name="Sum of inventory_valu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FDFBCF-9E05-49AC-A6F4-FCFA9FF02E2A}" name="PivotTable2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B24" firstHeaderRow="1" firstDataRow="1" firstDataCol="1" rowPageCount="1" colPageCount="1"/>
  <pivotFields count="9">
    <pivotField compact="0" outline="0" showAll="0">
      <items count="4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  <pivotField compact="0" outline="0" showAll="0"/>
    <pivotField axis="axisRow" compact="0" outline="0" showAll="0">
      <items count="7">
        <item sd="0" x="2"/>
        <item sd="0" x="1"/>
        <item sd="0" x="3"/>
        <item sd="0" x="5"/>
        <item sd="0" x="0"/>
        <item sd="0" x="4"/>
        <item t="default"/>
      </items>
    </pivotField>
    <pivotField compact="0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axis="axisPage" dataField="1" compact="0" outline="0" showAll="0">
      <items count="4">
        <item h="1" x="0"/>
        <item h="1" x="2"/>
        <item x="1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8" item="2" hier="-1"/>
  </pageFields>
  <dataFields count="1">
    <dataField name="Count of shipment_status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1FBA64-EEDA-4BB8-BBDE-0A37F38B3291}" name="PivotTable1" cacheId="18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6:C13" firstHeaderRow="0" firstDataRow="1" firstDataCol="1"/>
  <pivotFields count="9">
    <pivotField dataField="1" compact="0" outline="0" showAll="0"/>
    <pivotField compact="0" outline="0" showAll="0"/>
    <pivotField axis="axisRow" compact="0" outline="0" showAll="0" sortType="descending">
      <items count="7">
        <item x="2"/>
        <item x="1"/>
        <item x="3"/>
        <item x="5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4" outline="0" showAll="0"/>
    <pivotField compact="0" numFmtId="14" outline="0" showAll="0"/>
    <pivotField compact="0" numFmtId="14" outline="0" showAll="0"/>
    <pivotField dataField="1" compact="0" outline="0" showAll="0"/>
    <pivotField compact="0" outline="0" showAll="0"/>
  </pivotFields>
  <rowFields count="1">
    <field x="2"/>
  </rowFields>
  <rowItems count="7">
    <i>
      <x v="1"/>
    </i>
    <i>
      <x/>
    </i>
    <i>
      <x v="3"/>
    </i>
    <i>
      <x v="5"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reight_cost" fld="7" baseField="0" baseItem="0"/>
    <dataField name="Count of shipm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E7A3D-28AA-4013-B999-A0C4851E7CC2}" name="PivotTable5" cacheId="1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5:B26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6">
        <item x="0"/>
        <item x="3"/>
        <item x="1"/>
        <item x="2"/>
        <item x="4"/>
        <item t="default"/>
      </items>
    </pivotField>
    <pivotField compact="0" outline="0" showAll="0"/>
    <pivotField axis="axisRow" compact="0" outline="0" showAll="0">
      <items count="21">
        <item x="19"/>
        <item x="18"/>
        <item x="3"/>
        <item x="0"/>
        <item x="17"/>
        <item x="10"/>
        <item x="9"/>
        <item x="14"/>
        <item x="5"/>
        <item x="7"/>
        <item x="8"/>
        <item x="1"/>
        <item x="6"/>
        <item x="12"/>
        <item x="4"/>
        <item x="2"/>
        <item x="11"/>
        <item x="13"/>
        <item x="15"/>
        <item x="16"/>
        <item t="default"/>
      </items>
    </pivotField>
    <pivotField compact="0" outline="0" showAll="0"/>
    <pivotField compact="0" outline="0" showAll="0"/>
    <pivotField compact="0" outline="0" showAll="0">
      <items count="5">
        <item x="0"/>
        <item x="3"/>
        <item x="1"/>
        <item x="2"/>
        <item t="default"/>
      </items>
    </pivotField>
    <pivotField compact="0" outline="0" showAll="0">
      <items count="7">
        <item x="0"/>
        <item x="4"/>
        <item x="1"/>
        <item x="3"/>
        <item x="5"/>
        <item x="2"/>
        <item t="default"/>
      </items>
    </pivotField>
    <pivotField compact="0" outline="0" showAll="0"/>
    <pivotField compact="0" outline="0" showAll="0"/>
    <pivotField compact="0" outline="0" showAll="0">
      <items count="9">
        <item x="3"/>
        <item x="6"/>
        <item x="0"/>
        <item x="4"/>
        <item x="2"/>
        <item x="5"/>
        <item x="1"/>
        <item x="7"/>
        <item t="default"/>
      </items>
    </pivotField>
  </pivotFields>
  <rowFields count="1">
    <field x="9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40B3E-5A0B-476E-B2D3-9F5A6B078A22}" name="PivotTable8" cacheId="1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4:B63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3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axis="axisRow" compact="0" outline="0" showAll="0" sortType="descending">
      <items count="9">
        <item x="3"/>
        <item x="6"/>
        <item x="0"/>
        <item x="4"/>
        <item x="2"/>
        <item x="5"/>
        <item x="1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6"/>
  </rowFields>
  <rowItems count="9">
    <i>
      <x v="2"/>
    </i>
    <i>
      <x/>
    </i>
    <i>
      <x v="5"/>
    </i>
    <i>
      <x v="4"/>
    </i>
    <i>
      <x v="1"/>
    </i>
    <i>
      <x v="6"/>
    </i>
    <i>
      <x v="7"/>
    </i>
    <i>
      <x v="3"/>
    </i>
    <i t="grand">
      <x/>
    </i>
  </rowItems>
  <colItems count="1">
    <i/>
  </colItems>
  <dataFields count="1">
    <dataField name="Sum of margin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EAD9F-2CBC-4079-B9DE-DA2A41949CCA}" name="PivotTable7" cacheId="1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29:E50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 measureFilter="1" sortType="descending">
      <items count="151">
        <item x="120"/>
        <item x="59"/>
        <item x="34"/>
        <item x="79"/>
        <item x="36"/>
        <item x="10"/>
        <item x="76"/>
        <item x="39"/>
        <item x="16"/>
        <item x="106"/>
        <item x="149"/>
        <item x="35"/>
        <item x="115"/>
        <item x="37"/>
        <item x="93"/>
        <item x="134"/>
        <item x="12"/>
        <item x="138"/>
        <item x="53"/>
        <item x="7"/>
        <item x="119"/>
        <item x="43"/>
        <item x="66"/>
        <item x="101"/>
        <item x="136"/>
        <item x="126"/>
        <item x="74"/>
        <item x="55"/>
        <item x="94"/>
        <item x="9"/>
        <item x="84"/>
        <item x="88"/>
        <item x="97"/>
        <item x="89"/>
        <item x="2"/>
        <item x="116"/>
        <item x="145"/>
        <item x="147"/>
        <item x="75"/>
        <item x="81"/>
        <item x="118"/>
        <item x="109"/>
        <item x="63"/>
        <item x="64"/>
        <item x="0"/>
        <item x="31"/>
        <item x="113"/>
        <item x="62"/>
        <item x="23"/>
        <item x="140"/>
        <item x="133"/>
        <item x="121"/>
        <item x="99"/>
        <item x="114"/>
        <item x="125"/>
        <item x="11"/>
        <item x="56"/>
        <item x="110"/>
        <item x="102"/>
        <item x="18"/>
        <item x="19"/>
        <item x="17"/>
        <item x="24"/>
        <item x="87"/>
        <item x="52"/>
        <item x="29"/>
        <item x="5"/>
        <item x="61"/>
        <item x="40"/>
        <item x="131"/>
        <item x="90"/>
        <item x="80"/>
        <item x="1"/>
        <item x="141"/>
        <item x="48"/>
        <item x="100"/>
        <item x="21"/>
        <item x="46"/>
        <item x="25"/>
        <item x="82"/>
        <item x="47"/>
        <item x="27"/>
        <item x="67"/>
        <item x="49"/>
        <item x="3"/>
        <item x="132"/>
        <item x="129"/>
        <item x="38"/>
        <item x="92"/>
        <item x="137"/>
        <item x="32"/>
        <item x="91"/>
        <item x="122"/>
        <item x="50"/>
        <item x="83"/>
        <item x="33"/>
        <item x="96"/>
        <item x="130"/>
        <item x="42"/>
        <item x="111"/>
        <item x="77"/>
        <item x="95"/>
        <item x="4"/>
        <item x="69"/>
        <item x="146"/>
        <item x="20"/>
        <item x="6"/>
        <item x="112"/>
        <item x="73"/>
        <item x="72"/>
        <item x="139"/>
        <item x="98"/>
        <item x="142"/>
        <item x="144"/>
        <item x="123"/>
        <item x="22"/>
        <item x="70"/>
        <item x="15"/>
        <item x="57"/>
        <item x="26"/>
        <item x="78"/>
        <item x="103"/>
        <item x="127"/>
        <item x="44"/>
        <item x="124"/>
        <item x="107"/>
        <item x="45"/>
        <item x="51"/>
        <item x="104"/>
        <item x="135"/>
        <item x="117"/>
        <item x="68"/>
        <item x="128"/>
        <item x="85"/>
        <item x="108"/>
        <item x="143"/>
        <item x="14"/>
        <item x="86"/>
        <item x="13"/>
        <item x="30"/>
        <item x="65"/>
        <item x="105"/>
        <item x="41"/>
        <item x="58"/>
        <item x="71"/>
        <item x="28"/>
        <item x="8"/>
        <item x="60"/>
        <item x="148"/>
        <item x="5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3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21">
    <i>
      <x v="80"/>
    </i>
    <i>
      <x v="97"/>
    </i>
    <i>
      <x v="116"/>
    </i>
    <i>
      <x v="42"/>
    </i>
    <i>
      <x v="108"/>
    </i>
    <i>
      <x v="124"/>
    </i>
    <i>
      <x v="81"/>
    </i>
    <i>
      <x v="5"/>
    </i>
    <i>
      <x v="47"/>
    </i>
    <i>
      <x v="60"/>
    </i>
    <i>
      <x v="16"/>
    </i>
    <i>
      <x v="90"/>
    </i>
    <i>
      <x v="78"/>
    </i>
    <i>
      <x v="106"/>
    </i>
    <i>
      <x v="18"/>
    </i>
    <i>
      <x v="45"/>
    </i>
    <i>
      <x v="82"/>
    </i>
    <i>
      <x v="127"/>
    </i>
    <i>
      <x v="56"/>
    </i>
    <i>
      <x v="21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72C8AA-14A7-4B71-A116-2459BF389D46}" name="PivotTable6" cacheId="1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9:B34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8712D-BA7D-4D9B-9DE1-44153456E627}" name="PivotTable3" cacheId="1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13:G20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 sortType="descending">
      <items count="7">
        <item x="0"/>
        <item x="4"/>
        <item x="1"/>
        <item x="3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</pivotFields>
  <rowFields count="1">
    <field x="13"/>
  </rowFields>
  <rowItems count="7">
    <i>
      <x v="3"/>
    </i>
    <i>
      <x/>
    </i>
    <i>
      <x v="2"/>
    </i>
    <i>
      <x v="1"/>
    </i>
    <i>
      <x v="4"/>
    </i>
    <i>
      <x v="5"/>
    </i>
    <i t="grand">
      <x/>
    </i>
  </rowItems>
  <colItems count="1">
    <i/>
  </colItems>
  <dataFields count="1">
    <dataField name="Sum of freight_cos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7A02E-4A6F-4C64-BE36-836959DC13CA}" name="PivotTable1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13:K20" firstHeaderRow="1" firstDataRow="1" firstDataCol="1" rowPageCount="1" colPageCount="1"/>
  <pivotFields count="9">
    <pivotField compact="0" outline="0" showAll="0"/>
    <pivotField compact="0" outline="0" showAll="0"/>
    <pivotField axis="axisRow" compact="0" outline="0" showAll="0">
      <items count="7">
        <item x="2"/>
        <item x="1"/>
        <item x="3"/>
        <item x="5"/>
        <item x="0"/>
        <item x="4"/>
        <item t="default"/>
      </items>
    </pivotField>
    <pivotField compact="0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axis="axisPage" dataField="1" compact="0" outline="0" showAll="0">
      <items count="4">
        <item h="1" x="0"/>
        <item h="1" x="2"/>
        <item x="1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8" item="2" hier="-1"/>
  </pageFields>
  <dataFields count="1">
    <dataField name="Count of shipment_status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DC9C8-B1CE-499D-8D81-6EA5061D2CF3}" name="PivotTable2" cacheId="1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1:O10" firstHeaderRow="0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 sortType="descending">
      <items count="9">
        <item x="3"/>
        <item x="6"/>
        <item x="0"/>
        <item x="4"/>
        <item x="2"/>
        <item x="5"/>
        <item x="1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16"/>
  </rowFields>
  <rowItems count="9">
    <i>
      <x v="2"/>
    </i>
    <i>
      <x/>
    </i>
    <i>
      <x v="5"/>
    </i>
    <i>
      <x v="4"/>
    </i>
    <i>
      <x v="1"/>
    </i>
    <i>
      <x v="6"/>
    </i>
    <i>
      <x v="7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6" baseField="0" baseItem="0"/>
    <dataField name="Sum of margin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10149-39B7-44FC-9DA1-4E88C96D49BA}" name="PivotTable6" cacheId="1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8" firstHeaderRow="1" firstDataRow="1" firstDataCol="1"/>
  <pivotFields count="5">
    <pivotField compact="0" outline="0" showAll="0"/>
    <pivotField compact="0" outline="0" showAll="0"/>
    <pivotField axis="axisRow" compact="0" outline="0" showAll="0">
      <items count="7">
        <item x="3"/>
        <item x="5"/>
        <item x="4"/>
        <item x="0"/>
        <item x="1"/>
        <item x="2"/>
        <item t="default"/>
      </items>
    </pivotField>
    <pivotField dataField="1" compact="0" outline="0" showAll="0"/>
    <pivotField compact="0" numFmtId="14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tity_on_han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80AE36-2741-460E-8230-115B63644A02}" name="PivotTable3" cacheId="1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4:B65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 measureFilter="1" sortType="descending">
      <items count="151">
        <item x="120"/>
        <item x="59"/>
        <item x="34"/>
        <item x="79"/>
        <item x="36"/>
        <item x="10"/>
        <item x="76"/>
        <item x="39"/>
        <item x="16"/>
        <item x="106"/>
        <item x="149"/>
        <item x="35"/>
        <item x="115"/>
        <item x="37"/>
        <item x="93"/>
        <item x="134"/>
        <item x="12"/>
        <item x="138"/>
        <item x="53"/>
        <item x="7"/>
        <item x="119"/>
        <item x="43"/>
        <item x="66"/>
        <item x="101"/>
        <item x="136"/>
        <item x="126"/>
        <item x="74"/>
        <item x="55"/>
        <item x="94"/>
        <item x="9"/>
        <item x="84"/>
        <item x="88"/>
        <item x="97"/>
        <item x="89"/>
        <item x="2"/>
        <item x="116"/>
        <item x="145"/>
        <item x="147"/>
        <item x="75"/>
        <item x="81"/>
        <item x="118"/>
        <item x="109"/>
        <item x="63"/>
        <item x="64"/>
        <item x="0"/>
        <item x="31"/>
        <item x="113"/>
        <item x="62"/>
        <item x="23"/>
        <item x="140"/>
        <item x="133"/>
        <item x="121"/>
        <item x="99"/>
        <item x="114"/>
        <item x="125"/>
        <item x="11"/>
        <item x="56"/>
        <item x="110"/>
        <item x="102"/>
        <item x="18"/>
        <item x="19"/>
        <item x="17"/>
        <item x="24"/>
        <item x="87"/>
        <item x="52"/>
        <item x="29"/>
        <item x="5"/>
        <item x="61"/>
        <item x="40"/>
        <item x="131"/>
        <item x="90"/>
        <item x="80"/>
        <item x="1"/>
        <item x="141"/>
        <item x="48"/>
        <item x="100"/>
        <item x="21"/>
        <item x="46"/>
        <item x="25"/>
        <item x="82"/>
        <item x="47"/>
        <item x="27"/>
        <item x="67"/>
        <item x="49"/>
        <item x="3"/>
        <item x="132"/>
        <item x="129"/>
        <item x="38"/>
        <item x="92"/>
        <item x="137"/>
        <item x="32"/>
        <item x="91"/>
        <item x="122"/>
        <item x="50"/>
        <item x="83"/>
        <item x="33"/>
        <item x="96"/>
        <item x="130"/>
        <item x="42"/>
        <item x="111"/>
        <item x="77"/>
        <item x="95"/>
        <item x="4"/>
        <item x="69"/>
        <item x="146"/>
        <item x="20"/>
        <item x="6"/>
        <item x="112"/>
        <item x="73"/>
        <item x="72"/>
        <item x="139"/>
        <item x="98"/>
        <item x="142"/>
        <item x="144"/>
        <item x="123"/>
        <item x="22"/>
        <item x="70"/>
        <item x="15"/>
        <item x="57"/>
        <item x="26"/>
        <item x="78"/>
        <item x="103"/>
        <item x="127"/>
        <item x="44"/>
        <item x="124"/>
        <item x="107"/>
        <item x="45"/>
        <item x="51"/>
        <item x="104"/>
        <item x="135"/>
        <item x="117"/>
        <item x="68"/>
        <item x="128"/>
        <item x="85"/>
        <item x="108"/>
        <item x="143"/>
        <item x="14"/>
        <item x="86"/>
        <item x="13"/>
        <item x="30"/>
        <item x="65"/>
        <item x="105"/>
        <item x="41"/>
        <item x="58"/>
        <item x="71"/>
        <item x="28"/>
        <item x="8"/>
        <item x="60"/>
        <item x="148"/>
        <item x="5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21">
    <i>
      <x v="80"/>
    </i>
    <i>
      <x v="97"/>
    </i>
    <i>
      <x v="116"/>
    </i>
    <i>
      <x v="42"/>
    </i>
    <i>
      <x v="108"/>
    </i>
    <i>
      <x v="124"/>
    </i>
    <i>
      <x v="81"/>
    </i>
    <i>
      <x v="5"/>
    </i>
    <i>
      <x v="47"/>
    </i>
    <i>
      <x v="60"/>
    </i>
    <i>
      <x v="16"/>
    </i>
    <i>
      <x v="90"/>
    </i>
    <i>
      <x v="78"/>
    </i>
    <i>
      <x v="106"/>
    </i>
    <i>
      <x v="18"/>
    </i>
    <i>
      <x v="45"/>
    </i>
    <i>
      <x v="82"/>
    </i>
    <i>
      <x v="127"/>
    </i>
    <i>
      <x v="56"/>
    </i>
    <i>
      <x v="21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6DCDC-D8A1-4755-B9BD-319CDF675FC0}" name="PivotTable2" cacheId="1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5:B30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57549-B3DD-4E71-8378-BCE4F1B9C6BB}" name="PivotTable1" cacheId="1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1:B22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21">
        <item x="19"/>
        <item x="18"/>
        <item x="3"/>
        <item x="0"/>
        <item x="17"/>
        <item x="10"/>
        <item x="9"/>
        <item x="14"/>
        <item x="5"/>
        <item x="7"/>
        <item x="8"/>
        <item x="1"/>
        <item x="6"/>
        <item x="12"/>
        <item x="4"/>
        <item x="2"/>
        <item x="11"/>
        <item x="13"/>
        <item x="15"/>
        <item x="16"/>
        <item t="default"/>
      </items>
    </pivotField>
  </pivotFields>
  <rowFields count="1">
    <field x="9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revenue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0424CC7F-20B4-49E0-BC1D-A81EBDE8394D}" sourceName="month">
  <pivotTables>
    <pivotTable tabId="12" name="PivotTable5"/>
  </pivotTables>
  <data>
    <tabular pivotCacheId="903720807">
      <items count="5">
        <i x="0" s="1"/>
        <i x="3" s="1"/>
        <i x="1" s="1"/>
        <i x="2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es_channel" xr10:uid="{77001141-1D22-495D-BF57-4764064836BA}" sourceName="sales_channel">
  <pivotTables>
    <pivotTable tabId="12" name="PivotTable5"/>
    <pivotTable tabId="12" name="PivotTable6"/>
    <pivotTable tabId="12" name="PivotTable7"/>
    <pivotTable tabId="12" name="PivotTable8"/>
  </pivotTables>
  <data>
    <tabular pivotCacheId="903720807">
      <items count="4">
        <i x="0" s="1"/>
        <i x="3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arehouse" xr10:uid="{44BCC18C-7C6E-424F-B7E3-4520C8382DB9}" sourceName="warehouse">
  <pivotTables>
    <pivotTable tabId="12" name="PivotTable5"/>
  </pivotTables>
  <data>
    <tabular pivotCacheId="903720807">
      <items count="6">
        <i x="0" s="1"/>
        <i x="4" s="1"/>
        <i x="1" s="1"/>
        <i x="3" s="1"/>
        <i x="5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FD26515F-4E79-4992-A577-87775731EFBF}" sourceName="category">
  <pivotTables>
    <pivotTable tabId="12" name="PivotTable5"/>
  </pivotTables>
  <data>
    <tabular pivotCacheId="903720807">
      <items count="8">
        <i x="3" s="1"/>
        <i x="6" s="1"/>
        <i x="0" s="1"/>
        <i x="4" s="1"/>
        <i x="2" s="1"/>
        <i x="5" s="1"/>
        <i x="1" s="1"/>
        <i x="7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nth" xr10:uid="{5EE73484-8C73-49F6-8586-2BF2B9A1B276}" cache="Slicer_month" caption="month" rowHeight="228600"/>
  <slicer name="sales_channel" xr10:uid="{7B4F79DD-62BC-4B8A-A3E3-DDD491E48D3F}" cache="Slicer_sales_channel" caption="sales_channel" rowHeight="228600"/>
  <slicer name="warehouse" xr10:uid="{27E4321B-2E28-4344-A2EE-DCC954FD5E63}" cache="Slicer_warehouse" caption="warehouse" rowHeight="228600"/>
  <slicer name="category" xr10:uid="{85DB3295-2AD7-4B9C-9CCC-4569A1D33890}" cache="Slicer_category" caption="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A7277B-D74A-45A5-8908-B7A51CD2923C}" name="Table1" displayName="Table1" ref="A1:G451" totalsRowShown="0">
  <autoFilter ref="A1:G451" xr:uid="{882E414E-BE65-4227-8C53-90DD692BAA63}"/>
  <tableColumns count="7">
    <tableColumn id="1" xr3:uid="{2878A9BC-6DB0-44DE-ADDD-BA433E4F34FC}" name="order_id"/>
    <tableColumn id="2" xr3:uid="{67DF8A0C-92A5-4272-BC11-207679474608}" name="order_date" dataDxfId="10"/>
    <tableColumn id="3" xr3:uid="{C78B39B5-DC9A-4D8C-9A11-B3892F83ED5B}" name="customer_region"/>
    <tableColumn id="4" xr3:uid="{AD18F9B0-B969-4519-8D7E-5AFAC7F2E25A}" name="sales_channel"/>
    <tableColumn id="5" xr3:uid="{6651BAC3-AFC5-4464-AC94-0E193B27C8DF}" name="order_status"/>
    <tableColumn id="6" xr3:uid="{EE2F430F-F78D-4F10-ABC1-D632629B2C8B}" name="month" dataDxfId="9">
      <calculatedColumnFormula>TEXT(B2,"yyyy-mm")</calculatedColumnFormula>
    </tableColumn>
    <tableColumn id="7" xr3:uid="{03E82CE2-0B6A-4272-A7F6-478CB972FA90}" name="week" dataDxfId="8">
      <calculatedColumnFormula>YEAR(B2)&amp;"-w"&amp;TEXT(WEEKNUM(B2),"00")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B48154-BE4A-4210-B857-880C2E43D3B3}" name="Table5" displayName="Table5" ref="A1:Q1109" totalsRowShown="0">
  <autoFilter ref="A1:Q1109" xr:uid="{A89CFE05-37BD-429C-AAD5-5B4BDC34A2AA}"/>
  <tableColumns count="17">
    <tableColumn id="1" xr3:uid="{9C321766-51B3-44A3-A9C4-DBAFB0D7E731}" name="order_item_id"/>
    <tableColumn id="2" xr3:uid="{5C4D7EA9-C0FC-4200-B359-71D494694A68}" name="order_id"/>
    <tableColumn id="3" xr3:uid="{1FF60DB9-4C28-48DA-BA91-690EAE23231E}" name="product_id"/>
    <tableColumn id="4" xr3:uid="{F304EC0F-1341-4F29-9396-C822CEAD0536}" name="quantity"/>
    <tableColumn id="5" xr3:uid="{FC49AC36-E86B-4670-B159-D02FF08A7603}" name="unit_price"/>
    <tableColumn id="6" xr3:uid="{E45D03AD-95C3-4D91-B8BE-89D5050CB824}" name="discount_amount"/>
    <tableColumn id="7" xr3:uid="{FEA52868-22A8-44D0-9B4C-C24779CDACDF}" name="revenue">
      <calculatedColumnFormula>E2*D2-F2</calculatedColumnFormula>
    </tableColumn>
    <tableColumn id="8" xr3:uid="{D19B0DB5-8356-45E6-9665-A45B1A8D0F64}" name="month">
      <calculatedColumnFormula>_xlfn.XLOOKUP(B2,customer_orders!A:A,customer_orders!F:F)</calculatedColumnFormula>
    </tableColumn>
    <tableColumn id="9" xr3:uid="{415790D8-F4B8-4FB8-9A03-41C6EFF84980}" name="sku">
      <calculatedColumnFormula>_xlfn.XLOOKUP(C2,products!A:A,products!B:B)</calculatedColumnFormula>
    </tableColumn>
    <tableColumn id="10" xr3:uid="{DB285086-D24D-4228-9D12-380EAF21D9A1}" name="week">
      <calculatedColumnFormula>_xlfn.XLOOKUP(B2,customer_orders!A:A,customer_orders!G:G)</calculatedColumnFormula>
    </tableColumn>
    <tableColumn id="11" xr3:uid="{A61F9AAE-2C5C-4067-8831-9384909D8171}" name="freight_cost">
      <calculatedColumnFormula>IFERROR(_xlfn.XLOOKUP(B2,shipments!B:B,shipments!H:H),0)</calculatedColumnFormula>
    </tableColumn>
    <tableColumn id="12" xr3:uid="{52BEB7CE-509C-4C58-9F32-8B3435DC43D6}" name="freight_pct">
      <calculatedColumnFormula>ROUND(K2/G2,2)</calculatedColumnFormula>
    </tableColumn>
    <tableColumn id="13" xr3:uid="{5976C09C-9790-4A85-A419-5F47A7C7B8B4}" name="sales_channel">
      <calculatedColumnFormula>_xlfn.XLOOKUP(B2,customer_orders!A:A,customer_orders!D:D)</calculatedColumnFormula>
    </tableColumn>
    <tableColumn id="14" xr3:uid="{1A3819C3-5164-4143-A727-BF4DABEF9380}" name="warehouse">
      <calculatedColumnFormula>_xlfn.XLOOKUP(C2,inventory!B:B,inventory!C:C)</calculatedColumnFormula>
    </tableColumn>
    <tableColumn id="15" xr3:uid="{329EDEE1-A8D2-4FEB-94EB-3EEEF54E136E}" name="standard_cost">
      <calculatedColumnFormula>IF(_xlfn.XLOOKUP(C2,products!A:A,products!E:E)="NULL",0,_xlfn.XLOOKUP(C2,products!A:A,products!E:E))</calculatedColumnFormula>
    </tableColumn>
    <tableColumn id="16" xr3:uid="{7EAAC18B-F910-4D68-BCF1-893ADF4EBDE1}" name="margin">
      <calculatedColumnFormula>G2-O2</calculatedColumnFormula>
    </tableColumn>
    <tableColumn id="17" xr3:uid="{FFCB6513-E33C-4EFF-BD4E-5FDFA4B9FD77}" name="category" dataDxfId="7">
      <calculatedColumnFormula>_xlfn.XLOOKUP(I2,products!B:B,products!D:D)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467C35-420E-4D6A-B6E7-1CA8F89238B2}" name="Table4" displayName="Table4" ref="A1:M154" totalsRowShown="0">
  <autoFilter ref="A1:M154" xr:uid="{364D172B-3240-40B9-90DF-1026D0C8AD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137063FB-F75B-48FA-A6AB-091EE0EECC7B}" name="product_id"/>
    <tableColumn id="2" xr3:uid="{1A64A846-01BD-4A98-BB6C-46AFC84A0DE3}" name="sku"/>
    <tableColumn id="3" xr3:uid="{AE2201FE-64E7-48B1-88BE-783D78D44747}" name="product_name"/>
    <tableColumn id="4" xr3:uid="{FA9A5B6B-2D5A-4038-8840-586E5E20EB96}" name="category"/>
    <tableColumn id="5" xr3:uid="{B4757A3C-2D93-426A-828B-3DC082AEC721}" name="standard_cost"/>
    <tableColumn id="6" xr3:uid="{17EEE933-A703-4C5B-B30F-7A07D245D95A}" name="selling_price"/>
    <tableColumn id="7" xr3:uid="{D6E53011-7A89-461F-8727-781D9A53BC3C}" name="supplier_id"/>
    <tableColumn id="8" xr3:uid="{322EFB1A-E47E-4E94-B33A-00E701E55ACF}" name="active_flag"/>
    <tableColumn id="9" xr3:uid="{D08332B8-0297-446E-A4DA-7D737303A097}" name="supplier_name">
      <calculatedColumnFormula>_xlfn.XLOOKUP(G2,suppliers!A:A,suppliers!B:B)</calculatedColumnFormula>
    </tableColumn>
    <tableColumn id="10" xr3:uid="{47F4E002-D445-4F0A-9556-103C43FD4840}" name="quantity_on_hand">
      <calculatedColumnFormula>IFERROR(_xlfn.XLOOKUP(A2,inventory!B:B,inventory!D:D),0)</calculatedColumnFormula>
    </tableColumn>
    <tableColumn id="11" xr3:uid="{C2A36584-9499-4029-B0E8-84874D25858C}" name="total_cost">
      <calculatedColumnFormula>IFERROR(E2 * J2, 0)</calculatedColumnFormula>
    </tableColumn>
    <tableColumn id="12" xr3:uid="{004B6CF3-71E8-4CC5-A7BE-797C6A35FC3E}" name="units_sold" dataDxfId="6">
      <calculatedColumnFormula>SUMIFS(order_items!D:D,order_items!C:C,A2)</calculatedColumnFormula>
    </tableColumn>
    <tableColumn id="13" xr3:uid="{F0AE928A-B2E7-47DA-A669-02E5E2B387FF}" name="Slow-moving" dataDxfId="5">
      <calculatedColumnFormula>IF(L2&lt;10,"Slow Moving","Normal")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322CB4-3385-494F-8850-B20B2920E520}" name="Table2" displayName="Table2" ref="A1:D9" totalsRowShown="0">
  <autoFilter ref="A1:D9" xr:uid="{66322CB4-3385-494F-8850-B20B2920E520}"/>
  <tableColumns count="4">
    <tableColumn id="1" xr3:uid="{3E056FC0-932E-48E5-829A-599B83A4162D}" name="supplier_id"/>
    <tableColumn id="2" xr3:uid="{EE12B27D-DA50-4EF5-B889-8A871D574E45}" name="supplier_name"/>
    <tableColumn id="3" xr3:uid="{CE8CFB46-9A4E-4A09-9DAA-369F8F005486}" name="supplier_country"/>
    <tableColumn id="4" xr3:uid="{2A214BB0-E105-4277-87C2-881D24257948}" name="payment_term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C4BA2B-7FD0-41B8-8560-4A5ECBDDD4C2}" name="Table3" displayName="Table3" ref="A1:J404" totalsRowShown="0">
  <autoFilter ref="A1:J404" xr:uid="{41B6696F-0FA0-428E-A9B1-5E4265C3919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2E1CE23-F95D-459E-A08D-FAF3047A086A}" name="shipment_id"/>
    <tableColumn id="2" xr3:uid="{8944CCC3-B9F8-48A9-AB1F-1C931B9FC5DE}" name="order_id"/>
    <tableColumn id="3" xr3:uid="{767A37B1-9B41-4DA1-B871-E769A897C6AA}" name="carrier"/>
    <tableColumn id="4" xr3:uid="{83B03958-88DF-45BE-BFB0-8B30C3AF5D9C}" name="ship_from_warehouse"/>
    <tableColumn id="5" xr3:uid="{AF7CF855-3E3B-43A2-BAB9-EE29B00C4D57}" name="shipped_date" dataDxfId="3"/>
    <tableColumn id="6" xr3:uid="{5EA58F7C-AAF6-41FF-A364-60DD7422B8DE}" name="promised_delivery_date" dataDxfId="2"/>
    <tableColumn id="7" xr3:uid="{EF2D0EF4-1074-4580-8C55-C154286ADE5F}" name="delivered_date" dataDxfId="1"/>
    <tableColumn id="8" xr3:uid="{5A131833-CEF4-4156-A69D-15AB0170D926}" name="freight_cost"/>
    <tableColumn id="9" xr3:uid="{9CE6B8B9-DADA-47D4-9751-2DCA0741EA2D}" name="shipment_status"/>
    <tableColumn id="11" xr3:uid="{66D3E0A5-1D04-4589-B0FE-CED883B276B3}" name="quantity" dataDxfId="0">
      <calculatedColumnFormula>SUMIFS(Table5[quantity],Table5[order_id],Table3[[#This Row],[order_id]])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4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EA4BA-9114-4ADB-B571-C5D7D2FC237C}">
  <dimension ref="A1:H12"/>
  <sheetViews>
    <sheetView workbookViewId="0">
      <selection activeCell="C16" sqref="C16"/>
    </sheetView>
  </sheetViews>
  <sheetFormatPr defaultRowHeight="15"/>
  <cols>
    <col min="1" max="1" width="18.5703125" bestFit="1" customWidth="1"/>
    <col min="2" max="2" width="22" bestFit="1" customWidth="1"/>
    <col min="3" max="3" width="14.42578125" bestFit="1" customWidth="1"/>
    <col min="4" max="4" width="14.7109375" bestFit="1" customWidth="1"/>
    <col min="5" max="5" width="17.7109375" bestFit="1" customWidth="1"/>
    <col min="6" max="6" width="9" bestFit="1" customWidth="1"/>
    <col min="7" max="7" width="7.7109375" bestFit="1" customWidth="1"/>
    <col min="8" max="8" width="17.28515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30.75">
      <c r="A2">
        <f>SUM(Table5[revenue])</f>
        <v>761103.0700000003</v>
      </c>
      <c r="B2">
        <f>COUNTA(Table1[order_id])</f>
        <v>450</v>
      </c>
      <c r="C2">
        <f>ROUND(SUM(Table5[margin])/'Executive KPI report'!A2,2)</f>
        <v>0.87</v>
      </c>
      <c r="D2">
        <f>SUM(inventory!O2:O313)</f>
        <v>6745761.4000000069</v>
      </c>
      <c r="E2">
        <f>SUM(inventory!M2:M313)</f>
        <v>63.569999999999986</v>
      </c>
      <c r="F2">
        <f>ROUND(freight_dashboard!A2/SUM(Table5[revenue]),2)</f>
        <v>0.04</v>
      </c>
      <c r="G2" s="2">
        <f>ROUND((COUNTIF(Table1[order_status],"Shipped")+COUNTIF(Table1[order_status],"Delivered"))/B2,2)</f>
        <v>0.68</v>
      </c>
      <c r="H2">
        <f>COUNTIF(inventory!Q2:Q313,"Reorder")</f>
        <v>4</v>
      </c>
    </row>
    <row r="5" spans="1:8">
      <c r="A5" s="3" t="s">
        <v>8</v>
      </c>
      <c r="B5" t="s">
        <v>9</v>
      </c>
    </row>
    <row r="6" spans="1:8">
      <c r="A6" t="s">
        <v>10</v>
      </c>
    </row>
    <row r="7" spans="1:8">
      <c r="A7" s="3" t="s">
        <v>11</v>
      </c>
      <c r="B7" t="s">
        <v>12</v>
      </c>
    </row>
    <row r="8" spans="1:8">
      <c r="A8" t="s">
        <v>13</v>
      </c>
      <c r="B8" s="4">
        <v>148318.29999999999</v>
      </c>
    </row>
    <row r="9" spans="1:8">
      <c r="A9" t="s">
        <v>14</v>
      </c>
      <c r="B9" s="4">
        <v>116772.79</v>
      </c>
    </row>
    <row r="10" spans="1:8">
      <c r="A10" t="s">
        <v>15</v>
      </c>
      <c r="B10" s="4">
        <v>56548.44</v>
      </c>
    </row>
    <row r="11" spans="1:8">
      <c r="A11" t="s">
        <v>16</v>
      </c>
      <c r="B11" s="4">
        <v>22538.059999999998</v>
      </c>
    </row>
    <row r="12" spans="1:8">
      <c r="A12" t="s">
        <v>17</v>
      </c>
      <c r="B12" s="4">
        <v>344177.58999999997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D89B8-D7C3-4699-94BF-4A438FE2AE17}">
  <dimension ref="A1:G9"/>
  <sheetViews>
    <sheetView workbookViewId="0">
      <selection activeCell="I7" sqref="I7"/>
    </sheetView>
  </sheetViews>
  <sheetFormatPr defaultRowHeight="15"/>
  <cols>
    <col min="1" max="1" width="17" bestFit="1" customWidth="1"/>
    <col min="2" max="2" width="9.140625" bestFit="1" customWidth="1"/>
    <col min="3" max="3" width="13.42578125" bestFit="1" customWidth="1"/>
    <col min="4" max="4" width="14.42578125" bestFit="1" customWidth="1"/>
    <col min="5" max="5" width="12.42578125" customWidth="1"/>
    <col min="6" max="6" width="13.5703125" bestFit="1" customWidth="1"/>
    <col min="7" max="7" width="13.7109375" customWidth="1"/>
  </cols>
  <sheetData>
    <row r="1" spans="1:7">
      <c r="A1" t="s">
        <v>18</v>
      </c>
      <c r="B1" t="s">
        <v>19</v>
      </c>
      <c r="C1" t="s">
        <v>20</v>
      </c>
      <c r="D1" s="2" t="s">
        <v>21</v>
      </c>
      <c r="E1" t="s">
        <v>22</v>
      </c>
      <c r="F1" t="s">
        <v>23</v>
      </c>
      <c r="G1" t="s">
        <v>6</v>
      </c>
    </row>
    <row r="2" spans="1:7">
      <c r="A2" t="str" cm="1">
        <f t="array" ref="A2:A9">_xlfn._xlws.SORT(_xlfn.UNIQUE(Table2[supplier_name]))</f>
        <v>Acme Supply</v>
      </c>
      <c r="B2">
        <f>COUNTIF(purchase_orders!M2:M501,'supplier scoreboard'!A2)</f>
        <v>55</v>
      </c>
      <c r="C2" s="2">
        <f>ROUND(SUMIFS(purchase_orders!L2:L501,purchase_orders!M2:M501,'supplier scoreboard'!A2)/B2,2)</f>
        <v>33.380000000000003</v>
      </c>
      <c r="D2" s="2">
        <f>COUNTIFS(purchase_orders!N2:N501,"On time",purchase_orders!M2:M501,'supplier scoreboard'!A2)</f>
        <v>8</v>
      </c>
      <c r="E2">
        <f>ROUND(D2/B2,2)</f>
        <v>0.15</v>
      </c>
      <c r="F2">
        <f>COUNTIFS(purchase_orders!N2:N501,"Late",purchase_orders!M2:M501,'supplier scoreboard'!A2)</f>
        <v>47</v>
      </c>
      <c r="G2">
        <f>ROUND(SUMIFS(purchase_orders!O2:O501,purchase_orders!M2:M501,'supplier scoreboard'!A2)/'supplier scoreboard'!B2,2)</f>
        <v>0.87</v>
      </c>
    </row>
    <row r="3" spans="1:7">
      <c r="A3" t="str">
        <v>Blue Ridge</v>
      </c>
      <c r="B3">
        <f>COUNTIF(purchase_orders!M3:M502,'supplier scoreboard'!A3)</f>
        <v>67</v>
      </c>
      <c r="C3" s="2">
        <f>ROUND(SUMIFS(purchase_orders!L3:L502,purchase_orders!M3:M502,'supplier scoreboard'!A3)/B3,2)</f>
        <v>27.36</v>
      </c>
      <c r="D3" s="2">
        <f>COUNTIFS(purchase_orders!N3:N502,"On time",purchase_orders!M3:M502,'supplier scoreboard'!A3)</f>
        <v>8</v>
      </c>
      <c r="E3">
        <f t="shared" ref="E3:E9" si="0">ROUND(D3/B3,2)</f>
        <v>0.12</v>
      </c>
      <c r="F3">
        <f>COUNTIFS(purchase_orders!N3:N502,"Late",purchase_orders!M3:M502,'supplier scoreboard'!A3)</f>
        <v>59</v>
      </c>
      <c r="G3">
        <f>ROUND(SUMIFS(purchase_orders!O3:O502,purchase_orders!M3:M502,'supplier scoreboard'!A3)/'supplier scoreboard'!B3,2)</f>
        <v>0.75</v>
      </c>
    </row>
    <row r="4" spans="1:7">
      <c r="A4" t="str">
        <v>Evergreen Imports</v>
      </c>
      <c r="B4">
        <f>COUNTIF(purchase_orders!M4:M503,'supplier scoreboard'!A4)</f>
        <v>77</v>
      </c>
      <c r="C4" s="2">
        <f>ROUND(SUMIFS(purchase_orders!L4:L503,purchase_orders!M4:M503,'supplier scoreboard'!A4)/B4,2)</f>
        <v>31.34</v>
      </c>
      <c r="D4" s="2">
        <f>COUNTIFS(purchase_orders!N4:N503,"On time",purchase_orders!M4:M503,'supplier scoreboard'!A4)</f>
        <v>15</v>
      </c>
      <c r="E4">
        <f t="shared" si="0"/>
        <v>0.19</v>
      </c>
      <c r="F4">
        <f>COUNTIFS(purchase_orders!N4:N503,"Late",purchase_orders!M4:M503,'supplier scoreboard'!A4)</f>
        <v>62</v>
      </c>
      <c r="G4">
        <f>ROUND(SUMIFS(purchase_orders!O4:O503,purchase_orders!M4:M503,'supplier scoreboard'!A4)/'supplier scoreboard'!B4,2)</f>
        <v>0.84</v>
      </c>
    </row>
    <row r="5" spans="1:7">
      <c r="A5" t="str">
        <v>Global Goods</v>
      </c>
      <c r="B5">
        <f>COUNTIF(purchase_orders!M5:M504,'supplier scoreboard'!A5)</f>
        <v>59</v>
      </c>
      <c r="C5" s="2">
        <f>ROUND(SUMIFS(purchase_orders!L5:L504,purchase_orders!M5:M504,'supplier scoreboard'!A5)/B5,2)</f>
        <v>28.47</v>
      </c>
      <c r="D5" s="2">
        <f>COUNTIFS(purchase_orders!N5:N504,"On time",purchase_orders!M5:M504,'supplier scoreboard'!A5)</f>
        <v>9</v>
      </c>
      <c r="E5">
        <f t="shared" si="0"/>
        <v>0.15</v>
      </c>
      <c r="F5">
        <f>COUNTIFS(purchase_orders!N5:N504,"Late",purchase_orders!M5:M504,'supplier scoreboard'!A5)</f>
        <v>50</v>
      </c>
      <c r="G5">
        <f>ROUND(SUMIFS(purchase_orders!O5:O504,purchase_orders!M5:M504,'supplier scoreboard'!A5)/'supplier scoreboard'!B5,2)</f>
        <v>0.76</v>
      </c>
    </row>
    <row r="6" spans="1:7">
      <c r="A6" t="str">
        <v>Metro Logistics</v>
      </c>
      <c r="B6">
        <f>COUNTIF(purchase_orders!M6:M505,'supplier scoreboard'!A6)</f>
        <v>55</v>
      </c>
      <c r="C6" s="2">
        <f>ROUND(SUMIFS(purchase_orders!L6:L505,purchase_orders!M6:M505,'supplier scoreboard'!A6)/B6,2)</f>
        <v>30.18</v>
      </c>
      <c r="D6" s="2">
        <f>COUNTIFS(purchase_orders!N6:N505,"On time",purchase_orders!M6:M505,'supplier scoreboard'!A6)</f>
        <v>4</v>
      </c>
      <c r="E6">
        <f t="shared" si="0"/>
        <v>7.0000000000000007E-2</v>
      </c>
      <c r="F6">
        <f>COUNTIFS(purchase_orders!N6:N505,"Late",purchase_orders!M6:M505,'supplier scoreboard'!A6)</f>
        <v>51</v>
      </c>
      <c r="G6">
        <f>ROUND(SUMIFS(purchase_orders!O6:O505,purchase_orders!M6:M505,'supplier scoreboard'!A6)/'supplier scoreboard'!B6,2)</f>
        <v>0.75</v>
      </c>
    </row>
    <row r="7" spans="1:7">
      <c r="A7" t="str">
        <v>PrimeSource</v>
      </c>
      <c r="B7">
        <f>COUNTIF(purchase_orders!M7:M506,'supplier scoreboard'!A7)</f>
        <v>70</v>
      </c>
      <c r="C7" s="2">
        <f>ROUND(SUMIFS(purchase_orders!L7:L506,purchase_orders!M7:M506,'supplier scoreboard'!A7)/B7,2)</f>
        <v>30.16</v>
      </c>
      <c r="D7" s="2">
        <f>COUNTIFS(purchase_orders!N7:N506,"On time",purchase_orders!M7:M506,'supplier scoreboard'!A7)</f>
        <v>13</v>
      </c>
      <c r="E7">
        <f t="shared" si="0"/>
        <v>0.19</v>
      </c>
      <c r="F7">
        <f>COUNTIFS(purchase_orders!N7:N506,"Late",purchase_orders!M7:M506,'supplier scoreboard'!A7)</f>
        <v>57</v>
      </c>
      <c r="G7">
        <f>ROUND(SUMIFS(purchase_orders!O7:O506,purchase_orders!M7:M506,'supplier scoreboard'!A7)/'supplier scoreboard'!B7,2)</f>
        <v>0.85</v>
      </c>
    </row>
    <row r="8" spans="1:7">
      <c r="A8" t="str">
        <v>Summit Trading</v>
      </c>
      <c r="B8">
        <f>COUNTIF(purchase_orders!M8:M507,'supplier scoreboard'!A8)</f>
        <v>49</v>
      </c>
      <c r="C8" s="2">
        <f>ROUND(SUMIFS(purchase_orders!L8:L507,purchase_orders!M8:M507,'supplier scoreboard'!A8)/B8,2)</f>
        <v>30.2</v>
      </c>
      <c r="D8" s="2">
        <f>COUNTIFS(purchase_orders!N8:N507,"On time",purchase_orders!M8:M507,'supplier scoreboard'!A8)</f>
        <v>6</v>
      </c>
      <c r="E8">
        <f t="shared" si="0"/>
        <v>0.12</v>
      </c>
      <c r="F8">
        <f>COUNTIFS(purchase_orders!N8:N507,"Late",purchase_orders!M8:M507,'supplier scoreboard'!A8)</f>
        <v>43</v>
      </c>
      <c r="G8">
        <f>ROUND(SUMIFS(purchase_orders!O8:O507,purchase_orders!M8:M507,'supplier scoreboard'!A8)/'supplier scoreboard'!B8,2)</f>
        <v>0.83</v>
      </c>
    </row>
    <row r="9" spans="1:7">
      <c r="A9" t="str">
        <v>Utah Wholesale</v>
      </c>
      <c r="B9">
        <f>COUNTIF(purchase_orders!M9:M508,'supplier scoreboard'!A9)</f>
        <v>62</v>
      </c>
      <c r="C9" s="2">
        <f>ROUND(SUMIFS(purchase_orders!L9:L508,purchase_orders!M9:M508,'supplier scoreboard'!A9)/B9,2)</f>
        <v>32.76</v>
      </c>
      <c r="D9" s="2">
        <f>COUNTIFS(purchase_orders!N9:N508,"On time",purchase_orders!M9:M508,'supplier scoreboard'!A9)</f>
        <v>11</v>
      </c>
      <c r="E9">
        <f t="shared" si="0"/>
        <v>0.18</v>
      </c>
      <c r="F9">
        <f>COUNTIFS(purchase_orders!N9:N508,"Late",purchase_orders!M9:M508,'supplier scoreboard'!A9)</f>
        <v>51</v>
      </c>
      <c r="G9">
        <f>ROUND(SUMIFS(purchase_orders!O9:O508,purchase_orders!M9:M508,'supplier scoreboard'!A9)/'supplier scoreboard'!B9,2)</f>
        <v>0.86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6C4E3-88F8-461F-85B1-E39CBFCEF5F2}">
  <dimension ref="A1:D24"/>
  <sheetViews>
    <sheetView tabSelected="1" workbookViewId="0">
      <selection activeCell="E12" sqref="E12"/>
    </sheetView>
  </sheetViews>
  <sheetFormatPr defaultRowHeight="15"/>
  <cols>
    <col min="1" max="1" width="15.42578125" bestFit="1" customWidth="1"/>
    <col min="2" max="2" width="23.85546875" bestFit="1" customWidth="1"/>
    <col min="3" max="3" width="13.28515625" customWidth="1"/>
    <col min="4" max="4" width="11.85546875" bestFit="1" customWidth="1"/>
  </cols>
  <sheetData>
    <row r="1" spans="1:4">
      <c r="A1" t="s">
        <v>24</v>
      </c>
      <c r="B1" t="s">
        <v>25</v>
      </c>
      <c r="C1" t="s">
        <v>26</v>
      </c>
      <c r="D1" t="s">
        <v>27</v>
      </c>
    </row>
    <row r="2" spans="1:4">
      <c r="A2">
        <f>SUM(Table3[freight_cost])</f>
        <v>29211.120000000017</v>
      </c>
      <c r="B2">
        <f>ROUND(A2/SUM(Table5[revenue]),2)</f>
        <v>0.04</v>
      </c>
      <c r="C2">
        <f>COUNTA(Table3[shipment_id])</f>
        <v>403</v>
      </c>
      <c r="D2">
        <f>ROUND(A2/SUM(Table3[quantity]),2)</f>
        <v>6.7</v>
      </c>
    </row>
    <row r="6" spans="1:4">
      <c r="A6" s="3" t="s">
        <v>28</v>
      </c>
      <c r="B6" t="s">
        <v>29</v>
      </c>
      <c r="C6" t="s">
        <v>30</v>
      </c>
      <c r="D6" t="s">
        <v>31</v>
      </c>
    </row>
    <row r="7" spans="1:4">
      <c r="A7" t="s">
        <v>32</v>
      </c>
      <c r="B7" s="4">
        <v>6346.9299999999985</v>
      </c>
      <c r="C7" s="4">
        <v>77</v>
      </c>
      <c r="D7">
        <f>ROUND(COUNTIFS(Table3[shipment_status],"Late",Table3[carrier],freight_dashboard!A7)/C7,2)</f>
        <v>0.48</v>
      </c>
    </row>
    <row r="8" spans="1:4">
      <c r="A8" t="s">
        <v>33</v>
      </c>
      <c r="B8" s="4">
        <v>5273.0999999999995</v>
      </c>
      <c r="C8" s="4">
        <v>70</v>
      </c>
      <c r="D8">
        <f>ROUND(COUNTIFS(Table3[shipment_status],"Late",Table3[carrier],freight_dashboard!A8)/C8,2)</f>
        <v>0.41</v>
      </c>
    </row>
    <row r="9" spans="1:4">
      <c r="A9" t="s">
        <v>34</v>
      </c>
      <c r="B9" s="4">
        <v>5142.4199999999992</v>
      </c>
      <c r="C9" s="4">
        <v>70</v>
      </c>
      <c r="D9">
        <f>ROUND(COUNTIFS(Table3[shipment_status],"Late",Table3[carrier],freight_dashboard!A9)/C9,2)</f>
        <v>0.37</v>
      </c>
    </row>
    <row r="10" spans="1:4">
      <c r="A10" t="s">
        <v>35</v>
      </c>
      <c r="B10" s="4">
        <v>4441.0300000000007</v>
      </c>
      <c r="C10" s="4">
        <v>62</v>
      </c>
      <c r="D10">
        <f>ROUND(COUNTIFS(Table3[shipment_status],"Late",Table3[carrier],freight_dashboard!A10)/C10,2)</f>
        <v>0.44</v>
      </c>
    </row>
    <row r="11" spans="1:4">
      <c r="A11" t="s">
        <v>36</v>
      </c>
      <c r="B11" s="4">
        <v>4406.2300000000014</v>
      </c>
      <c r="C11" s="4">
        <v>68</v>
      </c>
      <c r="D11">
        <f>ROUND(COUNTIFS(Table3[shipment_status],"Late",Table3[carrier],freight_dashboard!A11)/C11,2)</f>
        <v>0.37</v>
      </c>
    </row>
    <row r="12" spans="1:4">
      <c r="A12" t="s">
        <v>37</v>
      </c>
      <c r="B12" s="4">
        <v>3601.41</v>
      </c>
      <c r="C12" s="4">
        <v>56</v>
      </c>
      <c r="D12">
        <f>ROUND(COUNTIFS(Table3[shipment_status],"Late",Table3[carrier],freight_dashboard!A12)/C12,2)</f>
        <v>0.36</v>
      </c>
    </row>
    <row r="13" spans="1:4">
      <c r="A13" t="s">
        <v>17</v>
      </c>
      <c r="B13" s="4">
        <v>29211.119999999992</v>
      </c>
      <c r="C13" s="4">
        <v>403</v>
      </c>
    </row>
    <row r="15" spans="1:4">
      <c r="A15" s="3" t="s">
        <v>38</v>
      </c>
      <c r="B15" t="s">
        <v>39</v>
      </c>
    </row>
    <row r="17" spans="1:2">
      <c r="A17" s="3" t="s">
        <v>28</v>
      </c>
      <c r="B17" t="s">
        <v>40</v>
      </c>
    </row>
    <row r="18" spans="1:2">
      <c r="A18" t="s">
        <v>33</v>
      </c>
      <c r="B18" s="4">
        <v>29</v>
      </c>
    </row>
    <row r="19" spans="1:2">
      <c r="A19" t="s">
        <v>32</v>
      </c>
      <c r="B19" s="4">
        <v>37</v>
      </c>
    </row>
    <row r="20" spans="1:2">
      <c r="A20" t="s">
        <v>36</v>
      </c>
      <c r="B20" s="4">
        <v>25</v>
      </c>
    </row>
    <row r="21" spans="1:2">
      <c r="A21" t="s">
        <v>34</v>
      </c>
      <c r="B21" s="4">
        <v>26</v>
      </c>
    </row>
    <row r="22" spans="1:2">
      <c r="A22" t="s">
        <v>37</v>
      </c>
      <c r="B22" s="4">
        <v>20</v>
      </c>
    </row>
    <row r="23" spans="1:2">
      <c r="A23" t="s">
        <v>35</v>
      </c>
      <c r="B23" s="4">
        <v>27</v>
      </c>
    </row>
    <row r="24" spans="1:2">
      <c r="A24" t="s">
        <v>17</v>
      </c>
      <c r="B24" s="4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6703-0E89-435A-8C31-B76B555266DB}">
  <dimension ref="A1:E2"/>
  <sheetViews>
    <sheetView workbookViewId="0">
      <selection activeCell="A2" sqref="A2"/>
    </sheetView>
  </sheetViews>
  <sheetFormatPr defaultRowHeight="15"/>
  <cols>
    <col min="1" max="1" width="14.42578125" bestFit="1" customWidth="1"/>
    <col min="2" max="2" width="14" bestFit="1" customWidth="1"/>
    <col min="3" max="3" width="16.140625" bestFit="1" customWidth="1"/>
    <col min="4" max="4" width="12.7109375" bestFit="1" customWidth="1"/>
    <col min="5" max="5" width="10" customWidth="1"/>
  </cols>
  <sheetData>
    <row r="1" spans="1:5">
      <c r="A1" t="s">
        <v>41</v>
      </c>
      <c r="B1" t="s">
        <v>42</v>
      </c>
      <c r="C1" t="s">
        <v>43</v>
      </c>
      <c r="D1" s="6" t="s">
        <v>44</v>
      </c>
      <c r="E1" s="6" t="s">
        <v>45</v>
      </c>
    </row>
    <row r="2" spans="1:5">
      <c r="A2">
        <f>SUM(inventory!O2:O313)</f>
        <v>6745761.4000000069</v>
      </c>
      <c r="B2">
        <f>SUM(inventory!D2:D313)</f>
        <v>74652</v>
      </c>
      <c r="C2">
        <f>COUNTIF(inventory!P2:P313,"Slow Moving")</f>
        <v>11</v>
      </c>
      <c r="D2">
        <f>COUNTIF(inventory!Q2:Q313,"Reorder")</f>
        <v>4</v>
      </c>
      <c r="E2">
        <f>SUM(inventory!M2:M313)</f>
        <v>63.569999999999986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1731-D337-4FF8-B4F2-962C5100CE12}">
  <dimension ref="A1:E63"/>
  <sheetViews>
    <sheetView workbookViewId="0">
      <selection activeCell="C2" sqref="C2"/>
    </sheetView>
  </sheetViews>
  <sheetFormatPr defaultRowHeight="15"/>
  <cols>
    <col min="1" max="1" width="11.7109375" bestFit="1" customWidth="1"/>
    <col min="2" max="2" width="13.85546875" bestFit="1" customWidth="1"/>
    <col min="3" max="3" width="10" bestFit="1" customWidth="1"/>
    <col min="4" max="4" width="11.42578125" bestFit="1" customWidth="1"/>
    <col min="5" max="5" width="14.85546875" bestFit="1" customWidth="1"/>
  </cols>
  <sheetData>
    <row r="1" spans="1:4">
      <c r="A1" t="s">
        <v>0</v>
      </c>
      <c r="B1" t="s">
        <v>1</v>
      </c>
      <c r="C1" t="s">
        <v>46</v>
      </c>
      <c r="D1" t="s">
        <v>47</v>
      </c>
    </row>
    <row r="2" spans="1:4">
      <c r="A2">
        <f>SUM(order_items!G2:G1109)</f>
        <v>761103.0700000003</v>
      </c>
      <c r="B2">
        <f>COUNT(Table1[order_id])</f>
        <v>450</v>
      </c>
      <c r="C2">
        <f>SUM(Table5[quantity])</f>
        <v>4928</v>
      </c>
      <c r="D2">
        <f>ROUND(SUM(Table5[margin])/A2,2)</f>
        <v>0.87</v>
      </c>
    </row>
    <row r="5" spans="1:4">
      <c r="A5" s="3" t="s">
        <v>48</v>
      </c>
      <c r="B5" t="s">
        <v>49</v>
      </c>
    </row>
    <row r="6" spans="1:4">
      <c r="A6" t="s">
        <v>50</v>
      </c>
      <c r="B6" s="4">
        <v>19301.68</v>
      </c>
    </row>
    <row r="7" spans="1:4">
      <c r="A7" t="s">
        <v>51</v>
      </c>
      <c r="B7" s="4">
        <v>38590.43</v>
      </c>
    </row>
    <row r="8" spans="1:4">
      <c r="A8" t="s">
        <v>52</v>
      </c>
      <c r="B8" s="4">
        <v>34268.249999999993</v>
      </c>
    </row>
    <row r="9" spans="1:4">
      <c r="A9" t="s">
        <v>53</v>
      </c>
      <c r="B9" s="4">
        <v>38340.210000000006</v>
      </c>
    </row>
    <row r="10" spans="1:4">
      <c r="A10" t="s">
        <v>54</v>
      </c>
      <c r="B10" s="4">
        <v>37993.339999999989</v>
      </c>
    </row>
    <row r="11" spans="1:4">
      <c r="A11" t="s">
        <v>55</v>
      </c>
      <c r="B11" s="4">
        <v>30131.87</v>
      </c>
    </row>
    <row r="12" spans="1:4">
      <c r="A12" t="s">
        <v>56</v>
      </c>
      <c r="B12" s="4">
        <v>28983.9</v>
      </c>
    </row>
    <row r="13" spans="1:4">
      <c r="A13" t="s">
        <v>57</v>
      </c>
      <c r="B13" s="4">
        <v>43753.740000000005</v>
      </c>
    </row>
    <row r="14" spans="1:4">
      <c r="A14" t="s">
        <v>58</v>
      </c>
      <c r="B14" s="4">
        <v>39693.390000000007</v>
      </c>
    </row>
    <row r="15" spans="1:4">
      <c r="A15" t="s">
        <v>59</v>
      </c>
      <c r="B15" s="4">
        <v>42958.419999999976</v>
      </c>
    </row>
    <row r="16" spans="1:4">
      <c r="A16" t="s">
        <v>60</v>
      </c>
      <c r="B16" s="4">
        <v>40347.799999999996</v>
      </c>
    </row>
    <row r="17" spans="1:5">
      <c r="A17" t="s">
        <v>61</v>
      </c>
      <c r="B17" s="4">
        <v>48234.270000000011</v>
      </c>
    </row>
    <row r="18" spans="1:5">
      <c r="A18" t="s">
        <v>62</v>
      </c>
      <c r="B18" s="4">
        <v>34618.249999999993</v>
      </c>
    </row>
    <row r="19" spans="1:5">
      <c r="A19" t="s">
        <v>63</v>
      </c>
      <c r="B19" s="4">
        <v>42877.430000000008</v>
      </c>
    </row>
    <row r="20" spans="1:5">
      <c r="A20" t="s">
        <v>64</v>
      </c>
      <c r="B20" s="4">
        <v>50429.930000000015</v>
      </c>
    </row>
    <row r="21" spans="1:5">
      <c r="A21" t="s">
        <v>65</v>
      </c>
      <c r="B21" s="4">
        <v>37011.270000000004</v>
      </c>
    </row>
    <row r="22" spans="1:5">
      <c r="A22" t="s">
        <v>66</v>
      </c>
      <c r="B22" s="4">
        <v>45256.959999999992</v>
      </c>
    </row>
    <row r="23" spans="1:5">
      <c r="A23" t="s">
        <v>67</v>
      </c>
      <c r="B23" s="4">
        <v>42631.62999999999</v>
      </c>
    </row>
    <row r="24" spans="1:5">
      <c r="A24" t="s">
        <v>68</v>
      </c>
      <c r="B24" s="4">
        <v>51661.61</v>
      </c>
    </row>
    <row r="25" spans="1:5">
      <c r="A25" t="s">
        <v>69</v>
      </c>
      <c r="B25" s="4">
        <v>14018.69</v>
      </c>
    </row>
    <row r="26" spans="1:5">
      <c r="A26" t="s">
        <v>17</v>
      </c>
      <c r="B26" s="4">
        <v>761103.07</v>
      </c>
    </row>
    <row r="29" spans="1:5">
      <c r="A29" s="3" t="s">
        <v>70</v>
      </c>
      <c r="B29" t="s">
        <v>49</v>
      </c>
      <c r="D29" s="3" t="s">
        <v>71</v>
      </c>
      <c r="E29" t="s">
        <v>49</v>
      </c>
    </row>
    <row r="30" spans="1:5">
      <c r="A30" t="s">
        <v>72</v>
      </c>
      <c r="B30" s="4">
        <v>291056.77999999985</v>
      </c>
      <c r="D30" t="s">
        <v>73</v>
      </c>
      <c r="E30" s="4">
        <v>18496.349999999999</v>
      </c>
    </row>
    <row r="31" spans="1:5">
      <c r="A31" t="s">
        <v>74</v>
      </c>
      <c r="B31" s="4">
        <v>225306.34999999989</v>
      </c>
      <c r="D31" t="s">
        <v>75</v>
      </c>
      <c r="E31" s="4">
        <v>16567.12</v>
      </c>
    </row>
    <row r="32" spans="1:5">
      <c r="A32" t="s">
        <v>76</v>
      </c>
      <c r="B32" s="4">
        <v>139848.49999999997</v>
      </c>
      <c r="D32" t="s">
        <v>77</v>
      </c>
      <c r="E32" s="4">
        <v>16114.809999999998</v>
      </c>
    </row>
    <row r="33" spans="1:5">
      <c r="A33" t="s">
        <v>78</v>
      </c>
      <c r="B33" s="4">
        <v>104891.43999999994</v>
      </c>
      <c r="D33" t="s">
        <v>79</v>
      </c>
      <c r="E33" s="4">
        <v>14909.789999999997</v>
      </c>
    </row>
    <row r="34" spans="1:5">
      <c r="A34" t="s">
        <v>17</v>
      </c>
      <c r="B34" s="4">
        <v>761103.0699999996</v>
      </c>
      <c r="D34" t="s">
        <v>80</v>
      </c>
      <c r="E34" s="4">
        <v>14400.960000000001</v>
      </c>
    </row>
    <row r="35" spans="1:5">
      <c r="D35" t="s">
        <v>81</v>
      </c>
      <c r="E35" s="4">
        <v>13674.560000000001</v>
      </c>
    </row>
    <row r="36" spans="1:5">
      <c r="D36" t="s">
        <v>82</v>
      </c>
      <c r="E36" s="4">
        <v>13351.150000000001</v>
      </c>
    </row>
    <row r="37" spans="1:5">
      <c r="D37" t="s">
        <v>83</v>
      </c>
      <c r="E37" s="4">
        <v>13076.420000000002</v>
      </c>
    </row>
    <row r="38" spans="1:5">
      <c r="D38" t="s">
        <v>84</v>
      </c>
      <c r="E38" s="4">
        <v>12867.3</v>
      </c>
    </row>
    <row r="39" spans="1:5">
      <c r="D39" t="s">
        <v>85</v>
      </c>
      <c r="E39" s="4">
        <v>12583.640000000001</v>
      </c>
    </row>
    <row r="40" spans="1:5">
      <c r="D40" t="s">
        <v>86</v>
      </c>
      <c r="E40" s="4">
        <v>12566.680000000002</v>
      </c>
    </row>
    <row r="41" spans="1:5">
      <c r="D41" t="s">
        <v>87</v>
      </c>
      <c r="E41" s="4">
        <v>10534.22</v>
      </c>
    </row>
    <row r="42" spans="1:5">
      <c r="D42" t="s">
        <v>88</v>
      </c>
      <c r="E42" s="4">
        <v>10290.84</v>
      </c>
    </row>
    <row r="43" spans="1:5">
      <c r="D43" t="s">
        <v>89</v>
      </c>
      <c r="E43" s="4">
        <v>10254.51</v>
      </c>
    </row>
    <row r="44" spans="1:5">
      <c r="D44" t="s">
        <v>90</v>
      </c>
      <c r="E44" s="4">
        <v>10147.39</v>
      </c>
    </row>
    <row r="45" spans="1:5">
      <c r="D45" t="s">
        <v>91</v>
      </c>
      <c r="E45" s="4">
        <v>9634.61</v>
      </c>
    </row>
    <row r="46" spans="1:5">
      <c r="D46" t="s">
        <v>92</v>
      </c>
      <c r="E46" s="4">
        <v>9390.4500000000007</v>
      </c>
    </row>
    <row r="47" spans="1:5">
      <c r="D47" t="s">
        <v>93</v>
      </c>
      <c r="E47" s="4">
        <v>9301.8999999999978</v>
      </c>
    </row>
    <row r="48" spans="1:5">
      <c r="D48" t="s">
        <v>94</v>
      </c>
      <c r="E48" s="4">
        <v>9060.2199999999993</v>
      </c>
    </row>
    <row r="49" spans="1:5">
      <c r="D49" t="s">
        <v>95</v>
      </c>
      <c r="E49" s="4">
        <v>9051.2800000000007</v>
      </c>
    </row>
    <row r="50" spans="1:5">
      <c r="D50" t="s">
        <v>17</v>
      </c>
      <c r="E50" s="4">
        <v>246274.19999999998</v>
      </c>
    </row>
    <row r="54" spans="1:5">
      <c r="A54" s="3" t="s">
        <v>96</v>
      </c>
      <c r="B54" t="s">
        <v>97</v>
      </c>
    </row>
    <row r="55" spans="1:5">
      <c r="A55" t="s">
        <v>98</v>
      </c>
      <c r="B55" s="4">
        <v>135566.95000000001</v>
      </c>
    </row>
    <row r="56" spans="1:5">
      <c r="A56" t="s">
        <v>99</v>
      </c>
      <c r="B56" s="4">
        <v>115130.85000000008</v>
      </c>
    </row>
    <row r="57" spans="1:5">
      <c r="A57" t="s">
        <v>100</v>
      </c>
      <c r="B57" s="4">
        <v>103806.03000000001</v>
      </c>
    </row>
    <row r="58" spans="1:5">
      <c r="A58" t="s">
        <v>101</v>
      </c>
      <c r="B58" s="4">
        <v>97157.87999999999</v>
      </c>
    </row>
    <row r="59" spans="1:5">
      <c r="A59" t="s">
        <v>102</v>
      </c>
      <c r="B59" s="4">
        <v>74916.839999999953</v>
      </c>
    </row>
    <row r="60" spans="1:5">
      <c r="A60" t="s">
        <v>103</v>
      </c>
      <c r="B60" s="4">
        <v>73893.180000000008</v>
      </c>
    </row>
    <row r="61" spans="1:5">
      <c r="A61" t="s">
        <v>104</v>
      </c>
      <c r="B61" s="4">
        <v>34653.660000000011</v>
      </c>
    </row>
    <row r="62" spans="1:5">
      <c r="A62" t="s">
        <v>105</v>
      </c>
      <c r="B62" s="4">
        <v>28559.71</v>
      </c>
    </row>
    <row r="63" spans="1:5">
      <c r="A63" t="s">
        <v>17</v>
      </c>
      <c r="B63" s="4">
        <v>663685.10000000009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6D58E-65BF-4AF5-985E-E0AD5D27C042}">
  <dimension ref="A1:P21"/>
  <sheetViews>
    <sheetView workbookViewId="0">
      <selection activeCell="D2" sqref="D2"/>
    </sheetView>
  </sheetViews>
  <sheetFormatPr defaultRowHeight="15"/>
  <cols>
    <col min="1" max="1" width="17" bestFit="1" customWidth="1"/>
    <col min="2" max="3" width="13.7109375" bestFit="1" customWidth="1"/>
    <col min="4" max="4" width="13.28515625" customWidth="1"/>
    <col min="5" max="5" width="12.28515625" bestFit="1" customWidth="1"/>
    <col min="6" max="6" width="13.85546875" bestFit="1" customWidth="1"/>
    <col min="7" max="7" width="18.28515625" bestFit="1" customWidth="1"/>
    <col min="10" max="10" width="15.42578125" bestFit="1" customWidth="1"/>
    <col min="11" max="11" width="23.85546875" customWidth="1"/>
    <col min="12" max="12" width="9.28515625" bestFit="1" customWidth="1"/>
    <col min="13" max="13" width="11.7109375" bestFit="1" customWidth="1"/>
    <col min="14" max="14" width="14.85546875" bestFit="1" customWidth="1"/>
    <col min="15" max="15" width="13.85546875" bestFit="1" customWidth="1"/>
    <col min="16" max="16" width="8.5703125" bestFit="1" customWidth="1"/>
  </cols>
  <sheetData>
    <row r="1" spans="1:16">
      <c r="A1" t="s">
        <v>70</v>
      </c>
      <c r="B1" t="s">
        <v>106</v>
      </c>
      <c r="C1" t="s">
        <v>1</v>
      </c>
      <c r="D1" t="s">
        <v>107</v>
      </c>
      <c r="E1" t="s">
        <v>108</v>
      </c>
      <c r="F1" t="s">
        <v>5</v>
      </c>
      <c r="J1" t="s">
        <v>109</v>
      </c>
      <c r="K1" t="s">
        <v>110</v>
      </c>
      <c r="M1" s="3" t="s">
        <v>96</v>
      </c>
      <c r="N1" t="s">
        <v>49</v>
      </c>
      <c r="O1" t="s">
        <v>97</v>
      </c>
      <c r="P1" t="s">
        <v>111</v>
      </c>
    </row>
    <row r="2" spans="1:16">
      <c r="A2" t="str" cm="1">
        <f t="array" ref="A2:A5">_xlfn._xlws.SORT(_xlfn.UNIQUE(customer_orders!D2:D451))</f>
        <v>Amazon</v>
      </c>
      <c r="B2">
        <f>SUMIFS(order_items!G:G,order_items!M:M,sales_by_channel!A2)</f>
        <v>225306.34999999989</v>
      </c>
      <c r="C2" s="2">
        <f>COUNTIFS(customer_orders!D:D,sales_by_channel!A2)</f>
        <v>146</v>
      </c>
      <c r="D2">
        <f>SUMIFS(order_items!P:P,order_items!M:M,sales_by_channel!A2)</f>
        <v>194446.69999999978</v>
      </c>
      <c r="E2">
        <f>ROUND(D2/B2,2)</f>
        <v>0.86</v>
      </c>
      <c r="F2">
        <f>ROUND(SUMIFS(order_items!K:K,order_items!M:M,sales_by_channel!A2)/B2,2)</f>
        <v>0.1</v>
      </c>
      <c r="J2" t="s">
        <v>112</v>
      </c>
      <c r="K2">
        <f>SUM(order_items!G:G)</f>
        <v>761103.0700000003</v>
      </c>
      <c r="M2" t="s">
        <v>98</v>
      </c>
      <c r="N2" s="4">
        <v>150510.4499999999</v>
      </c>
      <c r="O2" s="4">
        <v>135566.95000000001</v>
      </c>
      <c r="P2">
        <f>ROUND(O2/N2,2)</f>
        <v>0.9</v>
      </c>
    </row>
    <row r="3" spans="1:16">
      <c r="A3" t="str">
        <v>Ebay</v>
      </c>
      <c r="B3">
        <f>SUMIFS(order_items!G:G,order_items!M:M,sales_by_channel!A3)</f>
        <v>139848.49999999997</v>
      </c>
      <c r="C3" s="2">
        <f>COUNTIFS(customer_orders!D:D,sales_by_channel!A3)</f>
        <v>76</v>
      </c>
      <c r="D3">
        <f>SUMIFS(order_items!P:P,order_items!M:M,sales_by_channel!A3)</f>
        <v>123005.90000000001</v>
      </c>
      <c r="E3">
        <f t="shared" ref="E3:E5" si="0">ROUND(D3/B3,2)</f>
        <v>0.88</v>
      </c>
      <c r="F3">
        <f>ROUND(SUMIFS(order_items!K:K,order_items!M:M,sales_by_channel!A3)/B3,2)</f>
        <v>0.08</v>
      </c>
      <c r="J3" t="s">
        <v>107</v>
      </c>
      <c r="K3" s="2">
        <f>K2-SUM(order_items!P:P)</f>
        <v>97417.969999999739</v>
      </c>
      <c r="M3" t="s">
        <v>99</v>
      </c>
      <c r="N3" s="4">
        <v>133230.22999999995</v>
      </c>
      <c r="O3" s="4">
        <v>115130.85000000008</v>
      </c>
      <c r="P3">
        <f t="shared" ref="P3:P9" si="1">ROUND(O3/N3,2)</f>
        <v>0.86</v>
      </c>
    </row>
    <row r="4" spans="1:16">
      <c r="A4" t="str">
        <v>Shopify</v>
      </c>
      <c r="B4">
        <f>SUMIFS(order_items!G:G,order_items!M:M,sales_by_channel!A4)</f>
        <v>291056.77999999985</v>
      </c>
      <c r="C4" s="2">
        <f>COUNTIFS(customer_orders!D:D,sales_by_channel!A4)</f>
        <v>160</v>
      </c>
      <c r="D4">
        <f>SUMIFS(order_items!P:P,order_items!M:M,sales_by_channel!A4)</f>
        <v>254569.3900000001</v>
      </c>
      <c r="E4">
        <f t="shared" si="0"/>
        <v>0.87</v>
      </c>
      <c r="F4">
        <f>ROUND(SUMIFS(order_items!K:K,order_items!M:M,sales_by_channel!A4)/B4,2)</f>
        <v>0.09</v>
      </c>
      <c r="J4" t="s">
        <v>1</v>
      </c>
      <c r="K4">
        <f>COUNT(order_items!A:A)</f>
        <v>1108</v>
      </c>
      <c r="M4" t="s">
        <v>100</v>
      </c>
      <c r="N4" s="4">
        <v>117600.34999999993</v>
      </c>
      <c r="O4" s="4">
        <v>103806.03000000001</v>
      </c>
      <c r="P4">
        <f t="shared" si="1"/>
        <v>0.88</v>
      </c>
    </row>
    <row r="5" spans="1:16">
      <c r="A5" t="str">
        <v>Walmart</v>
      </c>
      <c r="B5">
        <f>SUMIFS(order_items!G:G,order_items!M:M,sales_by_channel!A5)</f>
        <v>104891.43999999994</v>
      </c>
      <c r="C5" s="2">
        <f>COUNTIFS(customer_orders!D:D,sales_by_channel!A5)</f>
        <v>68</v>
      </c>
      <c r="D5">
        <f>SUMIFS(order_items!P:P,order_items!M:M,sales_by_channel!A5)</f>
        <v>91663.11</v>
      </c>
      <c r="E5">
        <f t="shared" si="0"/>
        <v>0.87</v>
      </c>
      <c r="F5">
        <f>ROUND(SUMIFS(order_items!K:K,order_items!M:M,sales_by_channel!A5)/B5,2)</f>
        <v>0.11</v>
      </c>
      <c r="J5" t="s">
        <v>3</v>
      </c>
      <c r="K5">
        <f>SUM(products!K2:K154)</f>
        <v>3577292.3100000005</v>
      </c>
      <c r="M5" t="s">
        <v>101</v>
      </c>
      <c r="N5" s="4">
        <v>112945.63</v>
      </c>
      <c r="O5" s="4">
        <v>97157.87999999999</v>
      </c>
      <c r="P5">
        <f t="shared" si="1"/>
        <v>0.86</v>
      </c>
    </row>
    <row r="6" spans="1:16">
      <c r="J6" t="s">
        <v>108</v>
      </c>
      <c r="K6">
        <f>ROUND(K3/K2,2)</f>
        <v>0.13</v>
      </c>
      <c r="M6" t="s">
        <v>102</v>
      </c>
      <c r="N6" s="4">
        <v>89138.160000000018</v>
      </c>
      <c r="O6" s="4">
        <v>74916.839999999953</v>
      </c>
      <c r="P6">
        <f t="shared" si="1"/>
        <v>0.84</v>
      </c>
    </row>
    <row r="7" spans="1:16">
      <c r="J7" t="s">
        <v>5</v>
      </c>
      <c r="K7" s="2">
        <f>ROUND(SUM(shipments!H:H)/K2,2)</f>
        <v>0.04</v>
      </c>
      <c r="M7" t="s">
        <v>103</v>
      </c>
      <c r="N7" s="4">
        <v>86895.830000000016</v>
      </c>
      <c r="O7" s="4">
        <v>73893.180000000008</v>
      </c>
      <c r="P7">
        <f t="shared" si="1"/>
        <v>0.85</v>
      </c>
    </row>
    <row r="8" spans="1:16">
      <c r="J8" t="s">
        <v>113</v>
      </c>
      <c r="K8">
        <f>ROUND(K2/K4,2)</f>
        <v>686.92</v>
      </c>
      <c r="M8" t="s">
        <v>104</v>
      </c>
      <c r="N8" s="4">
        <v>39841.070000000007</v>
      </c>
      <c r="O8" s="4">
        <v>34653.660000000011</v>
      </c>
      <c r="P8">
        <f t="shared" si="1"/>
        <v>0.87</v>
      </c>
    </row>
    <row r="9" spans="1:16">
      <c r="M9" t="s">
        <v>105</v>
      </c>
      <c r="N9" s="4">
        <v>30941.35</v>
      </c>
      <c r="O9" s="4">
        <v>28559.71</v>
      </c>
      <c r="P9">
        <f t="shared" si="1"/>
        <v>0.92</v>
      </c>
    </row>
    <row r="10" spans="1:16">
      <c r="M10" t="s">
        <v>17</v>
      </c>
      <c r="N10" s="4">
        <v>761103.06999999983</v>
      </c>
      <c r="O10" s="4">
        <v>663685.10000000009</v>
      </c>
    </row>
    <row r="11" spans="1:16">
      <c r="J11" s="3" t="s">
        <v>38</v>
      </c>
      <c r="K11" t="s">
        <v>39</v>
      </c>
    </row>
    <row r="13" spans="1:16">
      <c r="A13" t="s">
        <v>18</v>
      </c>
      <c r="B13" t="s">
        <v>114</v>
      </c>
      <c r="D13" t="s">
        <v>115</v>
      </c>
      <c r="E13" t="s">
        <v>116</v>
      </c>
      <c r="F13" s="3" t="s">
        <v>115</v>
      </c>
      <c r="G13" t="s">
        <v>29</v>
      </c>
      <c r="J13" s="3" t="s">
        <v>28</v>
      </c>
      <c r="K13" t="s">
        <v>40</v>
      </c>
    </row>
    <row r="14" spans="1:16">
      <c r="A14" t="str" cm="1">
        <f t="array" ref="A14:A21">_xlfn._xlws.SORT(_xlfn.UNIQUE(suppliers!B2:B9))</f>
        <v>Acme Supply</v>
      </c>
      <c r="B14">
        <f>ROUND(AVERAGEIFS(purchase_orders!L:L,purchase_orders!M:M,sales_by_channel!A14),2)</f>
        <v>36</v>
      </c>
      <c r="D14" t="str" cm="1">
        <f t="array" ref="D14:D19">_xlfn._xlws.SORT(_xlfn.UNIQUE(inventory!C2:C313))</f>
        <v>Draper</v>
      </c>
      <c r="E14">
        <f>SUMIFS(order_items!K:K,order_items!N:N,sales_by_channel!D14)</f>
        <v>14340.120000000003</v>
      </c>
      <c r="F14" t="s">
        <v>117</v>
      </c>
      <c r="G14" s="4">
        <v>17546.470000000005</v>
      </c>
      <c r="J14" t="s">
        <v>33</v>
      </c>
      <c r="K14" s="4">
        <v>29</v>
      </c>
    </row>
    <row r="15" spans="1:16">
      <c r="A15" t="str">
        <v>Blue Ridge</v>
      </c>
      <c r="B15">
        <f>ROUND(AVERAGEIFS(purchase_orders!L:L,purchase_orders!M:M,sales_by_channel!A15),2)</f>
        <v>31.07</v>
      </c>
      <c r="D15" t="str">
        <v>Lehi</v>
      </c>
      <c r="E15">
        <f>SUMIFS(order_items!K:K,order_items!N:N,sales_by_channel!D15)</f>
        <v>8545.2899999999954</v>
      </c>
      <c r="F15" t="s">
        <v>118</v>
      </c>
      <c r="G15" s="4">
        <v>14340.120000000003</v>
      </c>
      <c r="J15" t="s">
        <v>32</v>
      </c>
      <c r="K15" s="4">
        <v>37</v>
      </c>
    </row>
    <row r="16" spans="1:16">
      <c r="A16" t="str">
        <v>Evergreen Imports</v>
      </c>
      <c r="B16">
        <f>ROUND(AVERAGEIFS(purchase_orders!L:L,purchase_orders!M:M,sales_by_channel!A16),2)</f>
        <v>33.99</v>
      </c>
      <c r="D16" t="str">
        <v>Salt Lake City</v>
      </c>
      <c r="E16">
        <f>SUMIFS(order_items!K:K,order_items!N:N,sales_by_channel!D16)</f>
        <v>14259.470000000016</v>
      </c>
      <c r="F16" t="s">
        <v>119</v>
      </c>
      <c r="G16" s="4">
        <v>14259.470000000016</v>
      </c>
      <c r="J16" t="s">
        <v>36</v>
      </c>
      <c r="K16" s="4">
        <v>25</v>
      </c>
    </row>
    <row r="17" spans="1:11">
      <c r="A17" t="str">
        <v>Global Goods</v>
      </c>
      <c r="B17">
        <f>ROUND(AVERAGEIFS(purchase_orders!L:L,purchase_orders!M:M,sales_by_channel!A17),2)</f>
        <v>33.29</v>
      </c>
      <c r="D17" t="str">
        <v>South Jordan</v>
      </c>
      <c r="E17">
        <f>SUMIFS(order_items!K:K,order_items!N:N,sales_by_channel!D17)</f>
        <v>17546.470000000005</v>
      </c>
      <c r="F17" t="s">
        <v>120</v>
      </c>
      <c r="G17" s="4">
        <v>8545.2899999999954</v>
      </c>
      <c r="J17" t="s">
        <v>34</v>
      </c>
      <c r="K17" s="4">
        <v>26</v>
      </c>
    </row>
    <row r="18" spans="1:11">
      <c r="A18" t="str">
        <v>Metro Logistics</v>
      </c>
      <c r="B18">
        <f>ROUND(AVERAGEIFS(purchase_orders!L:L,purchase_orders!M:M,sales_by_channel!A18),2)</f>
        <v>34.58</v>
      </c>
      <c r="D18" t="str">
        <v>Unknown</v>
      </c>
      <c r="E18">
        <f>SUMIFS(order_items!K:K,order_items!N:N,sales_by_channel!D18)</f>
        <v>8340.7200000000012</v>
      </c>
      <c r="F18" t="s">
        <v>121</v>
      </c>
      <c r="G18" s="4">
        <v>8340.7200000000012</v>
      </c>
      <c r="J18" t="s">
        <v>37</v>
      </c>
      <c r="K18" s="4">
        <v>20</v>
      </c>
    </row>
    <row r="19" spans="1:11">
      <c r="A19" t="str">
        <v>PrimeSource</v>
      </c>
      <c r="B19">
        <f>ROUND(AVERAGEIFS(purchase_orders!L:L,purchase_orders!M:M,sales_by_channel!A19),2)</f>
        <v>33.17</v>
      </c>
      <c r="D19" t="str">
        <v>West Valley</v>
      </c>
      <c r="E19">
        <f>SUMIFS(order_items!K:K,order_items!N:N,sales_by_channel!D19)</f>
        <v>7323.34</v>
      </c>
      <c r="F19" t="s">
        <v>122</v>
      </c>
      <c r="G19" s="4">
        <v>7323.34</v>
      </c>
      <c r="J19" t="s">
        <v>35</v>
      </c>
      <c r="K19" s="4">
        <v>27</v>
      </c>
    </row>
    <row r="20" spans="1:11">
      <c r="A20" t="str">
        <v>Summit Trading</v>
      </c>
      <c r="B20">
        <f>ROUND(AVERAGEIFS(purchase_orders!L:L,purchase_orders!M:M,sales_by_channel!A20),2)</f>
        <v>33.21</v>
      </c>
      <c r="F20" t="s">
        <v>17</v>
      </c>
      <c r="G20" s="4">
        <v>70355.410000000018</v>
      </c>
      <c r="J20" t="s">
        <v>17</v>
      </c>
      <c r="K20" s="4">
        <v>164</v>
      </c>
    </row>
    <row r="21" spans="1:11">
      <c r="A21" t="str">
        <v>Utah Wholesale</v>
      </c>
      <c r="B21">
        <f>ROUND(AVERAGEIFS(purchase_orders!L:L,purchase_orders!M:M,sales_by_channel!A21),2)</f>
        <v>34.869999999999997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B9BBD-631A-4870-B41A-1D63EF472BF3}">
  <dimension ref="A1:C8"/>
  <sheetViews>
    <sheetView workbookViewId="0">
      <selection activeCell="F16" sqref="F16"/>
    </sheetView>
  </sheetViews>
  <sheetFormatPr defaultRowHeight="15"/>
  <cols>
    <col min="1" max="1" width="13.85546875" bestFit="1" customWidth="1"/>
    <col min="2" max="2" width="24" bestFit="1" customWidth="1"/>
    <col min="3" max="3" width="11.7109375" bestFit="1" customWidth="1"/>
  </cols>
  <sheetData>
    <row r="1" spans="1:3">
      <c r="A1" s="3" t="s">
        <v>115</v>
      </c>
      <c r="B1" t="s">
        <v>123</v>
      </c>
      <c r="C1" t="s">
        <v>124</v>
      </c>
    </row>
    <row r="2" spans="1:3">
      <c r="A2" t="s">
        <v>118</v>
      </c>
      <c r="B2" s="4">
        <v>13009</v>
      </c>
      <c r="C2">
        <f>COUNTIFS(order_items!N:N,warehouse_inventory_balance!A2)</f>
        <v>240</v>
      </c>
    </row>
    <row r="3" spans="1:3">
      <c r="A3" t="s">
        <v>120</v>
      </c>
      <c r="B3" s="4">
        <v>6885</v>
      </c>
      <c r="C3">
        <f>COUNTIFS(order_items!N:N,warehouse_inventory_balance!A3)</f>
        <v>118</v>
      </c>
    </row>
    <row r="4" spans="1:3">
      <c r="A4" t="s">
        <v>119</v>
      </c>
      <c r="B4" s="4">
        <v>14793</v>
      </c>
      <c r="C4">
        <f>COUNTIFS(order_items!N:N,warehouse_inventory_balance!A4)</f>
        <v>218</v>
      </c>
    </row>
    <row r="5" spans="1:3">
      <c r="A5" t="s">
        <v>117</v>
      </c>
      <c r="B5" s="4">
        <v>20574</v>
      </c>
      <c r="C5">
        <f>COUNTIFS(order_items!N:N,warehouse_inventory_balance!A5)</f>
        <v>297</v>
      </c>
    </row>
    <row r="6" spans="1:3">
      <c r="A6" t="s">
        <v>121</v>
      </c>
      <c r="B6" s="4">
        <v>8923</v>
      </c>
      <c r="C6">
        <f>COUNTIFS(order_items!N:N,warehouse_inventory_balance!A6)</f>
        <v>118</v>
      </c>
    </row>
    <row r="7" spans="1:3">
      <c r="A7" t="s">
        <v>122</v>
      </c>
      <c r="B7" s="4">
        <v>10468</v>
      </c>
      <c r="C7">
        <f>COUNTIFS(order_items!N:N,warehouse_inventory_balance!A7)</f>
        <v>117</v>
      </c>
    </row>
    <row r="8" spans="1:3">
      <c r="A8" t="s">
        <v>17</v>
      </c>
      <c r="B8" s="4">
        <v>74652</v>
      </c>
      <c r="C8">
        <f>COUNTIFS(order_items!N:N,warehouse_inventory_balance!A8)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04AE8-7784-4C03-99DE-759103FDF89A}">
  <dimension ref="A1:B65"/>
  <sheetViews>
    <sheetView workbookViewId="0">
      <selection activeCell="A68" sqref="A68"/>
    </sheetView>
  </sheetViews>
  <sheetFormatPr defaultRowHeight="15"/>
  <cols>
    <col min="1" max="1" width="11.7109375" bestFit="1" customWidth="1"/>
    <col min="2" max="2" width="14.85546875" bestFit="1" customWidth="1"/>
  </cols>
  <sheetData>
    <row r="1" spans="1:2">
      <c r="A1" s="3" t="s">
        <v>48</v>
      </c>
      <c r="B1" t="s">
        <v>49</v>
      </c>
    </row>
    <row r="2" spans="1:2">
      <c r="A2" t="s">
        <v>50</v>
      </c>
      <c r="B2" s="4">
        <v>19301.68</v>
      </c>
    </row>
    <row r="3" spans="1:2">
      <c r="A3" t="s">
        <v>51</v>
      </c>
      <c r="B3" s="4">
        <v>38590.43</v>
      </c>
    </row>
    <row r="4" spans="1:2">
      <c r="A4" t="s">
        <v>52</v>
      </c>
      <c r="B4" s="4">
        <v>34268.249999999993</v>
      </c>
    </row>
    <row r="5" spans="1:2">
      <c r="A5" t="s">
        <v>53</v>
      </c>
      <c r="B5" s="4">
        <v>38340.210000000006</v>
      </c>
    </row>
    <row r="6" spans="1:2">
      <c r="A6" t="s">
        <v>54</v>
      </c>
      <c r="B6" s="4">
        <v>37993.339999999989</v>
      </c>
    </row>
    <row r="7" spans="1:2">
      <c r="A7" t="s">
        <v>55</v>
      </c>
      <c r="B7" s="4">
        <v>30131.87</v>
      </c>
    </row>
    <row r="8" spans="1:2">
      <c r="A8" t="s">
        <v>56</v>
      </c>
      <c r="B8" s="4">
        <v>28983.9</v>
      </c>
    </row>
    <row r="9" spans="1:2">
      <c r="A9" t="s">
        <v>57</v>
      </c>
      <c r="B9" s="4">
        <v>43753.740000000005</v>
      </c>
    </row>
    <row r="10" spans="1:2">
      <c r="A10" t="s">
        <v>58</v>
      </c>
      <c r="B10" s="4">
        <v>39693.390000000007</v>
      </c>
    </row>
    <row r="11" spans="1:2">
      <c r="A11" t="s">
        <v>59</v>
      </c>
      <c r="B11" s="4">
        <v>42958.419999999976</v>
      </c>
    </row>
    <row r="12" spans="1:2">
      <c r="A12" t="s">
        <v>60</v>
      </c>
      <c r="B12" s="4">
        <v>40347.799999999996</v>
      </c>
    </row>
    <row r="13" spans="1:2">
      <c r="A13" t="s">
        <v>61</v>
      </c>
      <c r="B13" s="4">
        <v>48234.270000000011</v>
      </c>
    </row>
    <row r="14" spans="1:2">
      <c r="A14" t="s">
        <v>62</v>
      </c>
      <c r="B14" s="4">
        <v>34618.249999999993</v>
      </c>
    </row>
    <row r="15" spans="1:2">
      <c r="A15" t="s">
        <v>63</v>
      </c>
      <c r="B15" s="4">
        <v>42877.430000000008</v>
      </c>
    </row>
    <row r="16" spans="1:2">
      <c r="A16" t="s">
        <v>64</v>
      </c>
      <c r="B16" s="4">
        <v>50429.930000000015</v>
      </c>
    </row>
    <row r="17" spans="1:2">
      <c r="A17" t="s">
        <v>65</v>
      </c>
      <c r="B17" s="4">
        <v>37011.270000000004</v>
      </c>
    </row>
    <row r="18" spans="1:2">
      <c r="A18" t="s">
        <v>66</v>
      </c>
      <c r="B18" s="4">
        <v>45256.959999999992</v>
      </c>
    </row>
    <row r="19" spans="1:2">
      <c r="A19" t="s">
        <v>67</v>
      </c>
      <c r="B19" s="4">
        <v>42631.62999999999</v>
      </c>
    </row>
    <row r="20" spans="1:2">
      <c r="A20" t="s">
        <v>68</v>
      </c>
      <c r="B20" s="4">
        <v>51661.61</v>
      </c>
    </row>
    <row r="21" spans="1:2">
      <c r="A21" t="s">
        <v>69</v>
      </c>
      <c r="B21" s="4">
        <v>14018.69</v>
      </c>
    </row>
    <row r="22" spans="1:2">
      <c r="A22" t="s">
        <v>17</v>
      </c>
      <c r="B22" s="4">
        <v>761103.07</v>
      </c>
    </row>
    <row r="25" spans="1:2">
      <c r="A25" s="3" t="s">
        <v>70</v>
      </c>
      <c r="B25" t="s">
        <v>49</v>
      </c>
    </row>
    <row r="26" spans="1:2">
      <c r="A26" t="s">
        <v>72</v>
      </c>
      <c r="B26" s="4">
        <v>291056.77999999985</v>
      </c>
    </row>
    <row r="27" spans="1:2">
      <c r="A27" t="s">
        <v>74</v>
      </c>
      <c r="B27" s="4">
        <v>225306.34999999989</v>
      </c>
    </row>
    <row r="28" spans="1:2">
      <c r="A28" t="s">
        <v>76</v>
      </c>
      <c r="B28" s="4">
        <v>139848.49999999997</v>
      </c>
    </row>
    <row r="29" spans="1:2">
      <c r="A29" t="s">
        <v>78</v>
      </c>
      <c r="B29" s="4">
        <v>104891.43999999994</v>
      </c>
    </row>
    <row r="30" spans="1:2">
      <c r="A30" t="s">
        <v>17</v>
      </c>
      <c r="B30" s="4">
        <v>761103.0699999996</v>
      </c>
    </row>
    <row r="44" spans="1:2">
      <c r="A44" s="3" t="s">
        <v>71</v>
      </c>
      <c r="B44" t="s">
        <v>49</v>
      </c>
    </row>
    <row r="45" spans="1:2">
      <c r="A45" t="s">
        <v>73</v>
      </c>
      <c r="B45" s="4">
        <v>18496.349999999999</v>
      </c>
    </row>
    <row r="46" spans="1:2">
      <c r="A46" t="s">
        <v>75</v>
      </c>
      <c r="B46" s="4">
        <v>16567.12</v>
      </c>
    </row>
    <row r="47" spans="1:2">
      <c r="A47" t="s">
        <v>77</v>
      </c>
      <c r="B47" s="4">
        <v>16114.809999999998</v>
      </c>
    </row>
    <row r="48" spans="1:2">
      <c r="A48" t="s">
        <v>79</v>
      </c>
      <c r="B48" s="4">
        <v>14909.789999999997</v>
      </c>
    </row>
    <row r="49" spans="1:2">
      <c r="A49" t="s">
        <v>80</v>
      </c>
      <c r="B49" s="4">
        <v>14400.960000000001</v>
      </c>
    </row>
    <row r="50" spans="1:2">
      <c r="A50" t="s">
        <v>81</v>
      </c>
      <c r="B50" s="4">
        <v>13674.560000000001</v>
      </c>
    </row>
    <row r="51" spans="1:2">
      <c r="A51" t="s">
        <v>82</v>
      </c>
      <c r="B51" s="4">
        <v>13351.150000000001</v>
      </c>
    </row>
    <row r="52" spans="1:2">
      <c r="A52" t="s">
        <v>83</v>
      </c>
      <c r="B52" s="4">
        <v>13076.420000000002</v>
      </c>
    </row>
    <row r="53" spans="1:2">
      <c r="A53" t="s">
        <v>84</v>
      </c>
      <c r="B53" s="4">
        <v>12867.3</v>
      </c>
    </row>
    <row r="54" spans="1:2">
      <c r="A54" t="s">
        <v>85</v>
      </c>
      <c r="B54" s="4">
        <v>12583.640000000001</v>
      </c>
    </row>
    <row r="55" spans="1:2">
      <c r="A55" t="s">
        <v>86</v>
      </c>
      <c r="B55" s="4">
        <v>12566.680000000002</v>
      </c>
    </row>
    <row r="56" spans="1:2">
      <c r="A56" t="s">
        <v>87</v>
      </c>
      <c r="B56" s="4">
        <v>10534.22</v>
      </c>
    </row>
    <row r="57" spans="1:2">
      <c r="A57" t="s">
        <v>88</v>
      </c>
      <c r="B57" s="4">
        <v>10290.84</v>
      </c>
    </row>
    <row r="58" spans="1:2">
      <c r="A58" t="s">
        <v>89</v>
      </c>
      <c r="B58" s="4">
        <v>10254.51</v>
      </c>
    </row>
    <row r="59" spans="1:2">
      <c r="A59" t="s">
        <v>90</v>
      </c>
      <c r="B59" s="4">
        <v>10147.39</v>
      </c>
    </row>
    <row r="60" spans="1:2">
      <c r="A60" t="s">
        <v>91</v>
      </c>
      <c r="B60" s="4">
        <v>9634.61</v>
      </c>
    </row>
    <row r="61" spans="1:2">
      <c r="A61" t="s">
        <v>92</v>
      </c>
      <c r="B61" s="4">
        <v>9390.4500000000007</v>
      </c>
    </row>
    <row r="62" spans="1:2">
      <c r="A62" t="s">
        <v>93</v>
      </c>
      <c r="B62" s="4">
        <v>9301.8999999999978</v>
      </c>
    </row>
    <row r="63" spans="1:2">
      <c r="A63" t="s">
        <v>94</v>
      </c>
      <c r="B63" s="4">
        <v>9060.2199999999993</v>
      </c>
    </row>
    <row r="64" spans="1:2">
      <c r="A64" t="s">
        <v>95</v>
      </c>
      <c r="B64" s="4">
        <v>9051.2800000000007</v>
      </c>
    </row>
    <row r="65" spans="1:2">
      <c r="A65" t="s">
        <v>17</v>
      </c>
      <c r="B65" s="4">
        <v>246274.19999999998</v>
      </c>
    </row>
  </sheetData>
  <pageMargins left="0.7" right="0.7" top="0.75" bottom="0.75" header="0.3" footer="0.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58F8-531E-4207-95B0-A4B0F6741732}">
  <dimension ref="A1:J151"/>
  <sheetViews>
    <sheetView workbookViewId="0">
      <selection activeCell="I22" sqref="I22"/>
    </sheetView>
  </sheetViews>
  <sheetFormatPr defaultRowHeight="15"/>
  <cols>
    <col min="1" max="1" width="9.28515625" bestFit="1" customWidth="1"/>
    <col min="2" max="2" width="13" customWidth="1"/>
    <col min="3" max="3" width="17.28515625" bestFit="1" customWidth="1"/>
    <col min="4" max="4" width="10" bestFit="1" customWidth="1"/>
    <col min="5" max="5" width="16.7109375" bestFit="1" customWidth="1"/>
    <col min="6" max="6" width="14.42578125" bestFit="1" customWidth="1"/>
    <col min="7" max="7" width="9.5703125" bestFit="1" customWidth="1"/>
    <col min="8" max="8" width="13.140625" bestFit="1" customWidth="1"/>
    <col min="9" max="9" width="9.28515625" customWidth="1"/>
    <col min="10" max="10" width="13" bestFit="1" customWidth="1"/>
  </cols>
  <sheetData>
    <row r="1" spans="1:10">
      <c r="A1" t="s">
        <v>11</v>
      </c>
      <c r="B1" s="2" t="s">
        <v>125</v>
      </c>
      <c r="C1" s="2" t="s">
        <v>126</v>
      </c>
      <c r="D1" t="s">
        <v>46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</row>
    <row r="2" spans="1:10">
      <c r="A2" t="str" cm="1">
        <f t="array" ref="A2:A151">_xlfn._xlws.SORT(_xlfn.UNIQUE(order_items!I2:I1109))</f>
        <v>SKU-0001</v>
      </c>
      <c r="B2">
        <f>_xlfn.XLOOKUP(A2,order_items!I:I,order_items!C:C)</f>
        <v>1</v>
      </c>
      <c r="C2">
        <f>_xlfn.XLOOKUP(B2,inventory!B:B,inventory!D:D)</f>
        <v>22</v>
      </c>
      <c r="D2">
        <f>SUMIFS(order_items!D:D,order_items!C:C,reorder_point!B2)</f>
        <v>16</v>
      </c>
      <c r="E2">
        <f>COUNT(customer_orders!A2:A451)</f>
        <v>450</v>
      </c>
      <c r="F2">
        <f>ROUND(D2/E2,2)</f>
        <v>0.04</v>
      </c>
      <c r="G2">
        <f>IFERROR(_xlfn.XLOOKUP(B2,purchase_orders!C:C,purchase_orders!L:L),"")</f>
        <v>40</v>
      </c>
      <c r="H2">
        <f>IFERROR(F2*G2+10,"")</f>
        <v>11.6</v>
      </c>
      <c r="I2" t="str">
        <f>IF(H2="","",IF(C2&lt;H2,"Reorder","OK"))</f>
        <v>OK</v>
      </c>
      <c r="J2" t="b">
        <f>COUNTIF(A2:A151,A2)&gt;1</f>
        <v>0</v>
      </c>
    </row>
    <row r="3" spans="1:10">
      <c r="A3" t="str">
        <v>SKU-0002</v>
      </c>
      <c r="B3">
        <f>_xlfn.XLOOKUP(A3,order_items!I:I,order_items!C:C)</f>
        <v>2</v>
      </c>
      <c r="C3">
        <f>_xlfn.XLOOKUP(B3,inventory!B:B,inventory!D:D)</f>
        <v>405</v>
      </c>
      <c r="D3">
        <f>SUMIFS(order_items!D:D,order_items!C:C,reorder_point!B3)</f>
        <v>37</v>
      </c>
      <c r="E3">
        <f>450</f>
        <v>450</v>
      </c>
      <c r="F3">
        <f t="shared" ref="F3:F66" si="0">ROUND(D3/E3,2)</f>
        <v>0.08</v>
      </c>
      <c r="G3">
        <f>IFERROR(_xlfn.XLOOKUP(B3,purchase_orders!C:C,purchase_orders!L:L),"")</f>
        <v>32</v>
      </c>
      <c r="H3">
        <f t="shared" ref="H3:H66" si="1">IFERROR(F3*G3+10,"")</f>
        <v>12.56</v>
      </c>
      <c r="I3" t="str">
        <f t="shared" ref="I3:I66" si="2">IF(H3="","",IF(C3&lt;H3,"Reorder","OK"))</f>
        <v>OK</v>
      </c>
      <c r="J3" t="b">
        <f t="shared" ref="J3:J66" si="3">COUNTIF(A3:A152,A3)&gt;1</f>
        <v>0</v>
      </c>
    </row>
    <row r="4" spans="1:10">
      <c r="A4" t="str">
        <v>SKU-0003</v>
      </c>
      <c r="B4">
        <f>_xlfn.XLOOKUP(A4,order_items!I:I,order_items!C:C)</f>
        <v>3</v>
      </c>
      <c r="C4">
        <f>_xlfn.XLOOKUP(B4,inventory!B:B,inventory!D:D)</f>
        <v>51</v>
      </c>
      <c r="D4">
        <f>SUMIFS(order_items!D:D,order_items!C:C,reorder_point!B4)</f>
        <v>27</v>
      </c>
      <c r="E4">
        <f>450</f>
        <v>450</v>
      </c>
      <c r="F4">
        <f t="shared" si="0"/>
        <v>0.06</v>
      </c>
      <c r="G4">
        <f>IFERROR(_xlfn.XLOOKUP(B4,purchase_orders!C:C,purchase_orders!L:L),"")</f>
        <v>14</v>
      </c>
      <c r="H4">
        <f t="shared" si="1"/>
        <v>10.84</v>
      </c>
      <c r="I4" t="str">
        <f t="shared" si="2"/>
        <v>OK</v>
      </c>
      <c r="J4" t="b">
        <f t="shared" si="3"/>
        <v>0</v>
      </c>
    </row>
    <row r="5" spans="1:10">
      <c r="A5" t="str">
        <v>SKU-0004</v>
      </c>
      <c r="B5">
        <f>_xlfn.XLOOKUP(A5,order_items!I:I,order_items!C:C)</f>
        <v>4</v>
      </c>
      <c r="C5">
        <f>_xlfn.XLOOKUP(B5,inventory!B:B,inventory!D:D)</f>
        <v>209</v>
      </c>
      <c r="D5">
        <f>SUMIFS(order_items!D:D,order_items!C:C,reorder_point!B5)</f>
        <v>67</v>
      </c>
      <c r="E5">
        <f>450</f>
        <v>450</v>
      </c>
      <c r="F5">
        <f t="shared" si="0"/>
        <v>0.15</v>
      </c>
      <c r="G5">
        <f>IFERROR(_xlfn.XLOOKUP(B5,purchase_orders!C:C,purchase_orders!L:L),"")</f>
        <v>38</v>
      </c>
      <c r="H5">
        <f t="shared" si="1"/>
        <v>15.7</v>
      </c>
      <c r="I5" t="str">
        <f t="shared" si="2"/>
        <v>OK</v>
      </c>
      <c r="J5" t="b">
        <f t="shared" si="3"/>
        <v>0</v>
      </c>
    </row>
    <row r="6" spans="1:10">
      <c r="A6" t="str">
        <v>SKU-0005</v>
      </c>
      <c r="B6">
        <f>_xlfn.XLOOKUP(A6,order_items!I:I,order_items!C:C)</f>
        <v>5</v>
      </c>
      <c r="C6">
        <f>_xlfn.XLOOKUP(B6,inventory!B:B,inventory!D:D)</f>
        <v>400</v>
      </c>
      <c r="D6">
        <f>SUMIFS(order_items!D:D,order_items!C:C,reorder_point!B6)</f>
        <v>16</v>
      </c>
      <c r="E6">
        <f>450</f>
        <v>450</v>
      </c>
      <c r="F6">
        <f t="shared" si="0"/>
        <v>0.04</v>
      </c>
      <c r="G6">
        <f>IFERROR(_xlfn.XLOOKUP(B6,purchase_orders!C:C,purchase_orders!L:L),"")</f>
        <v>27</v>
      </c>
      <c r="H6">
        <f t="shared" si="1"/>
        <v>11.08</v>
      </c>
      <c r="I6" t="str">
        <f t="shared" si="2"/>
        <v>OK</v>
      </c>
      <c r="J6" t="b">
        <f t="shared" si="3"/>
        <v>0</v>
      </c>
    </row>
    <row r="7" spans="1:10">
      <c r="A7" t="str">
        <v>SKU-0006</v>
      </c>
      <c r="B7">
        <f>_xlfn.XLOOKUP(A7,order_items!I:I,order_items!C:C)</f>
        <v>6</v>
      </c>
      <c r="C7">
        <f>_xlfn.XLOOKUP(B7,inventory!B:B,inventory!D:D)</f>
        <v>168</v>
      </c>
      <c r="D7">
        <f>SUMIFS(order_items!D:D,order_items!C:C,reorder_point!B7)</f>
        <v>51</v>
      </c>
      <c r="E7">
        <f>450</f>
        <v>450</v>
      </c>
      <c r="F7">
        <f t="shared" si="0"/>
        <v>0.11</v>
      </c>
      <c r="G7">
        <f>IFERROR(_xlfn.XLOOKUP(B7,purchase_orders!C:C,purchase_orders!L:L),"")</f>
        <v>22</v>
      </c>
      <c r="H7">
        <f t="shared" si="1"/>
        <v>12.42</v>
      </c>
      <c r="I7" t="str">
        <f t="shared" si="2"/>
        <v>OK</v>
      </c>
      <c r="J7" t="b">
        <f t="shared" si="3"/>
        <v>0</v>
      </c>
    </row>
    <row r="8" spans="1:10">
      <c r="A8" t="str">
        <v>SKU-0007</v>
      </c>
      <c r="B8">
        <f>_xlfn.XLOOKUP(A8,order_items!I:I,order_items!C:C)</f>
        <v>7</v>
      </c>
      <c r="C8">
        <f>_xlfn.XLOOKUP(B8,inventory!B:B,inventory!D:D)</f>
        <v>316</v>
      </c>
      <c r="D8">
        <f>SUMIFS(order_items!D:D,order_items!C:C,reorder_point!B8)</f>
        <v>26</v>
      </c>
      <c r="E8">
        <f>450</f>
        <v>450</v>
      </c>
      <c r="F8">
        <f t="shared" si="0"/>
        <v>0.06</v>
      </c>
      <c r="G8">
        <f>IFERROR(_xlfn.XLOOKUP(B8,purchase_orders!C:C,purchase_orders!L:L),"")</f>
        <v>58</v>
      </c>
      <c r="H8">
        <f t="shared" si="1"/>
        <v>13.48</v>
      </c>
      <c r="I8" t="str">
        <f t="shared" si="2"/>
        <v>OK</v>
      </c>
      <c r="J8" t="b">
        <f t="shared" si="3"/>
        <v>0</v>
      </c>
    </row>
    <row r="9" spans="1:10">
      <c r="A9" t="str">
        <v>SKU-0008</v>
      </c>
      <c r="B9">
        <f>_xlfn.XLOOKUP(A9,order_items!I:I,order_items!C:C)</f>
        <v>8</v>
      </c>
      <c r="C9">
        <f>_xlfn.XLOOKUP(B9,inventory!B:B,inventory!D:D)</f>
        <v>389</v>
      </c>
      <c r="D9">
        <f>SUMIFS(order_items!D:D,order_items!C:C,reorder_point!B9)</f>
        <v>61</v>
      </c>
      <c r="E9">
        <f>450</f>
        <v>450</v>
      </c>
      <c r="F9">
        <f t="shared" si="0"/>
        <v>0.14000000000000001</v>
      </c>
      <c r="G9">
        <f>IFERROR(_xlfn.XLOOKUP(B9,purchase_orders!C:C,purchase_orders!L:L),"")</f>
        <v>43</v>
      </c>
      <c r="H9">
        <f t="shared" si="1"/>
        <v>16.02</v>
      </c>
      <c r="I9" t="str">
        <f t="shared" si="2"/>
        <v>OK</v>
      </c>
      <c r="J9" t="b">
        <f t="shared" si="3"/>
        <v>0</v>
      </c>
    </row>
    <row r="10" spans="1:10">
      <c r="A10" t="str">
        <v>SKU-0009</v>
      </c>
      <c r="B10">
        <f>_xlfn.XLOOKUP(A10,order_items!I:I,order_items!C:C)</f>
        <v>9</v>
      </c>
      <c r="C10">
        <f>_xlfn.XLOOKUP(B10,inventory!B:B,inventory!D:D)</f>
        <v>183</v>
      </c>
      <c r="D10">
        <f>SUMIFS(order_items!D:D,order_items!C:C,reorder_point!B10)</f>
        <v>31</v>
      </c>
      <c r="E10">
        <f>450</f>
        <v>450</v>
      </c>
      <c r="F10">
        <f t="shared" si="0"/>
        <v>7.0000000000000007E-2</v>
      </c>
      <c r="G10">
        <f>IFERROR(_xlfn.XLOOKUP(B10,purchase_orders!C:C,purchase_orders!L:L),"")</f>
        <v>54</v>
      </c>
      <c r="H10">
        <f t="shared" si="1"/>
        <v>13.780000000000001</v>
      </c>
      <c r="I10" t="str">
        <f t="shared" si="2"/>
        <v>OK</v>
      </c>
      <c r="J10" t="b">
        <f t="shared" si="3"/>
        <v>0</v>
      </c>
    </row>
    <row r="11" spans="1:10">
      <c r="A11" t="str">
        <v>SKU-0010</v>
      </c>
      <c r="B11">
        <f>_xlfn.XLOOKUP(A11,order_items!I:I,order_items!C:C)</f>
        <v>10</v>
      </c>
      <c r="C11">
        <f>_xlfn.XLOOKUP(B11,inventory!B:B,inventory!D:D)</f>
        <v>40</v>
      </c>
      <c r="D11">
        <f>SUMIFS(order_items!D:D,order_items!C:C,reorder_point!B11)</f>
        <v>19</v>
      </c>
      <c r="E11">
        <f>450</f>
        <v>450</v>
      </c>
      <c r="F11">
        <f t="shared" si="0"/>
        <v>0.04</v>
      </c>
      <c r="G11">
        <f>IFERROR(_xlfn.XLOOKUP(B11,purchase_orders!C:C,purchase_orders!L:L),"")</f>
        <v>16</v>
      </c>
      <c r="H11">
        <f t="shared" si="1"/>
        <v>10.64</v>
      </c>
      <c r="I11" t="str">
        <f t="shared" si="2"/>
        <v>OK</v>
      </c>
      <c r="J11" t="b">
        <f t="shared" si="3"/>
        <v>0</v>
      </c>
    </row>
    <row r="12" spans="1:10">
      <c r="A12" t="str">
        <v>SKU-0011</v>
      </c>
      <c r="B12">
        <f>_xlfn.XLOOKUP(A12,order_items!I:I,order_items!C:C)</f>
        <v>11</v>
      </c>
      <c r="C12">
        <f>_xlfn.XLOOKUP(B12,inventory!B:B,inventory!D:D)</f>
        <v>130</v>
      </c>
      <c r="D12">
        <f>SUMIFS(order_items!D:D,order_items!C:C,reorder_point!B12)</f>
        <v>3</v>
      </c>
      <c r="E12">
        <f>450</f>
        <v>450</v>
      </c>
      <c r="F12">
        <f t="shared" si="0"/>
        <v>0.01</v>
      </c>
      <c r="G12">
        <f>IFERROR(_xlfn.XLOOKUP(B12,purchase_orders!C:C,purchase_orders!L:L),"")</f>
        <v>48</v>
      </c>
      <c r="H12">
        <f t="shared" si="1"/>
        <v>10.48</v>
      </c>
      <c r="I12" t="str">
        <f t="shared" si="2"/>
        <v>OK</v>
      </c>
      <c r="J12" t="b">
        <f t="shared" si="3"/>
        <v>0</v>
      </c>
    </row>
    <row r="13" spans="1:10">
      <c r="A13" t="str">
        <v>SKU-0012</v>
      </c>
      <c r="B13">
        <f>_xlfn.XLOOKUP(A13,order_items!I:I,order_items!C:C)</f>
        <v>12</v>
      </c>
      <c r="C13">
        <f>_xlfn.XLOOKUP(B13,inventory!B:B,inventory!D:D)</f>
        <v>226</v>
      </c>
      <c r="D13">
        <f>SUMIFS(order_items!D:D,order_items!C:C,reorder_point!B13)</f>
        <v>19</v>
      </c>
      <c r="E13">
        <f>450</f>
        <v>450</v>
      </c>
      <c r="F13">
        <f t="shared" si="0"/>
        <v>0.04</v>
      </c>
      <c r="G13">
        <f>IFERROR(_xlfn.XLOOKUP(B13,purchase_orders!C:C,purchase_orders!L:L),"")</f>
        <v>21</v>
      </c>
      <c r="H13">
        <f t="shared" si="1"/>
        <v>10.84</v>
      </c>
      <c r="I13" t="str">
        <f t="shared" si="2"/>
        <v>OK</v>
      </c>
      <c r="J13" t="b">
        <f t="shared" si="3"/>
        <v>0</v>
      </c>
    </row>
    <row r="14" spans="1:10">
      <c r="A14" t="str">
        <v>SKU-0013</v>
      </c>
      <c r="B14">
        <f>_xlfn.XLOOKUP(A14,order_items!I:I,order_items!C:C)</f>
        <v>13</v>
      </c>
      <c r="C14">
        <f>_xlfn.XLOOKUP(B14,inventory!B:B,inventory!D:D)</f>
        <v>436</v>
      </c>
      <c r="D14">
        <f>SUMIFS(order_items!D:D,order_items!C:C,reorder_point!B14)</f>
        <v>34</v>
      </c>
      <c r="E14">
        <f>450</f>
        <v>450</v>
      </c>
      <c r="F14">
        <f t="shared" si="0"/>
        <v>0.08</v>
      </c>
      <c r="G14">
        <f>IFERROR(_xlfn.XLOOKUP(B14,purchase_orders!C:C,purchase_orders!L:L),"")</f>
        <v>33</v>
      </c>
      <c r="H14">
        <f t="shared" si="1"/>
        <v>12.64</v>
      </c>
      <c r="I14" t="str">
        <f t="shared" si="2"/>
        <v>OK</v>
      </c>
      <c r="J14" t="b">
        <f t="shared" si="3"/>
        <v>0</v>
      </c>
    </row>
    <row r="15" spans="1:10">
      <c r="A15" t="str">
        <v>SKU-0014</v>
      </c>
      <c r="B15">
        <f>_xlfn.XLOOKUP(A15,order_items!I:I,order_items!C:C)</f>
        <v>14</v>
      </c>
      <c r="C15">
        <f>_xlfn.XLOOKUP(B15,inventory!B:B,inventory!D:D)</f>
        <v>500</v>
      </c>
      <c r="D15">
        <f>SUMIFS(order_items!D:D,order_items!C:C,reorder_point!B15)</f>
        <v>33</v>
      </c>
      <c r="E15">
        <f>450</f>
        <v>450</v>
      </c>
      <c r="F15">
        <f t="shared" si="0"/>
        <v>7.0000000000000007E-2</v>
      </c>
      <c r="G15">
        <f>IFERROR(_xlfn.XLOOKUP(B15,purchase_orders!C:C,purchase_orders!L:L),"")</f>
        <v>41</v>
      </c>
      <c r="H15">
        <f t="shared" si="1"/>
        <v>12.870000000000001</v>
      </c>
      <c r="I15" t="str">
        <f t="shared" si="2"/>
        <v>OK</v>
      </c>
      <c r="J15" t="b">
        <f t="shared" si="3"/>
        <v>0</v>
      </c>
    </row>
    <row r="16" spans="1:10">
      <c r="A16" t="str">
        <v>SKU-0015</v>
      </c>
      <c r="B16">
        <f>_xlfn.XLOOKUP(A16,order_items!I:I,order_items!C:C)</f>
        <v>15</v>
      </c>
      <c r="C16">
        <f>_xlfn.XLOOKUP(B16,inventory!B:B,inventory!D:D)</f>
        <v>409</v>
      </c>
      <c r="D16">
        <f>SUMIFS(order_items!D:D,order_items!C:C,reorder_point!B16)</f>
        <v>24</v>
      </c>
      <c r="E16">
        <f>450</f>
        <v>450</v>
      </c>
      <c r="F16">
        <f t="shared" si="0"/>
        <v>0.05</v>
      </c>
      <c r="G16">
        <f>IFERROR(_xlfn.XLOOKUP(B16,purchase_orders!C:C,purchase_orders!L:L),"")</f>
        <v>22</v>
      </c>
      <c r="H16">
        <f t="shared" si="1"/>
        <v>11.1</v>
      </c>
      <c r="I16" t="str">
        <f t="shared" si="2"/>
        <v>OK</v>
      </c>
      <c r="J16" t="b">
        <f t="shared" si="3"/>
        <v>0</v>
      </c>
    </row>
    <row r="17" spans="1:10">
      <c r="A17" t="str">
        <v>SKU-0016</v>
      </c>
      <c r="B17">
        <f>_xlfn.XLOOKUP(A17,order_items!I:I,order_items!C:C)</f>
        <v>16</v>
      </c>
      <c r="C17">
        <f>_xlfn.XLOOKUP(B17,inventory!B:B,inventory!D:D)</f>
        <v>330</v>
      </c>
      <c r="D17">
        <f>SUMIFS(order_items!D:D,order_items!C:C,reorder_point!B17)</f>
        <v>38</v>
      </c>
      <c r="E17">
        <f>450</f>
        <v>450</v>
      </c>
      <c r="F17">
        <f t="shared" si="0"/>
        <v>0.08</v>
      </c>
      <c r="G17">
        <f>IFERROR(_xlfn.XLOOKUP(B17,purchase_orders!C:C,purchase_orders!L:L),"")</f>
        <v>15</v>
      </c>
      <c r="H17">
        <f t="shared" si="1"/>
        <v>11.2</v>
      </c>
      <c r="I17" t="str">
        <f t="shared" si="2"/>
        <v>OK</v>
      </c>
      <c r="J17" t="b">
        <f t="shared" si="3"/>
        <v>0</v>
      </c>
    </row>
    <row r="18" spans="1:10">
      <c r="A18" t="str">
        <v>SKU-0017</v>
      </c>
      <c r="B18">
        <f>_xlfn.XLOOKUP(A18,order_items!I:I,order_items!C:C)</f>
        <v>17</v>
      </c>
      <c r="C18">
        <f>_xlfn.XLOOKUP(B18,inventory!B:B,inventory!D:D)</f>
        <v>89</v>
      </c>
      <c r="D18">
        <f>SUMIFS(order_items!D:D,order_items!C:C,reorder_point!B18)</f>
        <v>42</v>
      </c>
      <c r="E18">
        <f>450</f>
        <v>450</v>
      </c>
      <c r="F18">
        <f t="shared" si="0"/>
        <v>0.09</v>
      </c>
      <c r="G18">
        <f>IFERROR(_xlfn.XLOOKUP(B18,purchase_orders!C:C,purchase_orders!L:L),"")</f>
        <v>41</v>
      </c>
      <c r="H18">
        <f t="shared" si="1"/>
        <v>13.69</v>
      </c>
      <c r="I18" t="str">
        <f t="shared" si="2"/>
        <v>OK</v>
      </c>
      <c r="J18" t="b">
        <f t="shared" si="3"/>
        <v>0</v>
      </c>
    </row>
    <row r="19" spans="1:10">
      <c r="A19" t="str">
        <v>SKU-0018</v>
      </c>
      <c r="B19">
        <f>_xlfn.XLOOKUP(A19,order_items!I:I,order_items!C:C)</f>
        <v>18</v>
      </c>
      <c r="C19">
        <f>_xlfn.XLOOKUP(B19,inventory!B:B,inventory!D:D)</f>
        <v>84</v>
      </c>
      <c r="D19">
        <f>SUMIFS(order_items!D:D,order_items!C:C,reorder_point!B19)</f>
        <v>22</v>
      </c>
      <c r="E19">
        <f>450</f>
        <v>450</v>
      </c>
      <c r="F19">
        <f t="shared" si="0"/>
        <v>0.05</v>
      </c>
      <c r="G19">
        <f>IFERROR(_xlfn.XLOOKUP(B19,purchase_orders!C:C,purchase_orders!L:L),"")</f>
        <v>48</v>
      </c>
      <c r="H19">
        <f t="shared" si="1"/>
        <v>12.4</v>
      </c>
      <c r="I19" t="str">
        <f t="shared" si="2"/>
        <v>OK</v>
      </c>
      <c r="J19" t="b">
        <f t="shared" si="3"/>
        <v>0</v>
      </c>
    </row>
    <row r="20" spans="1:10">
      <c r="A20" t="str">
        <v>SKU-0019</v>
      </c>
      <c r="B20">
        <f>_xlfn.XLOOKUP(A20,order_items!I:I,order_items!C:C)</f>
        <v>19</v>
      </c>
      <c r="C20">
        <f>_xlfn.XLOOKUP(B20,inventory!B:B,inventory!D:D)</f>
        <v>493</v>
      </c>
      <c r="D20">
        <f>SUMIFS(order_items!D:D,order_items!C:C,reorder_point!B20)</f>
        <v>34</v>
      </c>
      <c r="E20">
        <f>450</f>
        <v>450</v>
      </c>
      <c r="F20">
        <f t="shared" si="0"/>
        <v>0.08</v>
      </c>
      <c r="G20">
        <f>IFERROR(_xlfn.XLOOKUP(B20,purchase_orders!C:C,purchase_orders!L:L),"")</f>
        <v>35</v>
      </c>
      <c r="H20">
        <f t="shared" si="1"/>
        <v>12.8</v>
      </c>
      <c r="I20" t="str">
        <f t="shared" si="2"/>
        <v>OK</v>
      </c>
      <c r="J20" t="b">
        <f t="shared" si="3"/>
        <v>0</v>
      </c>
    </row>
    <row r="21" spans="1:10">
      <c r="A21" t="str">
        <v>SKU-0020</v>
      </c>
      <c r="B21">
        <f>_xlfn.XLOOKUP(A21,order_items!I:I,order_items!C:C)</f>
        <v>20</v>
      </c>
      <c r="C21">
        <f>_xlfn.XLOOKUP(B21,inventory!B:B,inventory!D:D)</f>
        <v>495</v>
      </c>
      <c r="D21">
        <f>SUMIFS(order_items!D:D,order_items!C:C,reorder_point!B21)</f>
        <v>27</v>
      </c>
      <c r="E21">
        <f>450</f>
        <v>450</v>
      </c>
      <c r="F21">
        <f t="shared" si="0"/>
        <v>0.06</v>
      </c>
      <c r="G21">
        <f>IFERROR(_xlfn.XLOOKUP(B21,purchase_orders!C:C,purchase_orders!L:L),"")</f>
        <v>16</v>
      </c>
      <c r="H21">
        <f t="shared" si="1"/>
        <v>10.96</v>
      </c>
      <c r="I21" t="str">
        <f t="shared" si="2"/>
        <v>OK</v>
      </c>
      <c r="J21" t="b">
        <f t="shared" si="3"/>
        <v>0</v>
      </c>
    </row>
    <row r="22" spans="1:10">
      <c r="A22" t="str">
        <v>SKU-0021</v>
      </c>
      <c r="B22">
        <f>_xlfn.XLOOKUP(A22,order_items!I:I,order_items!C:C)</f>
        <v>21</v>
      </c>
      <c r="C22">
        <f>_xlfn.XLOOKUP(B22,inventory!B:B,inventory!D:D)</f>
        <v>7</v>
      </c>
      <c r="D22">
        <f>SUMIFS(order_items!D:D,order_items!C:C,reorder_point!B22)</f>
        <v>26</v>
      </c>
      <c r="E22">
        <f>450</f>
        <v>450</v>
      </c>
      <c r="F22">
        <f t="shared" si="0"/>
        <v>0.06</v>
      </c>
      <c r="G22">
        <f>IFERROR(_xlfn.XLOOKUP(B22,purchase_orders!C:C,purchase_orders!L:L),"")</f>
        <v>21</v>
      </c>
      <c r="H22">
        <f t="shared" si="1"/>
        <v>11.26</v>
      </c>
      <c r="I22" t="str">
        <f t="shared" si="2"/>
        <v>Reorder</v>
      </c>
      <c r="J22" t="b">
        <f t="shared" si="3"/>
        <v>0</v>
      </c>
    </row>
    <row r="23" spans="1:10">
      <c r="A23" t="str">
        <v>SKU-0022</v>
      </c>
      <c r="B23">
        <f>_xlfn.XLOOKUP(A23,order_items!I:I,order_items!C:C)</f>
        <v>22</v>
      </c>
      <c r="C23">
        <f>_xlfn.XLOOKUP(B23,inventory!B:B,inventory!D:D)</f>
        <v>326</v>
      </c>
      <c r="D23">
        <f>SUMIFS(order_items!D:D,order_items!C:C,reorder_point!B23)</f>
        <v>57</v>
      </c>
      <c r="E23">
        <f>450</f>
        <v>450</v>
      </c>
      <c r="F23">
        <f t="shared" si="0"/>
        <v>0.13</v>
      </c>
      <c r="G23" t="str">
        <f>IFERROR(_xlfn.XLOOKUP(B23,purchase_orders!C:C,purchase_orders!L:L),"")</f>
        <v/>
      </c>
      <c r="H23" t="str">
        <f t="shared" si="1"/>
        <v/>
      </c>
      <c r="I23" t="str">
        <f t="shared" si="2"/>
        <v/>
      </c>
      <c r="J23" t="b">
        <f t="shared" si="3"/>
        <v>0</v>
      </c>
    </row>
    <row r="24" spans="1:10">
      <c r="A24" t="str">
        <v>SKU-0023</v>
      </c>
      <c r="B24">
        <f>_xlfn.XLOOKUP(A24,order_items!I:I,order_items!C:C)</f>
        <v>23</v>
      </c>
      <c r="C24">
        <f>_xlfn.XLOOKUP(B24,inventory!B:B,inventory!D:D)</f>
        <v>325</v>
      </c>
      <c r="D24">
        <f>SUMIFS(order_items!D:D,order_items!C:C,reorder_point!B24)</f>
        <v>23</v>
      </c>
      <c r="E24">
        <f>450</f>
        <v>450</v>
      </c>
      <c r="F24">
        <f t="shared" si="0"/>
        <v>0.05</v>
      </c>
      <c r="G24">
        <f>IFERROR(_xlfn.XLOOKUP(B24,purchase_orders!C:C,purchase_orders!L:L),"")</f>
        <v>40</v>
      </c>
      <c r="H24">
        <f t="shared" si="1"/>
        <v>12</v>
      </c>
      <c r="I24" t="str">
        <f t="shared" si="2"/>
        <v>OK</v>
      </c>
      <c r="J24" t="b">
        <f t="shared" si="3"/>
        <v>0</v>
      </c>
    </row>
    <row r="25" spans="1:10">
      <c r="A25" t="str">
        <v>SKU-0024</v>
      </c>
      <c r="B25">
        <f>_xlfn.XLOOKUP(A25,order_items!I:I,order_items!C:C)</f>
        <v>24</v>
      </c>
      <c r="C25">
        <f>_xlfn.XLOOKUP(B25,inventory!B:B,inventory!D:D)</f>
        <v>23</v>
      </c>
      <c r="D25">
        <f>SUMIFS(order_items!D:D,order_items!C:C,reorder_point!B25)</f>
        <v>49</v>
      </c>
      <c r="E25">
        <f>450</f>
        <v>450</v>
      </c>
      <c r="F25">
        <f t="shared" si="0"/>
        <v>0.11</v>
      </c>
      <c r="G25">
        <f>IFERROR(_xlfn.XLOOKUP(B25,purchase_orders!C:C,purchase_orders!L:L),"")</f>
        <v>25</v>
      </c>
      <c r="H25">
        <f t="shared" si="1"/>
        <v>12.75</v>
      </c>
      <c r="I25" t="str">
        <f t="shared" si="2"/>
        <v>OK</v>
      </c>
      <c r="J25" t="b">
        <f t="shared" si="3"/>
        <v>0</v>
      </c>
    </row>
    <row r="26" spans="1:10">
      <c r="A26" t="str">
        <v>SKU-0025</v>
      </c>
      <c r="B26">
        <f>_xlfn.XLOOKUP(A26,order_items!I:I,order_items!C:C)</f>
        <v>25</v>
      </c>
      <c r="C26">
        <f>_xlfn.XLOOKUP(B26,inventory!B:B,inventory!D:D)</f>
        <v>120</v>
      </c>
      <c r="D26">
        <f>SUMIFS(order_items!D:D,order_items!C:C,reorder_point!B26)</f>
        <v>32</v>
      </c>
      <c r="E26">
        <f>450</f>
        <v>450</v>
      </c>
      <c r="F26">
        <f t="shared" si="0"/>
        <v>7.0000000000000007E-2</v>
      </c>
      <c r="G26">
        <f>IFERROR(_xlfn.XLOOKUP(B26,purchase_orders!C:C,purchase_orders!L:L),"")</f>
        <v>51</v>
      </c>
      <c r="H26">
        <f t="shared" si="1"/>
        <v>13.57</v>
      </c>
      <c r="I26" t="str">
        <f t="shared" si="2"/>
        <v>OK</v>
      </c>
      <c r="J26" t="b">
        <f t="shared" si="3"/>
        <v>0</v>
      </c>
    </row>
    <row r="27" spans="1:10">
      <c r="A27" t="str">
        <v>SKU-0026</v>
      </c>
      <c r="B27">
        <f>_xlfn.XLOOKUP(A27,order_items!I:I,order_items!C:C)</f>
        <v>26</v>
      </c>
      <c r="C27">
        <f>_xlfn.XLOOKUP(B27,inventory!B:B,inventory!D:D)</f>
        <v>380</v>
      </c>
      <c r="D27">
        <f>SUMIFS(order_items!D:D,order_items!C:C,reorder_point!B27)</f>
        <v>6</v>
      </c>
      <c r="E27">
        <f>450</f>
        <v>450</v>
      </c>
      <c r="F27">
        <f t="shared" si="0"/>
        <v>0.01</v>
      </c>
      <c r="G27">
        <f>IFERROR(_xlfn.XLOOKUP(B27,purchase_orders!C:C,purchase_orders!L:L),"")</f>
        <v>39</v>
      </c>
      <c r="H27">
        <f t="shared" si="1"/>
        <v>10.39</v>
      </c>
      <c r="I27" t="str">
        <f t="shared" si="2"/>
        <v>OK</v>
      </c>
      <c r="J27" t="b">
        <f t="shared" si="3"/>
        <v>0</v>
      </c>
    </row>
    <row r="28" spans="1:10">
      <c r="A28" t="str">
        <v>SKU-0027</v>
      </c>
      <c r="B28">
        <f>_xlfn.XLOOKUP(A28,order_items!I:I,order_items!C:C)</f>
        <v>27</v>
      </c>
      <c r="C28">
        <f>_xlfn.XLOOKUP(B28,inventory!B:B,inventory!D:D)</f>
        <v>111</v>
      </c>
      <c r="D28">
        <f>SUMIFS(order_items!D:D,order_items!C:C,reorder_point!B28)</f>
        <v>31</v>
      </c>
      <c r="E28">
        <f>450</f>
        <v>450</v>
      </c>
      <c r="F28">
        <f t="shared" si="0"/>
        <v>7.0000000000000007E-2</v>
      </c>
      <c r="G28">
        <f>IFERROR(_xlfn.XLOOKUP(B28,purchase_orders!C:C,purchase_orders!L:L),"")</f>
        <v>20</v>
      </c>
      <c r="H28">
        <f t="shared" si="1"/>
        <v>11.4</v>
      </c>
      <c r="I28" t="str">
        <f t="shared" si="2"/>
        <v>OK</v>
      </c>
      <c r="J28" t="b">
        <f t="shared" si="3"/>
        <v>0</v>
      </c>
    </row>
    <row r="29" spans="1:10">
      <c r="A29" t="str">
        <v>SKU-0028</v>
      </c>
      <c r="B29">
        <f>_xlfn.XLOOKUP(A29,order_items!I:I,order_items!C:C)</f>
        <v>28</v>
      </c>
      <c r="C29">
        <f>_xlfn.XLOOKUP(B29,inventory!B:B,inventory!D:D)</f>
        <v>203</v>
      </c>
      <c r="D29">
        <f>SUMIFS(order_items!D:D,order_items!C:C,reorder_point!B29)</f>
        <v>36</v>
      </c>
      <c r="E29">
        <f>450</f>
        <v>450</v>
      </c>
      <c r="F29">
        <f t="shared" si="0"/>
        <v>0.08</v>
      </c>
      <c r="G29">
        <f>IFERROR(_xlfn.XLOOKUP(B29,purchase_orders!C:C,purchase_orders!L:L),"")</f>
        <v>46</v>
      </c>
      <c r="H29">
        <f t="shared" si="1"/>
        <v>13.68</v>
      </c>
      <c r="I29" t="str">
        <f t="shared" si="2"/>
        <v>OK</v>
      </c>
      <c r="J29" t="b">
        <f t="shared" si="3"/>
        <v>0</v>
      </c>
    </row>
    <row r="30" spans="1:10">
      <c r="A30" t="str">
        <v>SKU-0029</v>
      </c>
      <c r="B30">
        <f>_xlfn.XLOOKUP(A30,order_items!I:I,order_items!C:C)</f>
        <v>29</v>
      </c>
      <c r="C30">
        <f>_xlfn.XLOOKUP(B30,inventory!B:B,inventory!D:D)</f>
        <v>170</v>
      </c>
      <c r="D30">
        <f>SUMIFS(order_items!D:D,order_items!C:C,reorder_point!B30)</f>
        <v>42</v>
      </c>
      <c r="E30">
        <f>450</f>
        <v>450</v>
      </c>
      <c r="F30">
        <f t="shared" si="0"/>
        <v>0.09</v>
      </c>
      <c r="G30">
        <f>IFERROR(_xlfn.XLOOKUP(B30,purchase_orders!C:C,purchase_orders!L:L),"")</f>
        <v>34</v>
      </c>
      <c r="H30">
        <f t="shared" si="1"/>
        <v>13.06</v>
      </c>
      <c r="I30" t="str">
        <f t="shared" si="2"/>
        <v>OK</v>
      </c>
      <c r="J30" t="b">
        <f t="shared" si="3"/>
        <v>0</v>
      </c>
    </row>
    <row r="31" spans="1:10">
      <c r="A31" t="str">
        <v>SKU-0030</v>
      </c>
      <c r="B31">
        <f>_xlfn.XLOOKUP(A31,order_items!I:I,order_items!C:C)</f>
        <v>30</v>
      </c>
      <c r="C31">
        <f>_xlfn.XLOOKUP(B31,inventory!B:B,inventory!D:D)</f>
        <v>396</v>
      </c>
      <c r="D31">
        <f>SUMIFS(order_items!D:D,order_items!C:C,reorder_point!B31)</f>
        <v>20</v>
      </c>
      <c r="E31">
        <f>450</f>
        <v>450</v>
      </c>
      <c r="F31">
        <f t="shared" si="0"/>
        <v>0.04</v>
      </c>
      <c r="G31">
        <f>IFERROR(_xlfn.XLOOKUP(B31,purchase_orders!C:C,purchase_orders!L:L),"")</f>
        <v>27</v>
      </c>
      <c r="H31">
        <f t="shared" si="1"/>
        <v>11.08</v>
      </c>
      <c r="I31" t="str">
        <f t="shared" si="2"/>
        <v>OK</v>
      </c>
      <c r="J31" t="b">
        <f t="shared" si="3"/>
        <v>0</v>
      </c>
    </row>
    <row r="32" spans="1:10">
      <c r="A32" t="str">
        <v>SKU-0031</v>
      </c>
      <c r="B32">
        <f>_xlfn.XLOOKUP(A32,order_items!I:I,order_items!C:C)</f>
        <v>31</v>
      </c>
      <c r="C32">
        <f>_xlfn.XLOOKUP(B32,inventory!B:B,inventory!D:D)</f>
        <v>0</v>
      </c>
      <c r="D32">
        <f>SUMIFS(order_items!D:D,order_items!C:C,reorder_point!B32)</f>
        <v>15</v>
      </c>
      <c r="E32">
        <f>450</f>
        <v>450</v>
      </c>
      <c r="F32">
        <f t="shared" si="0"/>
        <v>0.03</v>
      </c>
      <c r="G32" t="str">
        <f>IFERROR(_xlfn.XLOOKUP(B32,purchase_orders!C:C,purchase_orders!L:L),"")</f>
        <v/>
      </c>
      <c r="H32" t="str">
        <f t="shared" si="1"/>
        <v/>
      </c>
      <c r="I32" t="str">
        <f t="shared" si="2"/>
        <v/>
      </c>
      <c r="J32" t="b">
        <f t="shared" si="3"/>
        <v>0</v>
      </c>
    </row>
    <row r="33" spans="1:10">
      <c r="A33" t="str">
        <v>SKU-0032</v>
      </c>
      <c r="B33">
        <f>_xlfn.XLOOKUP(A33,order_items!I:I,order_items!C:C)</f>
        <v>32</v>
      </c>
      <c r="C33">
        <f>_xlfn.XLOOKUP(B33,inventory!B:B,inventory!D:D)</f>
        <v>135</v>
      </c>
      <c r="D33">
        <f>SUMIFS(order_items!D:D,order_items!C:C,reorder_point!B33)</f>
        <v>23</v>
      </c>
      <c r="E33">
        <f>450</f>
        <v>450</v>
      </c>
      <c r="F33">
        <f t="shared" si="0"/>
        <v>0.05</v>
      </c>
      <c r="G33">
        <f>IFERROR(_xlfn.XLOOKUP(B33,purchase_orders!C:C,purchase_orders!L:L),"")</f>
        <v>30</v>
      </c>
      <c r="H33">
        <f t="shared" si="1"/>
        <v>11.5</v>
      </c>
      <c r="I33" t="str">
        <f t="shared" si="2"/>
        <v>OK</v>
      </c>
      <c r="J33" t="b">
        <f t="shared" si="3"/>
        <v>0</v>
      </c>
    </row>
    <row r="34" spans="1:10">
      <c r="A34" t="str">
        <v>SKU-0033</v>
      </c>
      <c r="B34">
        <f>_xlfn.XLOOKUP(A34,order_items!I:I,order_items!C:C)</f>
        <v>33</v>
      </c>
      <c r="C34">
        <f>_xlfn.XLOOKUP(B34,inventory!B:B,inventory!D:D)</f>
        <v>229</v>
      </c>
      <c r="D34">
        <f>SUMIFS(order_items!D:D,order_items!C:C,reorder_point!B34)</f>
        <v>22</v>
      </c>
      <c r="E34">
        <f>450</f>
        <v>450</v>
      </c>
      <c r="F34">
        <f t="shared" si="0"/>
        <v>0.05</v>
      </c>
      <c r="G34" t="str">
        <f>IFERROR(_xlfn.XLOOKUP(B34,purchase_orders!C:C,purchase_orders!L:L),"")</f>
        <v/>
      </c>
      <c r="H34" t="str">
        <f t="shared" si="1"/>
        <v/>
      </c>
      <c r="I34" t="str">
        <f t="shared" si="2"/>
        <v/>
      </c>
      <c r="J34" t="b">
        <f t="shared" si="3"/>
        <v>0</v>
      </c>
    </row>
    <row r="35" spans="1:10">
      <c r="A35" t="str">
        <v>SKU-0034</v>
      </c>
      <c r="B35">
        <f>_xlfn.XLOOKUP(A35,order_items!I:I,order_items!C:C)</f>
        <v>34</v>
      </c>
      <c r="C35">
        <f>_xlfn.XLOOKUP(B35,inventory!B:B,inventory!D:D)</f>
        <v>113</v>
      </c>
      <c r="D35">
        <f>SUMIFS(order_items!D:D,order_items!C:C,reorder_point!B35)</f>
        <v>29</v>
      </c>
      <c r="E35">
        <f>450</f>
        <v>450</v>
      </c>
      <c r="F35">
        <f t="shared" si="0"/>
        <v>0.06</v>
      </c>
      <c r="G35">
        <f>IFERROR(_xlfn.XLOOKUP(B35,purchase_orders!C:C,purchase_orders!L:L),"")</f>
        <v>44</v>
      </c>
      <c r="H35">
        <f t="shared" si="1"/>
        <v>12.64</v>
      </c>
      <c r="I35" t="str">
        <f t="shared" si="2"/>
        <v>OK</v>
      </c>
      <c r="J35" t="b">
        <f t="shared" si="3"/>
        <v>0</v>
      </c>
    </row>
    <row r="36" spans="1:10">
      <c r="A36" t="str">
        <v>SKU-0035</v>
      </c>
      <c r="B36">
        <f>_xlfn.XLOOKUP(A36,order_items!I:I,order_items!C:C)</f>
        <v>35</v>
      </c>
      <c r="C36">
        <f>_xlfn.XLOOKUP(B36,inventory!B:B,inventory!D:D)</f>
        <v>433</v>
      </c>
      <c r="D36">
        <f>SUMIFS(order_items!D:D,order_items!C:C,reorder_point!B36)</f>
        <v>61</v>
      </c>
      <c r="E36">
        <f>450</f>
        <v>450</v>
      </c>
      <c r="F36">
        <f t="shared" si="0"/>
        <v>0.14000000000000001</v>
      </c>
      <c r="G36">
        <f>IFERROR(_xlfn.XLOOKUP(B36,purchase_orders!C:C,purchase_orders!L:L),"")</f>
        <v>29</v>
      </c>
      <c r="H36">
        <f t="shared" si="1"/>
        <v>14.06</v>
      </c>
      <c r="I36" t="str">
        <f t="shared" si="2"/>
        <v>OK</v>
      </c>
      <c r="J36" t="b">
        <f t="shared" si="3"/>
        <v>0</v>
      </c>
    </row>
    <row r="37" spans="1:10">
      <c r="A37" t="str">
        <v>SKU-0036</v>
      </c>
      <c r="B37">
        <f>_xlfn.XLOOKUP(A37,order_items!I:I,order_items!C:C)</f>
        <v>36</v>
      </c>
      <c r="C37">
        <f>_xlfn.XLOOKUP(B37,inventory!B:B,inventory!D:D)</f>
        <v>64</v>
      </c>
      <c r="D37">
        <f>SUMIFS(order_items!D:D,order_items!C:C,reorder_point!B37)</f>
        <v>38</v>
      </c>
      <c r="E37">
        <f>450</f>
        <v>450</v>
      </c>
      <c r="F37">
        <f t="shared" si="0"/>
        <v>0.08</v>
      </c>
      <c r="G37">
        <f>IFERROR(_xlfn.XLOOKUP(B37,purchase_orders!C:C,purchase_orders!L:L),"")</f>
        <v>24</v>
      </c>
      <c r="H37">
        <f t="shared" si="1"/>
        <v>11.92</v>
      </c>
      <c r="I37" t="str">
        <f t="shared" si="2"/>
        <v>OK</v>
      </c>
      <c r="J37" t="b">
        <f t="shared" si="3"/>
        <v>0</v>
      </c>
    </row>
    <row r="38" spans="1:10">
      <c r="A38" t="str">
        <v>SKU0037</v>
      </c>
      <c r="B38">
        <f>_xlfn.XLOOKUP(A38,order_items!I:I,order_items!C:C)</f>
        <v>37</v>
      </c>
      <c r="C38">
        <f>_xlfn.XLOOKUP(B38,inventory!B:B,inventory!D:D)</f>
        <v>232</v>
      </c>
      <c r="D38">
        <f>SUMIFS(order_items!D:D,order_items!C:C,reorder_point!B38)</f>
        <v>24</v>
      </c>
      <c r="E38">
        <f>450</f>
        <v>450</v>
      </c>
      <c r="F38">
        <f t="shared" si="0"/>
        <v>0.05</v>
      </c>
      <c r="G38">
        <f>IFERROR(_xlfn.XLOOKUP(B38,purchase_orders!C:C,purchase_orders!L:L),"")</f>
        <v>59</v>
      </c>
      <c r="H38">
        <f t="shared" si="1"/>
        <v>12.95</v>
      </c>
      <c r="I38" t="str">
        <f t="shared" si="2"/>
        <v>OK</v>
      </c>
      <c r="J38" t="b">
        <f t="shared" si="3"/>
        <v>0</v>
      </c>
    </row>
    <row r="39" spans="1:10">
      <c r="A39" t="str">
        <v>SKU-0038</v>
      </c>
      <c r="B39">
        <f>_xlfn.XLOOKUP(A39,order_items!I:I,order_items!C:C)</f>
        <v>38</v>
      </c>
      <c r="C39">
        <f>_xlfn.XLOOKUP(B39,inventory!B:B,inventory!D:D)</f>
        <v>231</v>
      </c>
      <c r="D39">
        <f>SUMIFS(order_items!D:D,order_items!C:C,reorder_point!B39)</f>
        <v>33</v>
      </c>
      <c r="E39">
        <f>450</f>
        <v>450</v>
      </c>
      <c r="F39">
        <f t="shared" si="0"/>
        <v>7.0000000000000007E-2</v>
      </c>
      <c r="G39">
        <f>IFERROR(_xlfn.XLOOKUP(B39,purchase_orders!C:C,purchase_orders!L:L),"")</f>
        <v>20</v>
      </c>
      <c r="H39">
        <f t="shared" si="1"/>
        <v>11.4</v>
      </c>
      <c r="I39" t="str">
        <f t="shared" si="2"/>
        <v>OK</v>
      </c>
      <c r="J39" t="b">
        <f t="shared" si="3"/>
        <v>0</v>
      </c>
    </row>
    <row r="40" spans="1:10">
      <c r="A40" t="str">
        <v>SKU-0039</v>
      </c>
      <c r="B40">
        <f>_xlfn.XLOOKUP(A40,order_items!I:I,order_items!C:C)</f>
        <v>39</v>
      </c>
      <c r="C40">
        <f>_xlfn.XLOOKUP(B40,inventory!B:B,inventory!D:D)</f>
        <v>191</v>
      </c>
      <c r="D40">
        <f>SUMIFS(order_items!D:D,order_items!C:C,reorder_point!B40)</f>
        <v>46</v>
      </c>
      <c r="E40">
        <f>450</f>
        <v>450</v>
      </c>
      <c r="F40">
        <f t="shared" si="0"/>
        <v>0.1</v>
      </c>
      <c r="G40">
        <f>IFERROR(_xlfn.XLOOKUP(B40,purchase_orders!C:C,purchase_orders!L:L),"")</f>
        <v>55</v>
      </c>
      <c r="H40">
        <f t="shared" si="1"/>
        <v>15.5</v>
      </c>
      <c r="I40" t="str">
        <f t="shared" si="2"/>
        <v>OK</v>
      </c>
      <c r="J40" t="b">
        <f t="shared" si="3"/>
        <v>0</v>
      </c>
    </row>
    <row r="41" spans="1:10">
      <c r="A41" t="str">
        <v>SKU-0040</v>
      </c>
      <c r="B41">
        <f>_xlfn.XLOOKUP(A41,order_items!I:I,order_items!C:C)</f>
        <v>40</v>
      </c>
      <c r="C41">
        <f>_xlfn.XLOOKUP(B41,inventory!B:B,inventory!D:D)</f>
        <v>221</v>
      </c>
      <c r="D41">
        <f>SUMIFS(order_items!D:D,order_items!C:C,reorder_point!B41)</f>
        <v>42</v>
      </c>
      <c r="E41">
        <f>450</f>
        <v>450</v>
      </c>
      <c r="F41">
        <f t="shared" si="0"/>
        <v>0.09</v>
      </c>
      <c r="G41">
        <f>IFERROR(_xlfn.XLOOKUP(B41,purchase_orders!C:C,purchase_orders!L:L),"")</f>
        <v>16</v>
      </c>
      <c r="H41">
        <f t="shared" si="1"/>
        <v>11.44</v>
      </c>
      <c r="I41" t="str">
        <f t="shared" si="2"/>
        <v>OK</v>
      </c>
      <c r="J41" t="b">
        <f t="shared" si="3"/>
        <v>0</v>
      </c>
    </row>
    <row r="42" spans="1:10">
      <c r="A42" t="str">
        <v>SKU-0041</v>
      </c>
      <c r="B42">
        <f>_xlfn.XLOOKUP(A42,order_items!I:I,order_items!C:C)</f>
        <v>41</v>
      </c>
      <c r="C42">
        <f>_xlfn.XLOOKUP(B42,inventory!B:B,inventory!D:D)</f>
        <v>300</v>
      </c>
      <c r="D42">
        <f>SUMIFS(order_items!D:D,order_items!C:C,reorder_point!B42)</f>
        <v>9</v>
      </c>
      <c r="E42">
        <f>450</f>
        <v>450</v>
      </c>
      <c r="F42">
        <f t="shared" si="0"/>
        <v>0.02</v>
      </c>
      <c r="G42" t="str">
        <f>IFERROR(_xlfn.XLOOKUP(B42,purchase_orders!C:C,purchase_orders!L:L),"")</f>
        <v/>
      </c>
      <c r="H42" t="str">
        <f t="shared" si="1"/>
        <v/>
      </c>
      <c r="I42" t="str">
        <f t="shared" si="2"/>
        <v/>
      </c>
      <c r="J42" t="b">
        <f t="shared" si="3"/>
        <v>0</v>
      </c>
    </row>
    <row r="43" spans="1:10">
      <c r="A43" t="str">
        <v>SKU-0042</v>
      </c>
      <c r="B43">
        <f>_xlfn.XLOOKUP(A43,order_items!I:I,order_items!C:C)</f>
        <v>42</v>
      </c>
      <c r="C43">
        <f>_xlfn.XLOOKUP(B43,inventory!B:B,inventory!D:D)</f>
        <v>495</v>
      </c>
      <c r="D43">
        <f>SUMIFS(order_items!D:D,order_items!C:C,reorder_point!B43)</f>
        <v>22</v>
      </c>
      <c r="E43">
        <f>450</f>
        <v>450</v>
      </c>
      <c r="F43">
        <f t="shared" si="0"/>
        <v>0.05</v>
      </c>
      <c r="G43">
        <f>IFERROR(_xlfn.XLOOKUP(B43,purchase_orders!C:C,purchase_orders!L:L),"")</f>
        <v>49</v>
      </c>
      <c r="H43">
        <f t="shared" si="1"/>
        <v>12.45</v>
      </c>
      <c r="I43" t="str">
        <f t="shared" si="2"/>
        <v>OK</v>
      </c>
      <c r="J43" t="b">
        <f t="shared" si="3"/>
        <v>0</v>
      </c>
    </row>
    <row r="44" spans="1:10">
      <c r="A44" t="str">
        <v>SKU-0043</v>
      </c>
      <c r="B44">
        <f>_xlfn.XLOOKUP(A44,order_items!I:I,order_items!C:C)</f>
        <v>43</v>
      </c>
      <c r="C44">
        <f>_xlfn.XLOOKUP(B44,inventory!B:B,inventory!D:D)</f>
        <v>336</v>
      </c>
      <c r="D44">
        <f>SUMIFS(order_items!D:D,order_items!C:C,reorder_point!B44)</f>
        <v>54</v>
      </c>
      <c r="E44">
        <f>450</f>
        <v>450</v>
      </c>
      <c r="F44">
        <f t="shared" si="0"/>
        <v>0.12</v>
      </c>
      <c r="G44">
        <f>IFERROR(_xlfn.XLOOKUP(B44,purchase_orders!C:C,purchase_orders!L:L),"")</f>
        <v>45</v>
      </c>
      <c r="H44">
        <f t="shared" si="1"/>
        <v>15.399999999999999</v>
      </c>
      <c r="I44" t="str">
        <f t="shared" si="2"/>
        <v>OK</v>
      </c>
      <c r="J44" t="b">
        <f t="shared" si="3"/>
        <v>0</v>
      </c>
    </row>
    <row r="45" spans="1:10">
      <c r="A45" t="str">
        <v>SKU-0044</v>
      </c>
      <c r="B45">
        <f>_xlfn.XLOOKUP(A45,order_items!I:I,order_items!C:C)</f>
        <v>44</v>
      </c>
      <c r="C45">
        <f>_xlfn.XLOOKUP(B45,inventory!B:B,inventory!D:D)</f>
        <v>432</v>
      </c>
      <c r="D45">
        <f>SUMIFS(order_items!D:D,order_items!C:C,reorder_point!B45)</f>
        <v>20</v>
      </c>
      <c r="E45">
        <f>450</f>
        <v>450</v>
      </c>
      <c r="F45">
        <f t="shared" si="0"/>
        <v>0.04</v>
      </c>
      <c r="G45">
        <f>IFERROR(_xlfn.XLOOKUP(B45,purchase_orders!C:C,purchase_orders!L:L),"")</f>
        <v>27</v>
      </c>
      <c r="H45">
        <f t="shared" si="1"/>
        <v>11.08</v>
      </c>
      <c r="I45" t="str">
        <f t="shared" si="2"/>
        <v>OK</v>
      </c>
      <c r="J45" t="b">
        <f t="shared" si="3"/>
        <v>0</v>
      </c>
    </row>
    <row r="46" spans="1:10">
      <c r="A46" t="str">
        <v>SKU-0045</v>
      </c>
      <c r="B46">
        <f>_xlfn.XLOOKUP(A46,order_items!I:I,order_items!C:C)</f>
        <v>45</v>
      </c>
      <c r="C46">
        <f>_xlfn.XLOOKUP(B46,inventory!B:B,inventory!D:D)</f>
        <v>432</v>
      </c>
      <c r="D46">
        <f>SUMIFS(order_items!D:D,order_items!C:C,reorder_point!B46)</f>
        <v>40</v>
      </c>
      <c r="E46">
        <f>450</f>
        <v>450</v>
      </c>
      <c r="F46">
        <f t="shared" si="0"/>
        <v>0.09</v>
      </c>
      <c r="G46">
        <f>IFERROR(_xlfn.XLOOKUP(B46,purchase_orders!C:C,purchase_orders!L:L),"")</f>
        <v>54</v>
      </c>
      <c r="H46">
        <f t="shared" si="1"/>
        <v>14.86</v>
      </c>
      <c r="I46" t="str">
        <f t="shared" si="2"/>
        <v>OK</v>
      </c>
      <c r="J46" t="b">
        <f t="shared" si="3"/>
        <v>0</v>
      </c>
    </row>
    <row r="47" spans="1:10">
      <c r="A47" t="str">
        <v>SKU-0046</v>
      </c>
      <c r="B47">
        <f>_xlfn.XLOOKUP(A47,order_items!I:I,order_items!C:C)</f>
        <v>46</v>
      </c>
      <c r="C47">
        <f>_xlfn.XLOOKUP(B47,inventory!B:B,inventory!D:D)</f>
        <v>475</v>
      </c>
      <c r="D47">
        <f>SUMIFS(order_items!D:D,order_items!C:C,reorder_point!B47)</f>
        <v>44</v>
      </c>
      <c r="E47">
        <f>450</f>
        <v>450</v>
      </c>
      <c r="F47">
        <f t="shared" si="0"/>
        <v>0.1</v>
      </c>
      <c r="G47">
        <f>IFERROR(_xlfn.XLOOKUP(B47,purchase_orders!C:C,purchase_orders!L:L),"")</f>
        <v>41</v>
      </c>
      <c r="H47">
        <f t="shared" si="1"/>
        <v>14.100000000000001</v>
      </c>
      <c r="I47" t="str">
        <f t="shared" si="2"/>
        <v>OK</v>
      </c>
      <c r="J47" t="b">
        <f t="shared" si="3"/>
        <v>0</v>
      </c>
    </row>
    <row r="48" spans="1:10">
      <c r="A48" t="str">
        <v>SKU-0047</v>
      </c>
      <c r="B48">
        <f>_xlfn.XLOOKUP(A48,order_items!I:I,order_items!C:C)</f>
        <v>47</v>
      </c>
      <c r="C48">
        <f>_xlfn.XLOOKUP(B48,inventory!B:B,inventory!D:D)</f>
        <v>445</v>
      </c>
      <c r="D48">
        <f>SUMIFS(order_items!D:D,order_items!C:C,reorder_point!B48)</f>
        <v>47</v>
      </c>
      <c r="E48">
        <f>450</f>
        <v>450</v>
      </c>
      <c r="F48">
        <f t="shared" si="0"/>
        <v>0.1</v>
      </c>
      <c r="G48" t="str">
        <f>IFERROR(_xlfn.XLOOKUP(B48,purchase_orders!C:C,purchase_orders!L:L),"")</f>
        <v/>
      </c>
      <c r="H48" t="str">
        <f t="shared" si="1"/>
        <v/>
      </c>
      <c r="I48" t="str">
        <f t="shared" si="2"/>
        <v/>
      </c>
      <c r="J48" t="b">
        <f t="shared" si="3"/>
        <v>0</v>
      </c>
    </row>
    <row r="49" spans="1:10">
      <c r="A49" t="str">
        <v>SKU-0048</v>
      </c>
      <c r="B49">
        <f>_xlfn.XLOOKUP(A49,order_items!I:I,order_items!C:C)</f>
        <v>48</v>
      </c>
      <c r="C49">
        <f>_xlfn.XLOOKUP(B49,inventory!B:B,inventory!D:D)</f>
        <v>271</v>
      </c>
      <c r="D49">
        <f>SUMIFS(order_items!D:D,order_items!C:C,reorder_point!B49)</f>
        <v>43</v>
      </c>
      <c r="E49">
        <f>450</f>
        <v>450</v>
      </c>
      <c r="F49">
        <f t="shared" si="0"/>
        <v>0.1</v>
      </c>
      <c r="G49">
        <f>IFERROR(_xlfn.XLOOKUP(B49,purchase_orders!C:C,purchase_orders!L:L),"")</f>
        <v>38</v>
      </c>
      <c r="H49">
        <f t="shared" si="1"/>
        <v>13.8</v>
      </c>
      <c r="I49" t="str">
        <f t="shared" si="2"/>
        <v>OK</v>
      </c>
      <c r="J49" t="b">
        <f t="shared" si="3"/>
        <v>0</v>
      </c>
    </row>
    <row r="50" spans="1:10">
      <c r="A50" t="str">
        <v>SKU-0049</v>
      </c>
      <c r="B50">
        <f>_xlfn.XLOOKUP(A50,order_items!I:I,order_items!C:C)</f>
        <v>49</v>
      </c>
      <c r="C50">
        <f>_xlfn.XLOOKUP(B50,inventory!B:B,inventory!D:D)</f>
        <v>80</v>
      </c>
      <c r="D50">
        <f>SUMIFS(order_items!D:D,order_items!C:C,reorder_point!B50)</f>
        <v>18</v>
      </c>
      <c r="E50">
        <f>450</f>
        <v>450</v>
      </c>
      <c r="F50">
        <f t="shared" si="0"/>
        <v>0.04</v>
      </c>
      <c r="G50">
        <f>IFERROR(_xlfn.XLOOKUP(B50,purchase_orders!C:C,purchase_orders!L:L),"")</f>
        <v>18</v>
      </c>
      <c r="H50">
        <f t="shared" si="1"/>
        <v>10.72</v>
      </c>
      <c r="I50" t="str">
        <f t="shared" si="2"/>
        <v>OK</v>
      </c>
      <c r="J50" t="b">
        <f t="shared" si="3"/>
        <v>0</v>
      </c>
    </row>
    <row r="51" spans="1:10">
      <c r="A51" t="str">
        <v>SKU-0050</v>
      </c>
      <c r="B51">
        <f>_xlfn.XLOOKUP(A51,order_items!I:I,order_items!C:C)</f>
        <v>50</v>
      </c>
      <c r="C51">
        <f>_xlfn.XLOOKUP(B51,inventory!B:B,inventory!D:D)</f>
        <v>110</v>
      </c>
      <c r="D51">
        <f>SUMIFS(order_items!D:D,order_items!C:C,reorder_point!B51)</f>
        <v>26</v>
      </c>
      <c r="E51">
        <f>450</f>
        <v>450</v>
      </c>
      <c r="F51">
        <f t="shared" si="0"/>
        <v>0.06</v>
      </c>
      <c r="G51">
        <f>IFERROR(_xlfn.XLOOKUP(B51,purchase_orders!C:C,purchase_orders!L:L),"")</f>
        <v>45</v>
      </c>
      <c r="H51">
        <f t="shared" si="1"/>
        <v>12.7</v>
      </c>
      <c r="I51" t="str">
        <f t="shared" si="2"/>
        <v>OK</v>
      </c>
      <c r="J51" t="b">
        <f t="shared" si="3"/>
        <v>0</v>
      </c>
    </row>
    <row r="52" spans="1:10">
      <c r="A52" t="str">
        <v>SKU-0051</v>
      </c>
      <c r="B52">
        <f>_xlfn.XLOOKUP(A52,order_items!I:I,order_items!C:C)</f>
        <v>51</v>
      </c>
      <c r="C52">
        <f>_xlfn.XLOOKUP(B52,inventory!B:B,inventory!D:D)</f>
        <v>112</v>
      </c>
      <c r="D52">
        <f>SUMIFS(order_items!D:D,order_items!C:C,reorder_point!B52)</f>
        <v>11</v>
      </c>
      <c r="E52">
        <f>450</f>
        <v>450</v>
      </c>
      <c r="F52">
        <f t="shared" si="0"/>
        <v>0.02</v>
      </c>
      <c r="G52">
        <f>IFERROR(_xlfn.XLOOKUP(B52,purchase_orders!C:C,purchase_orders!L:L),"")</f>
        <v>55</v>
      </c>
      <c r="H52">
        <f t="shared" si="1"/>
        <v>11.1</v>
      </c>
      <c r="I52" t="str">
        <f t="shared" si="2"/>
        <v>OK</v>
      </c>
      <c r="J52" t="b">
        <f t="shared" si="3"/>
        <v>0</v>
      </c>
    </row>
    <row r="53" spans="1:10">
      <c r="A53" t="str">
        <v>SKU-0052</v>
      </c>
      <c r="B53">
        <f>_xlfn.XLOOKUP(A53,order_items!I:I,order_items!C:C)</f>
        <v>52</v>
      </c>
      <c r="C53">
        <f>_xlfn.XLOOKUP(B53,inventory!B:B,inventory!D:D)</f>
        <v>0</v>
      </c>
      <c r="D53">
        <f>SUMIFS(order_items!D:D,order_items!C:C,reorder_point!B53)</f>
        <v>55</v>
      </c>
      <c r="E53">
        <f>450</f>
        <v>450</v>
      </c>
      <c r="F53">
        <f t="shared" si="0"/>
        <v>0.12</v>
      </c>
      <c r="G53">
        <f>IFERROR(_xlfn.XLOOKUP(B53,purchase_orders!C:C,purchase_orders!L:L),"")</f>
        <v>10</v>
      </c>
      <c r="H53">
        <f t="shared" si="1"/>
        <v>11.2</v>
      </c>
      <c r="I53" t="str">
        <f t="shared" si="2"/>
        <v>Reorder</v>
      </c>
      <c r="J53" t="b">
        <f t="shared" si="3"/>
        <v>0</v>
      </c>
    </row>
    <row r="54" spans="1:10">
      <c r="A54" t="str">
        <v>SKU-0053</v>
      </c>
      <c r="B54">
        <f>_xlfn.XLOOKUP(A54,order_items!I:I,order_items!C:C)</f>
        <v>53</v>
      </c>
      <c r="C54">
        <f>_xlfn.XLOOKUP(B54,inventory!B:B,inventory!D:D)</f>
        <v>286</v>
      </c>
      <c r="D54">
        <f>SUMIFS(order_items!D:D,order_items!C:C,reorder_point!B54)</f>
        <v>19</v>
      </c>
      <c r="E54">
        <f>450</f>
        <v>450</v>
      </c>
      <c r="F54">
        <f t="shared" si="0"/>
        <v>0.04</v>
      </c>
      <c r="G54">
        <f>IFERROR(_xlfn.XLOOKUP(B54,purchase_orders!C:C,purchase_orders!L:L),"")</f>
        <v>27</v>
      </c>
      <c r="H54">
        <f t="shared" si="1"/>
        <v>11.08</v>
      </c>
      <c r="I54" t="str">
        <f t="shared" si="2"/>
        <v>OK</v>
      </c>
      <c r="J54" t="b">
        <f t="shared" si="3"/>
        <v>0</v>
      </c>
    </row>
    <row r="55" spans="1:10">
      <c r="A55" t="str">
        <v>SKU-0054</v>
      </c>
      <c r="B55">
        <f>_xlfn.XLOOKUP(A55,order_items!I:I,order_items!C:C)</f>
        <v>54</v>
      </c>
      <c r="C55">
        <f>_xlfn.XLOOKUP(B55,inventory!B:B,inventory!D:D)</f>
        <v>441</v>
      </c>
      <c r="D55">
        <f>SUMIFS(order_items!D:D,order_items!C:C,reorder_point!B55)</f>
        <v>11</v>
      </c>
      <c r="E55">
        <f>450</f>
        <v>450</v>
      </c>
      <c r="F55">
        <f t="shared" si="0"/>
        <v>0.02</v>
      </c>
      <c r="G55">
        <f>IFERROR(_xlfn.XLOOKUP(B55,purchase_orders!C:C,purchase_orders!L:L),"")</f>
        <v>17</v>
      </c>
      <c r="H55">
        <f t="shared" si="1"/>
        <v>10.34</v>
      </c>
      <c r="I55" t="str">
        <f t="shared" si="2"/>
        <v>OK</v>
      </c>
      <c r="J55" t="b">
        <f t="shared" si="3"/>
        <v>0</v>
      </c>
    </row>
    <row r="56" spans="1:10">
      <c r="A56" t="str">
        <v>SKU-0055</v>
      </c>
      <c r="B56">
        <f>_xlfn.XLOOKUP(A56,order_items!I:I,order_items!C:C)</f>
        <v>55</v>
      </c>
      <c r="C56">
        <f>_xlfn.XLOOKUP(B56,inventory!B:B,inventory!D:D)</f>
        <v>363</v>
      </c>
      <c r="D56">
        <f>SUMIFS(order_items!D:D,order_items!C:C,reorder_point!B56)</f>
        <v>24</v>
      </c>
      <c r="E56">
        <f>450</f>
        <v>450</v>
      </c>
      <c r="F56">
        <f t="shared" si="0"/>
        <v>0.05</v>
      </c>
      <c r="G56">
        <f>IFERROR(_xlfn.XLOOKUP(B56,purchase_orders!C:C,purchase_orders!L:L),"")</f>
        <v>36</v>
      </c>
      <c r="H56">
        <f t="shared" si="1"/>
        <v>11.8</v>
      </c>
      <c r="I56" t="str">
        <f t="shared" si="2"/>
        <v>OK</v>
      </c>
      <c r="J56" t="b">
        <f t="shared" si="3"/>
        <v>0</v>
      </c>
    </row>
    <row r="57" spans="1:10">
      <c r="A57" t="str">
        <v>SKU-0056</v>
      </c>
      <c r="B57">
        <f>_xlfn.XLOOKUP(A57,order_items!I:I,order_items!C:C)</f>
        <v>56</v>
      </c>
      <c r="C57">
        <f>_xlfn.XLOOKUP(B57,inventory!B:B,inventory!D:D)</f>
        <v>425</v>
      </c>
      <c r="D57">
        <f>SUMIFS(order_items!D:D,order_items!C:C,reorder_point!B57)</f>
        <v>28</v>
      </c>
      <c r="E57">
        <f>450</f>
        <v>450</v>
      </c>
      <c r="F57">
        <f t="shared" si="0"/>
        <v>0.06</v>
      </c>
      <c r="G57">
        <f>IFERROR(_xlfn.XLOOKUP(B57,purchase_orders!C:C,purchase_orders!L:L),"")</f>
        <v>54</v>
      </c>
      <c r="H57">
        <f t="shared" si="1"/>
        <v>13.24</v>
      </c>
      <c r="I57" t="str">
        <f t="shared" si="2"/>
        <v>OK</v>
      </c>
      <c r="J57" t="b">
        <f t="shared" si="3"/>
        <v>0</v>
      </c>
    </row>
    <row r="58" spans="1:10">
      <c r="A58" t="str">
        <v>SKU-0057</v>
      </c>
      <c r="B58">
        <f>_xlfn.XLOOKUP(A58,order_items!I:I,order_items!C:C)</f>
        <v>57</v>
      </c>
      <c r="C58">
        <f>_xlfn.XLOOKUP(B58,inventory!B:B,inventory!D:D)</f>
        <v>432</v>
      </c>
      <c r="D58">
        <f>SUMIFS(order_items!D:D,order_items!C:C,reorder_point!B58)</f>
        <v>34</v>
      </c>
      <c r="E58">
        <f>450</f>
        <v>450</v>
      </c>
      <c r="F58">
        <f t="shared" si="0"/>
        <v>0.08</v>
      </c>
      <c r="G58" t="str">
        <f>IFERROR(_xlfn.XLOOKUP(B58,purchase_orders!C:C,purchase_orders!L:L),"")</f>
        <v/>
      </c>
      <c r="H58" t="str">
        <f t="shared" si="1"/>
        <v/>
      </c>
      <c r="I58" t="str">
        <f t="shared" si="2"/>
        <v/>
      </c>
      <c r="J58" t="b">
        <f t="shared" si="3"/>
        <v>0</v>
      </c>
    </row>
    <row r="59" spans="1:10">
      <c r="A59" t="str">
        <v>SKU-0058</v>
      </c>
      <c r="B59">
        <f>_xlfn.XLOOKUP(A59,order_items!I:I,order_items!C:C)</f>
        <v>58</v>
      </c>
      <c r="C59">
        <f>_xlfn.XLOOKUP(B59,inventory!B:B,inventory!D:D)</f>
        <v>445</v>
      </c>
      <c r="D59">
        <f>SUMIFS(order_items!D:D,order_items!C:C,reorder_point!B59)</f>
        <v>16</v>
      </c>
      <c r="E59">
        <f>450</f>
        <v>450</v>
      </c>
      <c r="F59">
        <f t="shared" si="0"/>
        <v>0.04</v>
      </c>
      <c r="G59">
        <f>IFERROR(_xlfn.XLOOKUP(B59,purchase_orders!C:C,purchase_orders!L:L),"")</f>
        <v>17</v>
      </c>
      <c r="H59">
        <f t="shared" si="1"/>
        <v>10.68</v>
      </c>
      <c r="I59" t="str">
        <f t="shared" si="2"/>
        <v>OK</v>
      </c>
      <c r="J59" t="b">
        <f t="shared" si="3"/>
        <v>0</v>
      </c>
    </row>
    <row r="60" spans="1:10">
      <c r="A60" t="str">
        <v>SKU-0059</v>
      </c>
      <c r="B60">
        <f>_xlfn.XLOOKUP(A60,order_items!I:I,order_items!C:C)</f>
        <v>59</v>
      </c>
      <c r="C60">
        <f>_xlfn.XLOOKUP(B60,inventory!B:B,inventory!D:D)</f>
        <v>178</v>
      </c>
      <c r="D60">
        <f>SUMIFS(order_items!D:D,order_items!C:C,reorder_point!B60)</f>
        <v>17</v>
      </c>
      <c r="E60">
        <f>450</f>
        <v>450</v>
      </c>
      <c r="F60">
        <f t="shared" si="0"/>
        <v>0.04</v>
      </c>
      <c r="G60">
        <f>IFERROR(_xlfn.XLOOKUP(B60,purchase_orders!C:C,purchase_orders!L:L),"")</f>
        <v>32</v>
      </c>
      <c r="H60">
        <f t="shared" si="1"/>
        <v>11.28</v>
      </c>
      <c r="I60" t="str">
        <f t="shared" si="2"/>
        <v>OK</v>
      </c>
      <c r="J60" t="b">
        <f t="shared" si="3"/>
        <v>0</v>
      </c>
    </row>
    <row r="61" spans="1:10">
      <c r="A61" t="str">
        <v>SKU-0060</v>
      </c>
      <c r="B61">
        <f>_xlfn.XLOOKUP(A61,order_items!I:I,order_items!C:C)</f>
        <v>60</v>
      </c>
      <c r="C61">
        <f>_xlfn.XLOOKUP(B61,inventory!B:B,inventory!D:D)</f>
        <v>389</v>
      </c>
      <c r="D61">
        <f>SUMIFS(order_items!D:D,order_items!C:C,reorder_point!B61)</f>
        <v>31</v>
      </c>
      <c r="E61">
        <f>450</f>
        <v>450</v>
      </c>
      <c r="F61">
        <f t="shared" si="0"/>
        <v>7.0000000000000007E-2</v>
      </c>
      <c r="G61">
        <f>IFERROR(_xlfn.XLOOKUP(B61,purchase_orders!C:C,purchase_orders!L:L),"")</f>
        <v>31</v>
      </c>
      <c r="H61">
        <f t="shared" si="1"/>
        <v>12.17</v>
      </c>
      <c r="I61" t="str">
        <f t="shared" si="2"/>
        <v>OK</v>
      </c>
      <c r="J61" t="b">
        <f t="shared" si="3"/>
        <v>0</v>
      </c>
    </row>
    <row r="62" spans="1:10">
      <c r="A62" t="str">
        <v>SKU-0061</v>
      </c>
      <c r="B62">
        <f>_xlfn.XLOOKUP(A62,order_items!I:I,order_items!C:C)</f>
        <v>61</v>
      </c>
      <c r="C62">
        <f>_xlfn.XLOOKUP(B62,inventory!B:B,inventory!D:D)</f>
        <v>237</v>
      </c>
      <c r="D62">
        <f>SUMIFS(order_items!D:D,order_items!C:C,reorder_point!B62)</f>
        <v>43</v>
      </c>
      <c r="E62">
        <f>450</f>
        <v>450</v>
      </c>
      <c r="F62">
        <f t="shared" si="0"/>
        <v>0.1</v>
      </c>
      <c r="G62" t="str">
        <f>IFERROR(_xlfn.XLOOKUP(B62,purchase_orders!C:C,purchase_orders!L:L),"")</f>
        <v/>
      </c>
      <c r="H62" t="str">
        <f t="shared" si="1"/>
        <v/>
      </c>
      <c r="I62" t="str">
        <f t="shared" si="2"/>
        <v/>
      </c>
      <c r="J62" t="b">
        <f t="shared" si="3"/>
        <v>0</v>
      </c>
    </row>
    <row r="63" spans="1:10">
      <c r="A63" t="str">
        <v>SKU-0062</v>
      </c>
      <c r="B63">
        <f>_xlfn.XLOOKUP(A63,order_items!I:I,order_items!C:C)</f>
        <v>62</v>
      </c>
      <c r="C63">
        <f>_xlfn.XLOOKUP(B63,inventory!B:B,inventory!D:D)</f>
        <v>497</v>
      </c>
      <c r="D63">
        <f>SUMIFS(order_items!D:D,order_items!C:C,reorder_point!B63)</f>
        <v>18</v>
      </c>
      <c r="E63">
        <f>450</f>
        <v>450</v>
      </c>
      <c r="F63">
        <f t="shared" si="0"/>
        <v>0.04</v>
      </c>
      <c r="G63">
        <f>IFERROR(_xlfn.XLOOKUP(B63,purchase_orders!C:C,purchase_orders!L:L),"")</f>
        <v>38</v>
      </c>
      <c r="H63">
        <f t="shared" si="1"/>
        <v>11.52</v>
      </c>
      <c r="I63" t="str">
        <f t="shared" si="2"/>
        <v>OK</v>
      </c>
      <c r="J63" t="b">
        <f t="shared" si="3"/>
        <v>0</v>
      </c>
    </row>
    <row r="64" spans="1:10">
      <c r="A64" t="str">
        <v>SKU-0063</v>
      </c>
      <c r="B64">
        <f>_xlfn.XLOOKUP(A64,order_items!I:I,order_items!C:C)</f>
        <v>63</v>
      </c>
      <c r="C64">
        <f>_xlfn.XLOOKUP(B64,inventory!B:B,inventory!D:D)</f>
        <v>37</v>
      </c>
      <c r="D64">
        <f>SUMIFS(order_items!D:D,order_items!C:C,reorder_point!B64)</f>
        <v>31</v>
      </c>
      <c r="E64">
        <f>450</f>
        <v>450</v>
      </c>
      <c r="F64">
        <f t="shared" si="0"/>
        <v>7.0000000000000007E-2</v>
      </c>
      <c r="G64">
        <f>IFERROR(_xlfn.XLOOKUP(B64,purchase_orders!C:C,purchase_orders!L:L),"")</f>
        <v>7</v>
      </c>
      <c r="H64">
        <f t="shared" si="1"/>
        <v>10.49</v>
      </c>
      <c r="I64" t="str">
        <f t="shared" si="2"/>
        <v>OK</v>
      </c>
      <c r="J64" t="b">
        <f t="shared" si="3"/>
        <v>0</v>
      </c>
    </row>
    <row r="65" spans="1:10">
      <c r="A65" t="str">
        <v>SKU-0064</v>
      </c>
      <c r="B65">
        <f>_xlfn.XLOOKUP(A65,order_items!I:I,order_items!C:C)</f>
        <v>64</v>
      </c>
      <c r="C65">
        <f>_xlfn.XLOOKUP(B65,inventory!B:B,inventory!D:D)</f>
        <v>196</v>
      </c>
      <c r="D65">
        <f>SUMIFS(order_items!D:D,order_items!C:C,reorder_point!B65)</f>
        <v>18</v>
      </c>
      <c r="E65">
        <f>450</f>
        <v>450</v>
      </c>
      <c r="F65">
        <f t="shared" si="0"/>
        <v>0.04</v>
      </c>
      <c r="G65">
        <f>IFERROR(_xlfn.XLOOKUP(B65,purchase_orders!C:C,purchase_orders!L:L),"")</f>
        <v>59</v>
      </c>
      <c r="H65">
        <f t="shared" si="1"/>
        <v>12.36</v>
      </c>
      <c r="I65" t="str">
        <f t="shared" si="2"/>
        <v>OK</v>
      </c>
      <c r="J65" t="b">
        <f t="shared" si="3"/>
        <v>0</v>
      </c>
    </row>
    <row r="66" spans="1:10">
      <c r="A66" t="str">
        <v>SKU-0065</v>
      </c>
      <c r="B66">
        <f>_xlfn.XLOOKUP(A66,order_items!I:I,order_items!C:C)</f>
        <v>65</v>
      </c>
      <c r="C66">
        <f>_xlfn.XLOOKUP(B66,inventory!B:B,inventory!D:D)</f>
        <v>292</v>
      </c>
      <c r="D66">
        <f>SUMIFS(order_items!D:D,order_items!C:C,reorder_point!B66)</f>
        <v>12</v>
      </c>
      <c r="E66">
        <f>450</f>
        <v>450</v>
      </c>
      <c r="F66">
        <f t="shared" si="0"/>
        <v>0.03</v>
      </c>
      <c r="G66">
        <f>IFERROR(_xlfn.XLOOKUP(B66,purchase_orders!C:C,purchase_orders!L:L),"")</f>
        <v>19</v>
      </c>
      <c r="H66">
        <f t="shared" si="1"/>
        <v>10.57</v>
      </c>
      <c r="I66" t="str">
        <f t="shared" si="2"/>
        <v>OK</v>
      </c>
      <c r="J66" t="b">
        <f t="shared" si="3"/>
        <v>0</v>
      </c>
    </row>
    <row r="67" spans="1:10">
      <c r="A67" t="str">
        <v>SKU-0066</v>
      </c>
      <c r="B67">
        <f>_xlfn.XLOOKUP(A67,order_items!I:I,order_items!C:C)</f>
        <v>66</v>
      </c>
      <c r="C67">
        <f>_xlfn.XLOOKUP(B67,inventory!B:B,inventory!D:D)</f>
        <v>20</v>
      </c>
      <c r="D67">
        <f>SUMIFS(order_items!D:D,order_items!C:C,reorder_point!B67)</f>
        <v>15</v>
      </c>
      <c r="E67">
        <f>450</f>
        <v>450</v>
      </c>
      <c r="F67">
        <f t="shared" ref="F67:F130" si="4">ROUND(D67/E67,2)</f>
        <v>0.03</v>
      </c>
      <c r="G67">
        <f>IFERROR(_xlfn.XLOOKUP(B67,purchase_orders!C:C,purchase_orders!L:L),"")</f>
        <v>29</v>
      </c>
      <c r="H67">
        <f t="shared" ref="H67:H130" si="5">IFERROR(F67*G67+10,"")</f>
        <v>10.87</v>
      </c>
      <c r="I67" t="str">
        <f t="shared" ref="I67:I130" si="6">IF(H67="","",IF(C67&lt;H67,"Reorder","OK"))</f>
        <v>OK</v>
      </c>
      <c r="J67" t="b">
        <f t="shared" ref="J67:J130" si="7">COUNTIF(A67:A216,A67)&gt;1</f>
        <v>0</v>
      </c>
    </row>
    <row r="68" spans="1:10">
      <c r="A68" t="str">
        <v>SKU-0067</v>
      </c>
      <c r="B68">
        <f>_xlfn.XLOOKUP(A68,order_items!I:I,order_items!C:C)</f>
        <v>67</v>
      </c>
      <c r="C68">
        <f>_xlfn.XLOOKUP(B68,inventory!B:B,inventory!D:D)</f>
        <v>190</v>
      </c>
      <c r="D68">
        <f>SUMIFS(order_items!D:D,order_items!C:C,reorder_point!B68)</f>
        <v>25</v>
      </c>
      <c r="E68">
        <f>450</f>
        <v>450</v>
      </c>
      <c r="F68">
        <f t="shared" si="4"/>
        <v>0.06</v>
      </c>
      <c r="G68">
        <f>IFERROR(_xlfn.XLOOKUP(B68,purchase_orders!C:C,purchase_orders!L:L),"")</f>
        <v>43</v>
      </c>
      <c r="H68">
        <f t="shared" si="5"/>
        <v>12.58</v>
      </c>
      <c r="I68" t="str">
        <f t="shared" si="6"/>
        <v>OK</v>
      </c>
      <c r="J68" t="b">
        <f t="shared" si="7"/>
        <v>0</v>
      </c>
    </row>
    <row r="69" spans="1:10">
      <c r="A69" t="str">
        <v>SKU-0068</v>
      </c>
      <c r="B69">
        <f>_xlfn.XLOOKUP(A69,order_items!I:I,order_items!C:C)</f>
        <v>68</v>
      </c>
      <c r="C69">
        <f>_xlfn.XLOOKUP(B69,inventory!B:B,inventory!D:D)</f>
        <v>404</v>
      </c>
      <c r="D69">
        <f>SUMIFS(order_items!D:D,order_items!C:C,reorder_point!B69)</f>
        <v>44</v>
      </c>
      <c r="E69">
        <f>450</f>
        <v>450</v>
      </c>
      <c r="F69">
        <f t="shared" si="4"/>
        <v>0.1</v>
      </c>
      <c r="G69" t="str">
        <f>IFERROR(_xlfn.XLOOKUP(B69,purchase_orders!C:C,purchase_orders!L:L),"")</f>
        <v/>
      </c>
      <c r="H69" t="str">
        <f t="shared" si="5"/>
        <v/>
      </c>
      <c r="I69" t="str">
        <f t="shared" si="6"/>
        <v/>
      </c>
      <c r="J69" t="b">
        <f t="shared" si="7"/>
        <v>0</v>
      </c>
    </row>
    <row r="70" spans="1:10">
      <c r="A70" t="str">
        <v>SKU-0069</v>
      </c>
      <c r="B70">
        <f>_xlfn.XLOOKUP(A70,order_items!I:I,order_items!C:C)</f>
        <v>69</v>
      </c>
      <c r="C70">
        <f>_xlfn.XLOOKUP(B70,inventory!B:B,inventory!D:D)</f>
        <v>370</v>
      </c>
      <c r="D70">
        <f>SUMIFS(order_items!D:D,order_items!C:C,reorder_point!B70)</f>
        <v>8</v>
      </c>
      <c r="E70">
        <f>450</f>
        <v>450</v>
      </c>
      <c r="F70">
        <f t="shared" si="4"/>
        <v>0.02</v>
      </c>
      <c r="G70">
        <f>IFERROR(_xlfn.XLOOKUP(B70,purchase_orders!C:C,purchase_orders!L:L),"")</f>
        <v>19</v>
      </c>
      <c r="H70">
        <f t="shared" si="5"/>
        <v>10.38</v>
      </c>
      <c r="I70" t="str">
        <f t="shared" si="6"/>
        <v>OK</v>
      </c>
      <c r="J70" t="b">
        <f t="shared" si="7"/>
        <v>0</v>
      </c>
    </row>
    <row r="71" spans="1:10">
      <c r="A71" t="str">
        <v>SKU-0070</v>
      </c>
      <c r="B71">
        <f>_xlfn.XLOOKUP(A71,order_items!I:I,order_items!C:C)</f>
        <v>70</v>
      </c>
      <c r="C71">
        <f>_xlfn.XLOOKUP(B71,inventory!B:B,inventory!D:D)</f>
        <v>66</v>
      </c>
      <c r="D71">
        <f>SUMIFS(order_items!D:D,order_items!C:C,reorder_point!B71)</f>
        <v>26</v>
      </c>
      <c r="E71">
        <f>450</f>
        <v>450</v>
      </c>
      <c r="F71">
        <f t="shared" si="4"/>
        <v>0.06</v>
      </c>
      <c r="G71">
        <f>IFERROR(_xlfn.XLOOKUP(B71,purchase_orders!C:C,purchase_orders!L:L),"")</f>
        <v>28</v>
      </c>
      <c r="H71">
        <f t="shared" si="5"/>
        <v>11.68</v>
      </c>
      <c r="I71" t="str">
        <f t="shared" si="6"/>
        <v>OK</v>
      </c>
      <c r="J71" t="b">
        <f t="shared" si="7"/>
        <v>0</v>
      </c>
    </row>
    <row r="72" spans="1:10">
      <c r="A72" t="str">
        <v>SKU-0071</v>
      </c>
      <c r="B72">
        <f>_xlfn.XLOOKUP(A72,order_items!I:I,order_items!C:C)</f>
        <v>71</v>
      </c>
      <c r="C72">
        <f>_xlfn.XLOOKUP(B72,inventory!B:B,inventory!D:D)</f>
        <v>359</v>
      </c>
      <c r="D72">
        <f>SUMIFS(order_items!D:D,order_items!C:C,reorder_point!B72)</f>
        <v>28</v>
      </c>
      <c r="E72">
        <f>450</f>
        <v>450</v>
      </c>
      <c r="F72">
        <f t="shared" si="4"/>
        <v>0.06</v>
      </c>
      <c r="G72">
        <f>IFERROR(_xlfn.XLOOKUP(B72,purchase_orders!C:C,purchase_orders!L:L),"")</f>
        <v>18</v>
      </c>
      <c r="H72">
        <f t="shared" si="5"/>
        <v>11.08</v>
      </c>
      <c r="I72" t="str">
        <f t="shared" si="6"/>
        <v>OK</v>
      </c>
      <c r="J72" t="b">
        <f t="shared" si="7"/>
        <v>0</v>
      </c>
    </row>
    <row r="73" spans="1:10">
      <c r="A73" t="str">
        <v>SKU-0072</v>
      </c>
      <c r="B73">
        <f>_xlfn.XLOOKUP(A73,order_items!I:I,order_items!C:C)</f>
        <v>72</v>
      </c>
      <c r="C73">
        <f>_xlfn.XLOOKUP(B73,inventory!B:B,inventory!D:D)</f>
        <v>158</v>
      </c>
      <c r="D73">
        <f>SUMIFS(order_items!D:D,order_items!C:C,reorder_point!B73)</f>
        <v>16</v>
      </c>
      <c r="E73">
        <f>450</f>
        <v>450</v>
      </c>
      <c r="F73">
        <f t="shared" si="4"/>
        <v>0.04</v>
      </c>
      <c r="G73">
        <f>IFERROR(_xlfn.XLOOKUP(B73,purchase_orders!C:C,purchase_orders!L:L),"")</f>
        <v>13</v>
      </c>
      <c r="H73">
        <f t="shared" si="5"/>
        <v>10.52</v>
      </c>
      <c r="I73" t="str">
        <f t="shared" si="6"/>
        <v>OK</v>
      </c>
      <c r="J73" t="b">
        <f t="shared" si="7"/>
        <v>0</v>
      </c>
    </row>
    <row r="74" spans="1:10">
      <c r="A74" t="str">
        <v>SKU-0073</v>
      </c>
      <c r="B74">
        <f>_xlfn.XLOOKUP(A74,order_items!I:I,order_items!C:C)</f>
        <v>73</v>
      </c>
      <c r="C74">
        <f>_xlfn.XLOOKUP(B74,inventory!B:B,inventory!D:D)</f>
        <v>70</v>
      </c>
      <c r="D74">
        <f>SUMIFS(order_items!D:D,order_items!C:C,reorder_point!B74)</f>
        <v>55</v>
      </c>
      <c r="E74">
        <f>450</f>
        <v>450</v>
      </c>
      <c r="F74">
        <f t="shared" si="4"/>
        <v>0.12</v>
      </c>
      <c r="G74">
        <f>IFERROR(_xlfn.XLOOKUP(B74,purchase_orders!C:C,purchase_orders!L:L),"")</f>
        <v>42</v>
      </c>
      <c r="H74">
        <f t="shared" si="5"/>
        <v>15.04</v>
      </c>
      <c r="I74" t="str">
        <f t="shared" si="6"/>
        <v>OK</v>
      </c>
      <c r="J74" t="b">
        <f t="shared" si="7"/>
        <v>0</v>
      </c>
    </row>
    <row r="75" spans="1:10">
      <c r="A75" t="str">
        <v>SKU0074</v>
      </c>
      <c r="B75">
        <f>_xlfn.XLOOKUP(A75,order_items!I:I,order_items!C:C)</f>
        <v>74</v>
      </c>
      <c r="C75">
        <f>_xlfn.XLOOKUP(B75,inventory!B:B,inventory!D:D)</f>
        <v>394</v>
      </c>
      <c r="D75">
        <f>SUMIFS(order_items!D:D,order_items!C:C,reorder_point!B75)</f>
        <v>42</v>
      </c>
      <c r="E75">
        <f>450</f>
        <v>450</v>
      </c>
      <c r="F75">
        <f t="shared" si="4"/>
        <v>0.09</v>
      </c>
      <c r="G75" t="str">
        <f>IFERROR(_xlfn.XLOOKUP(B75,purchase_orders!C:C,purchase_orders!L:L),"")</f>
        <v/>
      </c>
      <c r="H75" t="str">
        <f t="shared" si="5"/>
        <v/>
      </c>
      <c r="I75" t="str">
        <f t="shared" si="6"/>
        <v/>
      </c>
      <c r="J75" t="b">
        <f t="shared" si="7"/>
        <v>0</v>
      </c>
    </row>
    <row r="76" spans="1:10">
      <c r="A76" t="str">
        <v>SKU-0075</v>
      </c>
      <c r="B76">
        <f>_xlfn.XLOOKUP(A76,order_items!I:I,order_items!C:C)</f>
        <v>75</v>
      </c>
      <c r="C76">
        <f>_xlfn.XLOOKUP(B76,inventory!B:B,inventory!D:D)</f>
        <v>316</v>
      </c>
      <c r="D76">
        <f>SUMIFS(order_items!D:D,order_items!C:C,reorder_point!B76)</f>
        <v>40</v>
      </c>
      <c r="E76">
        <f>450</f>
        <v>450</v>
      </c>
      <c r="F76">
        <f t="shared" si="4"/>
        <v>0.09</v>
      </c>
      <c r="G76">
        <f>IFERROR(_xlfn.XLOOKUP(B76,purchase_orders!C:C,purchase_orders!L:L),"")</f>
        <v>30</v>
      </c>
      <c r="H76">
        <f t="shared" si="5"/>
        <v>12.7</v>
      </c>
      <c r="I76" t="str">
        <f t="shared" si="6"/>
        <v>OK</v>
      </c>
      <c r="J76" t="b">
        <f t="shared" si="7"/>
        <v>0</v>
      </c>
    </row>
    <row r="77" spans="1:10">
      <c r="A77" t="str">
        <v>SKU-0076</v>
      </c>
      <c r="B77">
        <f>_xlfn.XLOOKUP(A77,order_items!I:I,order_items!C:C)</f>
        <v>76</v>
      </c>
      <c r="C77">
        <f>_xlfn.XLOOKUP(B77,inventory!B:B,inventory!D:D)</f>
        <v>22</v>
      </c>
      <c r="D77">
        <f>SUMIFS(order_items!D:D,order_items!C:C,reorder_point!B77)</f>
        <v>56</v>
      </c>
      <c r="E77">
        <f>450</f>
        <v>450</v>
      </c>
      <c r="F77">
        <f t="shared" si="4"/>
        <v>0.12</v>
      </c>
      <c r="G77">
        <f>IFERROR(_xlfn.XLOOKUP(B77,purchase_orders!C:C,purchase_orders!L:L),"")</f>
        <v>38</v>
      </c>
      <c r="H77">
        <f t="shared" si="5"/>
        <v>14.559999999999999</v>
      </c>
      <c r="I77" t="str">
        <f t="shared" si="6"/>
        <v>OK</v>
      </c>
      <c r="J77" t="b">
        <f t="shared" si="7"/>
        <v>0</v>
      </c>
    </row>
    <row r="78" spans="1:10">
      <c r="A78" t="str">
        <v>SKU-0077</v>
      </c>
      <c r="B78">
        <f>_xlfn.XLOOKUP(A78,order_items!I:I,order_items!C:C)</f>
        <v>77</v>
      </c>
      <c r="C78">
        <f>_xlfn.XLOOKUP(B78,inventory!B:B,inventory!D:D)</f>
        <v>145</v>
      </c>
      <c r="D78">
        <f>SUMIFS(order_items!D:D,order_items!C:C,reorder_point!B78)</f>
        <v>22</v>
      </c>
      <c r="E78">
        <f>450</f>
        <v>450</v>
      </c>
      <c r="F78">
        <f t="shared" si="4"/>
        <v>0.05</v>
      </c>
      <c r="G78">
        <f>IFERROR(_xlfn.XLOOKUP(B78,purchase_orders!C:C,purchase_orders!L:L),"")</f>
        <v>32</v>
      </c>
      <c r="H78">
        <f t="shared" si="5"/>
        <v>11.6</v>
      </c>
      <c r="I78" t="str">
        <f t="shared" si="6"/>
        <v>OK</v>
      </c>
      <c r="J78" t="b">
        <f t="shared" si="7"/>
        <v>0</v>
      </c>
    </row>
    <row r="79" spans="1:10">
      <c r="A79" t="str">
        <v>SKU-0078</v>
      </c>
      <c r="B79">
        <f>_xlfn.XLOOKUP(A79,order_items!I:I,order_items!C:C)</f>
        <v>78</v>
      </c>
      <c r="C79">
        <f>_xlfn.XLOOKUP(B79,inventory!B:B,inventory!D:D)</f>
        <v>347</v>
      </c>
      <c r="D79">
        <f>SUMIFS(order_items!D:D,order_items!C:C,reorder_point!B79)</f>
        <v>45</v>
      </c>
      <c r="E79">
        <f>450</f>
        <v>450</v>
      </c>
      <c r="F79">
        <f t="shared" si="4"/>
        <v>0.1</v>
      </c>
      <c r="G79">
        <f>IFERROR(_xlfn.XLOOKUP(B79,purchase_orders!C:C,purchase_orders!L:L),"")</f>
        <v>51</v>
      </c>
      <c r="H79">
        <f t="shared" si="5"/>
        <v>15.100000000000001</v>
      </c>
      <c r="I79" t="str">
        <f t="shared" si="6"/>
        <v>OK</v>
      </c>
      <c r="J79" t="b">
        <f t="shared" si="7"/>
        <v>0</v>
      </c>
    </row>
    <row r="80" spans="1:10">
      <c r="A80" t="str">
        <v>SKU-0079</v>
      </c>
      <c r="B80">
        <f>_xlfn.XLOOKUP(A80,order_items!I:I,order_items!C:C)</f>
        <v>79</v>
      </c>
      <c r="C80">
        <f>_xlfn.XLOOKUP(B80,inventory!B:B,inventory!D:D)</f>
        <v>494</v>
      </c>
      <c r="D80">
        <f>SUMIFS(order_items!D:D,order_items!C:C,reorder_point!B80)</f>
        <v>44</v>
      </c>
      <c r="E80">
        <f>450</f>
        <v>450</v>
      </c>
      <c r="F80">
        <f t="shared" si="4"/>
        <v>0.1</v>
      </c>
      <c r="G80">
        <f>IFERROR(_xlfn.XLOOKUP(B80,purchase_orders!C:C,purchase_orders!L:L),"")</f>
        <v>40</v>
      </c>
      <c r="H80">
        <f t="shared" si="5"/>
        <v>14</v>
      </c>
      <c r="I80" t="str">
        <f t="shared" si="6"/>
        <v>OK</v>
      </c>
      <c r="J80" t="b">
        <f t="shared" si="7"/>
        <v>0</v>
      </c>
    </row>
    <row r="81" spans="1:10">
      <c r="A81" t="str">
        <v>SKU-0080</v>
      </c>
      <c r="B81">
        <f>_xlfn.XLOOKUP(A81,order_items!I:I,order_items!C:C)</f>
        <v>80</v>
      </c>
      <c r="C81">
        <f>_xlfn.XLOOKUP(B81,inventory!B:B,inventory!D:D)</f>
        <v>447</v>
      </c>
      <c r="D81">
        <f>SUMIFS(order_items!D:D,order_items!C:C,reorder_point!B81)</f>
        <v>17</v>
      </c>
      <c r="E81">
        <f>450</f>
        <v>450</v>
      </c>
      <c r="F81">
        <f t="shared" si="4"/>
        <v>0.04</v>
      </c>
      <c r="G81">
        <f>IFERROR(_xlfn.XLOOKUP(B81,purchase_orders!C:C,purchase_orders!L:L),"")</f>
        <v>31</v>
      </c>
      <c r="H81">
        <f t="shared" si="5"/>
        <v>11.24</v>
      </c>
      <c r="I81" t="str">
        <f t="shared" si="6"/>
        <v>OK</v>
      </c>
      <c r="J81" t="b">
        <f t="shared" si="7"/>
        <v>0</v>
      </c>
    </row>
    <row r="82" spans="1:10">
      <c r="A82" t="str">
        <v>SKU-0081</v>
      </c>
      <c r="B82">
        <f>_xlfn.XLOOKUP(A82,order_items!I:I,order_items!C:C)</f>
        <v>81</v>
      </c>
      <c r="C82">
        <f>_xlfn.XLOOKUP(B82,inventory!B:B,inventory!D:D)</f>
        <v>42</v>
      </c>
      <c r="D82">
        <f>SUMIFS(order_items!D:D,order_items!C:C,reorder_point!B82)</f>
        <v>76</v>
      </c>
      <c r="E82">
        <f>450</f>
        <v>450</v>
      </c>
      <c r="F82">
        <f t="shared" si="4"/>
        <v>0.17</v>
      </c>
      <c r="G82">
        <f>IFERROR(_xlfn.XLOOKUP(B82,purchase_orders!C:C,purchase_orders!L:L),"")</f>
        <v>19</v>
      </c>
      <c r="H82">
        <f t="shared" si="5"/>
        <v>13.23</v>
      </c>
      <c r="I82" t="str">
        <f t="shared" si="6"/>
        <v>OK</v>
      </c>
      <c r="J82" t="b">
        <f t="shared" si="7"/>
        <v>0</v>
      </c>
    </row>
    <row r="83" spans="1:10">
      <c r="A83" t="str">
        <v>SKU-0082</v>
      </c>
      <c r="B83">
        <f>_xlfn.XLOOKUP(A83,order_items!I:I,order_items!C:C)</f>
        <v>82</v>
      </c>
      <c r="C83">
        <f>_xlfn.XLOOKUP(B83,inventory!B:B,inventory!D:D)</f>
        <v>425</v>
      </c>
      <c r="D83">
        <f>SUMIFS(order_items!D:D,order_items!C:C,reorder_point!B83)</f>
        <v>55</v>
      </c>
      <c r="E83">
        <f>450</f>
        <v>450</v>
      </c>
      <c r="F83">
        <f t="shared" si="4"/>
        <v>0.12</v>
      </c>
      <c r="G83">
        <f>IFERROR(_xlfn.XLOOKUP(B83,purchase_orders!C:C,purchase_orders!L:L),"")</f>
        <v>39</v>
      </c>
      <c r="H83">
        <f t="shared" si="5"/>
        <v>14.68</v>
      </c>
      <c r="I83" t="str">
        <f t="shared" si="6"/>
        <v>OK</v>
      </c>
      <c r="J83" t="b">
        <f t="shared" si="7"/>
        <v>0</v>
      </c>
    </row>
    <row r="84" spans="1:10">
      <c r="A84" t="str">
        <v>SKU-0083</v>
      </c>
      <c r="B84">
        <f>_xlfn.XLOOKUP(A84,order_items!I:I,order_items!C:C)</f>
        <v>83</v>
      </c>
      <c r="C84">
        <f>_xlfn.XLOOKUP(B84,inventory!B:B,inventory!D:D)</f>
        <v>27</v>
      </c>
      <c r="D84">
        <f>SUMIFS(order_items!D:D,order_items!C:C,reorder_point!B84)</f>
        <v>35</v>
      </c>
      <c r="E84">
        <f>450</f>
        <v>450</v>
      </c>
      <c r="F84">
        <f t="shared" si="4"/>
        <v>0.08</v>
      </c>
      <c r="G84">
        <f>IFERROR(_xlfn.XLOOKUP(B84,purchase_orders!C:C,purchase_orders!L:L),"")</f>
        <v>30</v>
      </c>
      <c r="H84">
        <f t="shared" si="5"/>
        <v>12.4</v>
      </c>
      <c r="I84" t="str">
        <f t="shared" si="6"/>
        <v>OK</v>
      </c>
      <c r="J84" t="b">
        <f t="shared" si="7"/>
        <v>0</v>
      </c>
    </row>
    <row r="85" spans="1:10">
      <c r="A85" t="str">
        <v>SKU-0084</v>
      </c>
      <c r="B85">
        <f>_xlfn.XLOOKUP(A85,order_items!I:I,order_items!C:C)</f>
        <v>84</v>
      </c>
      <c r="C85">
        <f>_xlfn.XLOOKUP(B85,inventory!B:B,inventory!D:D)</f>
        <v>163</v>
      </c>
      <c r="D85">
        <f>SUMIFS(order_items!D:D,order_items!C:C,reorder_point!B85)</f>
        <v>57</v>
      </c>
      <c r="E85">
        <f>450</f>
        <v>450</v>
      </c>
      <c r="F85">
        <f t="shared" si="4"/>
        <v>0.13</v>
      </c>
      <c r="G85">
        <f>IFERROR(_xlfn.XLOOKUP(B85,purchase_orders!C:C,purchase_orders!L:L),"")</f>
        <v>29</v>
      </c>
      <c r="H85">
        <f t="shared" si="5"/>
        <v>13.77</v>
      </c>
      <c r="I85" t="str">
        <f t="shared" si="6"/>
        <v>OK</v>
      </c>
      <c r="J85" t="b">
        <f t="shared" si="7"/>
        <v>0</v>
      </c>
    </row>
    <row r="86" spans="1:10">
      <c r="A86" t="str">
        <v>SKU-0085</v>
      </c>
      <c r="B86">
        <f>_xlfn.XLOOKUP(A86,order_items!I:I,order_items!C:C)</f>
        <v>85</v>
      </c>
      <c r="C86">
        <f>_xlfn.XLOOKUP(B86,inventory!B:B,inventory!D:D)</f>
        <v>19</v>
      </c>
      <c r="D86">
        <f>SUMIFS(order_items!D:D,order_items!C:C,reorder_point!B86)</f>
        <v>33</v>
      </c>
      <c r="E86">
        <f>450</f>
        <v>450</v>
      </c>
      <c r="F86">
        <f t="shared" si="4"/>
        <v>7.0000000000000007E-2</v>
      </c>
      <c r="G86">
        <f>IFERROR(_xlfn.XLOOKUP(B86,purchase_orders!C:C,purchase_orders!L:L),"")</f>
        <v>43</v>
      </c>
      <c r="H86">
        <f t="shared" si="5"/>
        <v>13.01</v>
      </c>
      <c r="I86" t="str">
        <f t="shared" si="6"/>
        <v>OK</v>
      </c>
      <c r="J86" t="b">
        <f t="shared" si="7"/>
        <v>0</v>
      </c>
    </row>
    <row r="87" spans="1:10">
      <c r="A87" t="str">
        <v>SKU-0086</v>
      </c>
      <c r="B87">
        <f>_xlfn.XLOOKUP(A87,order_items!I:I,order_items!C:C)</f>
        <v>86</v>
      </c>
      <c r="C87">
        <f>_xlfn.XLOOKUP(B87,inventory!B:B,inventory!D:D)</f>
        <v>229</v>
      </c>
      <c r="D87">
        <f>SUMIFS(order_items!D:D,order_items!C:C,reorder_point!B87)</f>
        <v>21</v>
      </c>
      <c r="E87">
        <f>450</f>
        <v>450</v>
      </c>
      <c r="F87">
        <f t="shared" si="4"/>
        <v>0.05</v>
      </c>
      <c r="G87">
        <f>IFERROR(_xlfn.XLOOKUP(B87,purchase_orders!C:C,purchase_orders!L:L),"")</f>
        <v>16</v>
      </c>
      <c r="H87">
        <f t="shared" si="5"/>
        <v>10.8</v>
      </c>
      <c r="I87" t="str">
        <f t="shared" si="6"/>
        <v>OK</v>
      </c>
      <c r="J87" t="b">
        <f t="shared" si="7"/>
        <v>0</v>
      </c>
    </row>
    <row r="88" spans="1:10">
      <c r="A88" t="str">
        <v>SKU-0087</v>
      </c>
      <c r="B88">
        <f>_xlfn.XLOOKUP(A88,order_items!I:I,order_items!C:C)</f>
        <v>87</v>
      </c>
      <c r="C88">
        <f>_xlfn.XLOOKUP(B88,inventory!B:B,inventory!D:D)</f>
        <v>481</v>
      </c>
      <c r="D88">
        <f>SUMIFS(order_items!D:D,order_items!C:C,reorder_point!B88)</f>
        <v>46</v>
      </c>
      <c r="E88">
        <f>450</f>
        <v>450</v>
      </c>
      <c r="F88">
        <f t="shared" si="4"/>
        <v>0.1</v>
      </c>
      <c r="G88">
        <f>IFERROR(_xlfn.XLOOKUP(B88,purchase_orders!C:C,purchase_orders!L:L),"")</f>
        <v>58</v>
      </c>
      <c r="H88">
        <f t="shared" si="5"/>
        <v>15.8</v>
      </c>
      <c r="I88" t="str">
        <f t="shared" si="6"/>
        <v>OK</v>
      </c>
      <c r="J88" t="b">
        <f t="shared" si="7"/>
        <v>0</v>
      </c>
    </row>
    <row r="89" spans="1:10">
      <c r="A89" t="str">
        <v>SKU-0088</v>
      </c>
      <c r="B89">
        <f>_xlfn.XLOOKUP(A89,order_items!I:I,order_items!C:C)</f>
        <v>88</v>
      </c>
      <c r="C89">
        <f>_xlfn.XLOOKUP(B89,inventory!B:B,inventory!D:D)</f>
        <v>121</v>
      </c>
      <c r="D89">
        <f>SUMIFS(order_items!D:D,order_items!C:C,reorder_point!B89)</f>
        <v>46</v>
      </c>
      <c r="E89">
        <f>450</f>
        <v>450</v>
      </c>
      <c r="F89">
        <f t="shared" si="4"/>
        <v>0.1</v>
      </c>
      <c r="G89">
        <f>IFERROR(_xlfn.XLOOKUP(B89,purchase_orders!C:C,purchase_orders!L:L),"")</f>
        <v>25</v>
      </c>
      <c r="H89">
        <f t="shared" si="5"/>
        <v>12.5</v>
      </c>
      <c r="I89" t="str">
        <f t="shared" si="6"/>
        <v>OK</v>
      </c>
      <c r="J89" t="b">
        <f t="shared" si="7"/>
        <v>0</v>
      </c>
    </row>
    <row r="90" spans="1:10">
      <c r="A90" t="str">
        <v>SKU-0089</v>
      </c>
      <c r="B90">
        <f>_xlfn.XLOOKUP(A90,order_items!I:I,order_items!C:C)</f>
        <v>89</v>
      </c>
      <c r="C90">
        <f>_xlfn.XLOOKUP(B90,inventory!B:B,inventory!D:D)</f>
        <v>428</v>
      </c>
      <c r="D90">
        <f>SUMIFS(order_items!D:D,order_items!C:C,reorder_point!B90)</f>
        <v>21</v>
      </c>
      <c r="E90">
        <f>450</f>
        <v>450</v>
      </c>
      <c r="F90">
        <f t="shared" si="4"/>
        <v>0.05</v>
      </c>
      <c r="G90">
        <f>IFERROR(_xlfn.XLOOKUP(B90,purchase_orders!C:C,purchase_orders!L:L),"")</f>
        <v>56</v>
      </c>
      <c r="H90">
        <f t="shared" si="5"/>
        <v>12.8</v>
      </c>
      <c r="I90" t="str">
        <f t="shared" si="6"/>
        <v>OK</v>
      </c>
      <c r="J90" t="b">
        <f t="shared" si="7"/>
        <v>0</v>
      </c>
    </row>
    <row r="91" spans="1:10">
      <c r="A91" t="str">
        <v>SKU-0090</v>
      </c>
      <c r="B91">
        <f>_xlfn.XLOOKUP(A91,order_items!I:I,order_items!C:C)</f>
        <v>90</v>
      </c>
      <c r="C91">
        <f>_xlfn.XLOOKUP(B91,inventory!B:B,inventory!D:D)</f>
        <v>123</v>
      </c>
      <c r="D91">
        <f>SUMIFS(order_items!D:D,order_items!C:C,reorder_point!B91)</f>
        <v>22</v>
      </c>
      <c r="E91">
        <f>450</f>
        <v>450</v>
      </c>
      <c r="F91">
        <f t="shared" si="4"/>
        <v>0.05</v>
      </c>
      <c r="G91">
        <f>IFERROR(_xlfn.XLOOKUP(B91,purchase_orders!C:C,purchase_orders!L:L),"")</f>
        <v>17</v>
      </c>
      <c r="H91">
        <f t="shared" si="5"/>
        <v>10.85</v>
      </c>
      <c r="I91" t="str">
        <f t="shared" si="6"/>
        <v>OK</v>
      </c>
      <c r="J91" t="b">
        <f t="shared" si="7"/>
        <v>0</v>
      </c>
    </row>
    <row r="92" spans="1:10">
      <c r="A92" t="str">
        <v>SKU-0091</v>
      </c>
      <c r="B92">
        <f>_xlfn.XLOOKUP(A92,order_items!I:I,order_items!C:C)</f>
        <v>91</v>
      </c>
      <c r="C92">
        <f>_xlfn.XLOOKUP(B92,inventory!B:B,inventory!D:D)</f>
        <v>199</v>
      </c>
      <c r="D92">
        <f>SUMIFS(order_items!D:D,order_items!C:C,reorder_point!B92)</f>
        <v>62</v>
      </c>
      <c r="E92">
        <f>450</f>
        <v>450</v>
      </c>
      <c r="F92">
        <f t="shared" si="4"/>
        <v>0.14000000000000001</v>
      </c>
      <c r="G92">
        <f>IFERROR(_xlfn.XLOOKUP(B92,purchase_orders!C:C,purchase_orders!L:L),"")</f>
        <v>45</v>
      </c>
      <c r="H92">
        <f t="shared" si="5"/>
        <v>16.3</v>
      </c>
      <c r="I92" t="str">
        <f t="shared" si="6"/>
        <v>OK</v>
      </c>
      <c r="J92" t="b">
        <f t="shared" si="7"/>
        <v>0</v>
      </c>
    </row>
    <row r="93" spans="1:10">
      <c r="A93" t="str">
        <v>SKU-0092</v>
      </c>
      <c r="B93">
        <f>_xlfn.XLOOKUP(A93,order_items!I:I,order_items!C:C)</f>
        <v>92</v>
      </c>
      <c r="C93">
        <f>_xlfn.XLOOKUP(B93,inventory!B:B,inventory!D:D)</f>
        <v>403</v>
      </c>
      <c r="D93">
        <f>SUMIFS(order_items!D:D,order_items!C:C,reorder_point!B93)</f>
        <v>32</v>
      </c>
      <c r="E93">
        <f>450</f>
        <v>450</v>
      </c>
      <c r="F93">
        <f t="shared" si="4"/>
        <v>7.0000000000000007E-2</v>
      </c>
      <c r="G93">
        <f>IFERROR(_xlfn.XLOOKUP(B93,purchase_orders!C:C,purchase_orders!L:L),"")</f>
        <v>51</v>
      </c>
      <c r="H93">
        <f t="shared" si="5"/>
        <v>13.57</v>
      </c>
      <c r="I93" t="str">
        <f t="shared" si="6"/>
        <v>OK</v>
      </c>
      <c r="J93" t="b">
        <f t="shared" si="7"/>
        <v>0</v>
      </c>
    </row>
    <row r="94" spans="1:10">
      <c r="A94" t="str">
        <v>SKU-0093</v>
      </c>
      <c r="B94">
        <f>_xlfn.XLOOKUP(A94,order_items!I:I,order_items!C:C)</f>
        <v>93</v>
      </c>
      <c r="C94">
        <f>_xlfn.XLOOKUP(B94,inventory!B:B,inventory!D:D)</f>
        <v>180</v>
      </c>
      <c r="D94">
        <f>SUMIFS(order_items!D:D,order_items!C:C,reorder_point!B94)</f>
        <v>31</v>
      </c>
      <c r="E94">
        <f>450</f>
        <v>450</v>
      </c>
      <c r="F94">
        <f t="shared" si="4"/>
        <v>7.0000000000000007E-2</v>
      </c>
      <c r="G94" t="str">
        <f>IFERROR(_xlfn.XLOOKUP(B94,purchase_orders!C:C,purchase_orders!L:L),"")</f>
        <v/>
      </c>
      <c r="H94" t="str">
        <f t="shared" si="5"/>
        <v/>
      </c>
      <c r="I94" t="str">
        <f t="shared" si="6"/>
        <v/>
      </c>
      <c r="J94" t="b">
        <f t="shared" si="7"/>
        <v>0</v>
      </c>
    </row>
    <row r="95" spans="1:10">
      <c r="A95" t="str">
        <v>SKU-0094</v>
      </c>
      <c r="B95">
        <f>_xlfn.XLOOKUP(A95,order_items!I:I,order_items!C:C)</f>
        <v>94</v>
      </c>
      <c r="C95">
        <f>_xlfn.XLOOKUP(B95,inventory!B:B,inventory!D:D)</f>
        <v>32</v>
      </c>
      <c r="D95">
        <f>SUMIFS(order_items!D:D,order_items!C:C,reorder_point!B95)</f>
        <v>34</v>
      </c>
      <c r="E95">
        <f>450</f>
        <v>450</v>
      </c>
      <c r="F95">
        <f t="shared" si="4"/>
        <v>0.08</v>
      </c>
      <c r="G95">
        <f>IFERROR(_xlfn.XLOOKUP(B95,purchase_orders!C:C,purchase_orders!L:L),"")</f>
        <v>30</v>
      </c>
      <c r="H95">
        <f t="shared" si="5"/>
        <v>12.4</v>
      </c>
      <c r="I95" t="str">
        <f t="shared" si="6"/>
        <v>OK</v>
      </c>
      <c r="J95" t="b">
        <f t="shared" si="7"/>
        <v>0</v>
      </c>
    </row>
    <row r="96" spans="1:10">
      <c r="A96" t="str">
        <v>SKU-0095</v>
      </c>
      <c r="B96">
        <f>_xlfn.XLOOKUP(A96,order_items!I:I,order_items!C:C)</f>
        <v>95</v>
      </c>
      <c r="C96">
        <f>_xlfn.XLOOKUP(B96,inventory!B:B,inventory!D:D)</f>
        <v>453</v>
      </c>
      <c r="D96">
        <f>SUMIFS(order_items!D:D,order_items!C:C,reorder_point!B96)</f>
        <v>23</v>
      </c>
      <c r="E96">
        <f>450</f>
        <v>450</v>
      </c>
      <c r="F96">
        <f t="shared" si="4"/>
        <v>0.05</v>
      </c>
      <c r="G96">
        <f>IFERROR(_xlfn.XLOOKUP(B96,purchase_orders!C:C,purchase_orders!L:L),"")</f>
        <v>16</v>
      </c>
      <c r="H96">
        <f t="shared" si="5"/>
        <v>10.8</v>
      </c>
      <c r="I96" t="str">
        <f t="shared" si="6"/>
        <v>OK</v>
      </c>
      <c r="J96" t="b">
        <f t="shared" si="7"/>
        <v>0</v>
      </c>
    </row>
    <row r="97" spans="1:10">
      <c r="A97" t="str">
        <v>SKU-0096</v>
      </c>
      <c r="B97">
        <f>_xlfn.XLOOKUP(A97,order_items!I:I,order_items!C:C)</f>
        <v>96</v>
      </c>
      <c r="C97">
        <f>_xlfn.XLOOKUP(B97,inventory!B:B,inventory!D:D)</f>
        <v>417</v>
      </c>
      <c r="D97">
        <f>SUMIFS(order_items!D:D,order_items!C:C,reorder_point!B97)</f>
        <v>30</v>
      </c>
      <c r="E97">
        <f>450</f>
        <v>450</v>
      </c>
      <c r="F97">
        <f t="shared" si="4"/>
        <v>7.0000000000000007E-2</v>
      </c>
      <c r="G97">
        <f>IFERROR(_xlfn.XLOOKUP(B97,purchase_orders!C:C,purchase_orders!L:L),"")</f>
        <v>45</v>
      </c>
      <c r="H97">
        <f t="shared" si="5"/>
        <v>13.15</v>
      </c>
      <c r="I97" t="str">
        <f t="shared" si="6"/>
        <v>OK</v>
      </c>
      <c r="J97" t="b">
        <f t="shared" si="7"/>
        <v>0</v>
      </c>
    </row>
    <row r="98" spans="1:10">
      <c r="A98" t="str">
        <v>SKU-0097</v>
      </c>
      <c r="B98">
        <f>_xlfn.XLOOKUP(A98,order_items!I:I,order_items!C:C)</f>
        <v>97</v>
      </c>
      <c r="C98">
        <f>_xlfn.XLOOKUP(B98,inventory!B:B,inventory!D:D)</f>
        <v>443</v>
      </c>
      <c r="D98">
        <f>SUMIFS(order_items!D:D,order_items!C:C,reorder_point!B98)</f>
        <v>19</v>
      </c>
      <c r="E98">
        <f>450</f>
        <v>450</v>
      </c>
      <c r="F98">
        <f t="shared" si="4"/>
        <v>0.04</v>
      </c>
      <c r="G98">
        <f>IFERROR(_xlfn.XLOOKUP(B98,purchase_orders!C:C,purchase_orders!L:L),"")</f>
        <v>18</v>
      </c>
      <c r="H98">
        <f t="shared" si="5"/>
        <v>10.72</v>
      </c>
      <c r="I98" t="str">
        <f t="shared" si="6"/>
        <v>OK</v>
      </c>
      <c r="J98" t="b">
        <f t="shared" si="7"/>
        <v>0</v>
      </c>
    </row>
    <row r="99" spans="1:10">
      <c r="A99" t="str">
        <v>SKU-0098</v>
      </c>
      <c r="B99">
        <f>_xlfn.XLOOKUP(A99,order_items!I:I,order_items!C:C)</f>
        <v>98</v>
      </c>
      <c r="C99">
        <f>_xlfn.XLOOKUP(B99,inventory!B:B,inventory!D:D)</f>
        <v>173</v>
      </c>
      <c r="D99">
        <f>SUMIFS(order_items!D:D,order_items!C:C,reorder_point!B99)</f>
        <v>58</v>
      </c>
      <c r="E99">
        <f>450</f>
        <v>450</v>
      </c>
      <c r="F99">
        <f t="shared" si="4"/>
        <v>0.13</v>
      </c>
      <c r="G99" t="str">
        <f>IFERROR(_xlfn.XLOOKUP(B99,purchase_orders!C:C,purchase_orders!L:L),"")</f>
        <v/>
      </c>
      <c r="H99" t="str">
        <f t="shared" si="5"/>
        <v/>
      </c>
      <c r="I99" t="str">
        <f t="shared" si="6"/>
        <v/>
      </c>
      <c r="J99" t="b">
        <f t="shared" si="7"/>
        <v>0</v>
      </c>
    </row>
    <row r="100" spans="1:10">
      <c r="A100" t="str">
        <v>SKU-0099</v>
      </c>
      <c r="B100">
        <f>_xlfn.XLOOKUP(A100,order_items!I:I,order_items!C:C)</f>
        <v>99</v>
      </c>
      <c r="C100">
        <f>_xlfn.XLOOKUP(B100,inventory!B:B,inventory!D:D)</f>
        <v>217</v>
      </c>
      <c r="D100">
        <f>SUMIFS(order_items!D:D,order_items!C:C,reorder_point!B100)</f>
        <v>36</v>
      </c>
      <c r="E100">
        <f>450</f>
        <v>450</v>
      </c>
      <c r="F100">
        <f t="shared" si="4"/>
        <v>0.08</v>
      </c>
      <c r="G100">
        <f>IFERROR(_xlfn.XLOOKUP(B100,purchase_orders!C:C,purchase_orders!L:L),"")</f>
        <v>56</v>
      </c>
      <c r="H100">
        <f t="shared" si="5"/>
        <v>14.48</v>
      </c>
      <c r="I100" t="str">
        <f t="shared" si="6"/>
        <v>OK</v>
      </c>
      <c r="J100" t="b">
        <f t="shared" si="7"/>
        <v>0</v>
      </c>
    </row>
    <row r="101" spans="1:10">
      <c r="A101" t="str">
        <v>SKU-0100</v>
      </c>
      <c r="B101">
        <f>_xlfn.XLOOKUP(A101,order_items!I:I,order_items!C:C)</f>
        <v>100</v>
      </c>
      <c r="C101">
        <f>_xlfn.XLOOKUP(B101,inventory!B:B,inventory!D:D)</f>
        <v>308</v>
      </c>
      <c r="D101">
        <f>SUMIFS(order_items!D:D,order_items!C:C,reorder_point!B101)</f>
        <v>22</v>
      </c>
      <c r="E101">
        <f>450</f>
        <v>450</v>
      </c>
      <c r="F101">
        <f t="shared" si="4"/>
        <v>0.05</v>
      </c>
      <c r="G101">
        <f>IFERROR(_xlfn.XLOOKUP(B101,purchase_orders!C:C,purchase_orders!L:L),"")</f>
        <v>39</v>
      </c>
      <c r="H101">
        <f t="shared" si="5"/>
        <v>11.95</v>
      </c>
      <c r="I101" t="str">
        <f t="shared" si="6"/>
        <v>OK</v>
      </c>
      <c r="J101" t="b">
        <f t="shared" si="7"/>
        <v>0</v>
      </c>
    </row>
    <row r="102" spans="1:10">
      <c r="A102" t="str">
        <v>SKU-0101</v>
      </c>
      <c r="B102">
        <f>_xlfn.XLOOKUP(A102,order_items!I:I,order_items!C:C)</f>
        <v>101</v>
      </c>
      <c r="C102">
        <f>_xlfn.XLOOKUP(B102,inventory!B:B,inventory!D:D)</f>
        <v>327</v>
      </c>
      <c r="D102">
        <f>SUMIFS(order_items!D:D,order_items!C:C,reorder_point!B102)</f>
        <v>25</v>
      </c>
      <c r="E102">
        <f>450</f>
        <v>450</v>
      </c>
      <c r="F102">
        <f t="shared" si="4"/>
        <v>0.06</v>
      </c>
      <c r="G102">
        <f>IFERROR(_xlfn.XLOOKUP(B102,purchase_orders!C:C,purchase_orders!L:L),"")</f>
        <v>34</v>
      </c>
      <c r="H102">
        <f t="shared" si="5"/>
        <v>12.04</v>
      </c>
      <c r="I102" t="str">
        <f t="shared" si="6"/>
        <v>OK</v>
      </c>
      <c r="J102" t="b">
        <f t="shared" si="7"/>
        <v>0</v>
      </c>
    </row>
    <row r="103" spans="1:10">
      <c r="A103" t="str">
        <v>SKU-0102</v>
      </c>
      <c r="B103">
        <f>_xlfn.XLOOKUP(A103,order_items!I:I,order_items!C:C)</f>
        <v>102</v>
      </c>
      <c r="C103">
        <f>_xlfn.XLOOKUP(B103,inventory!B:B,inventory!D:D)</f>
        <v>487</v>
      </c>
      <c r="D103">
        <f>SUMIFS(order_items!D:D,order_items!C:C,reorder_point!B103)</f>
        <v>40</v>
      </c>
      <c r="E103">
        <f>450</f>
        <v>450</v>
      </c>
      <c r="F103">
        <f t="shared" si="4"/>
        <v>0.09</v>
      </c>
      <c r="G103">
        <f>IFERROR(_xlfn.XLOOKUP(B103,purchase_orders!C:C,purchase_orders!L:L),"")</f>
        <v>35</v>
      </c>
      <c r="H103">
        <f t="shared" si="5"/>
        <v>13.15</v>
      </c>
      <c r="I103" t="str">
        <f t="shared" si="6"/>
        <v>OK</v>
      </c>
      <c r="J103" t="b">
        <f t="shared" si="7"/>
        <v>0</v>
      </c>
    </row>
    <row r="104" spans="1:10">
      <c r="A104" t="str">
        <v>SKU-0103</v>
      </c>
      <c r="B104">
        <f>_xlfn.XLOOKUP(A104,order_items!I:I,order_items!C:C)</f>
        <v>103</v>
      </c>
      <c r="C104">
        <f>_xlfn.XLOOKUP(B104,inventory!B:B,inventory!D:D)</f>
        <v>34</v>
      </c>
      <c r="D104">
        <f>SUMIFS(order_items!D:D,order_items!C:C,reorder_point!B104)</f>
        <v>21</v>
      </c>
      <c r="E104">
        <f>450</f>
        <v>450</v>
      </c>
      <c r="F104">
        <f t="shared" si="4"/>
        <v>0.05</v>
      </c>
      <c r="G104">
        <f>IFERROR(_xlfn.XLOOKUP(B104,purchase_orders!C:C,purchase_orders!L:L),"")</f>
        <v>37</v>
      </c>
      <c r="H104">
        <f t="shared" si="5"/>
        <v>11.85</v>
      </c>
      <c r="I104" t="str">
        <f t="shared" si="6"/>
        <v>OK</v>
      </c>
      <c r="J104" t="b">
        <f t="shared" si="7"/>
        <v>0</v>
      </c>
    </row>
    <row r="105" spans="1:10">
      <c r="A105" t="str">
        <v>SKU-0104</v>
      </c>
      <c r="B105">
        <f>_xlfn.XLOOKUP(A105,order_items!I:I,order_items!C:C)</f>
        <v>104</v>
      </c>
      <c r="C105">
        <f>_xlfn.XLOOKUP(B105,inventory!B:B,inventory!D:D)</f>
        <v>486</v>
      </c>
      <c r="D105">
        <f>SUMIFS(order_items!D:D,order_items!C:C,reorder_point!B105)</f>
        <v>27</v>
      </c>
      <c r="E105">
        <f>450</f>
        <v>450</v>
      </c>
      <c r="F105">
        <f t="shared" si="4"/>
        <v>0.06</v>
      </c>
      <c r="G105">
        <f>IFERROR(_xlfn.XLOOKUP(B105,purchase_orders!C:C,purchase_orders!L:L),"")</f>
        <v>29</v>
      </c>
      <c r="H105">
        <f t="shared" si="5"/>
        <v>11.74</v>
      </c>
      <c r="I105" t="str">
        <f t="shared" si="6"/>
        <v>OK</v>
      </c>
      <c r="J105" t="b">
        <f t="shared" si="7"/>
        <v>0</v>
      </c>
    </row>
    <row r="106" spans="1:10">
      <c r="A106" t="str">
        <v>SKU-0105</v>
      </c>
      <c r="B106">
        <f>_xlfn.XLOOKUP(A106,order_items!I:I,order_items!C:C)</f>
        <v>105</v>
      </c>
      <c r="C106">
        <f>_xlfn.XLOOKUP(B106,inventory!B:B,inventory!D:D)</f>
        <v>390</v>
      </c>
      <c r="D106">
        <f>SUMIFS(order_items!D:D,order_items!C:C,reorder_point!B106)</f>
        <v>14</v>
      </c>
      <c r="E106">
        <f>450</f>
        <v>450</v>
      </c>
      <c r="F106">
        <f t="shared" si="4"/>
        <v>0.03</v>
      </c>
      <c r="G106" t="str">
        <f>IFERROR(_xlfn.XLOOKUP(B106,purchase_orders!C:C,purchase_orders!L:L),"")</f>
        <v/>
      </c>
      <c r="H106" t="str">
        <f t="shared" si="5"/>
        <v/>
      </c>
      <c r="I106" t="str">
        <f t="shared" si="6"/>
        <v/>
      </c>
      <c r="J106" t="b">
        <f t="shared" si="7"/>
        <v>0</v>
      </c>
    </row>
    <row r="107" spans="1:10">
      <c r="A107" t="str">
        <v>SKU-0106</v>
      </c>
      <c r="B107">
        <f>_xlfn.XLOOKUP(A107,order_items!I:I,order_items!C:C)</f>
        <v>106</v>
      </c>
      <c r="C107">
        <f>_xlfn.XLOOKUP(B107,inventory!B:B,inventory!D:D)</f>
        <v>13</v>
      </c>
      <c r="D107">
        <f>SUMIFS(order_items!D:D,order_items!C:C,reorder_point!B107)</f>
        <v>34</v>
      </c>
      <c r="E107">
        <f>450</f>
        <v>450</v>
      </c>
      <c r="F107">
        <f t="shared" si="4"/>
        <v>0.08</v>
      </c>
      <c r="G107">
        <f>IFERROR(_xlfn.XLOOKUP(B107,purchase_orders!C:C,purchase_orders!L:L),"")</f>
        <v>31</v>
      </c>
      <c r="H107">
        <f t="shared" si="5"/>
        <v>12.48</v>
      </c>
      <c r="I107" t="str">
        <f t="shared" si="6"/>
        <v>OK</v>
      </c>
      <c r="J107" t="b">
        <f t="shared" si="7"/>
        <v>0</v>
      </c>
    </row>
    <row r="108" spans="1:10">
      <c r="A108" t="str">
        <v>SKU-0107</v>
      </c>
      <c r="B108">
        <f>_xlfn.XLOOKUP(A108,order_items!I:I,order_items!C:C)</f>
        <v>107</v>
      </c>
      <c r="C108">
        <f>_xlfn.XLOOKUP(B108,inventory!B:B,inventory!D:D)</f>
        <v>146</v>
      </c>
      <c r="D108">
        <f>SUMIFS(order_items!D:D,order_items!C:C,reorder_point!B108)</f>
        <v>46</v>
      </c>
      <c r="E108">
        <f>450</f>
        <v>450</v>
      </c>
      <c r="F108">
        <f t="shared" si="4"/>
        <v>0.1</v>
      </c>
      <c r="G108">
        <f>IFERROR(_xlfn.XLOOKUP(B108,purchase_orders!C:C,purchase_orders!L:L),"")</f>
        <v>44</v>
      </c>
      <c r="H108">
        <f t="shared" si="5"/>
        <v>14.4</v>
      </c>
      <c r="I108" t="str">
        <f t="shared" si="6"/>
        <v>OK</v>
      </c>
      <c r="J108" t="b">
        <f t="shared" si="7"/>
        <v>0</v>
      </c>
    </row>
    <row r="109" spans="1:10">
      <c r="A109" t="str">
        <v>SKU-0108</v>
      </c>
      <c r="B109">
        <f>_xlfn.XLOOKUP(A109,order_items!I:I,order_items!C:C)</f>
        <v>108</v>
      </c>
      <c r="C109">
        <f>_xlfn.XLOOKUP(B109,inventory!B:B,inventory!D:D)</f>
        <v>349</v>
      </c>
      <c r="D109">
        <f>SUMIFS(order_items!D:D,order_items!C:C,reorder_point!B109)</f>
        <v>37</v>
      </c>
      <c r="E109">
        <f>450</f>
        <v>450</v>
      </c>
      <c r="F109">
        <f t="shared" si="4"/>
        <v>0.08</v>
      </c>
      <c r="G109" t="str">
        <f>IFERROR(_xlfn.XLOOKUP(B109,purchase_orders!C:C,purchase_orders!L:L),"")</f>
        <v/>
      </c>
      <c r="H109" t="str">
        <f t="shared" si="5"/>
        <v/>
      </c>
      <c r="I109" t="str">
        <f t="shared" si="6"/>
        <v/>
      </c>
      <c r="J109" t="b">
        <f t="shared" si="7"/>
        <v>0</v>
      </c>
    </row>
    <row r="110" spans="1:10">
      <c r="A110" t="str">
        <v>SKU-0109</v>
      </c>
      <c r="B110">
        <f>_xlfn.XLOOKUP(A110,order_items!I:I,order_items!C:C)</f>
        <v>109</v>
      </c>
      <c r="C110">
        <f>_xlfn.XLOOKUP(B110,inventory!B:B,inventory!D:D)</f>
        <v>406</v>
      </c>
      <c r="D110">
        <f>SUMIFS(order_items!D:D,order_items!C:C,reorder_point!B110)</f>
        <v>56</v>
      </c>
      <c r="E110">
        <f>450</f>
        <v>450</v>
      </c>
      <c r="F110">
        <f t="shared" si="4"/>
        <v>0.12</v>
      </c>
      <c r="G110">
        <f>IFERROR(_xlfn.XLOOKUP(B110,purchase_orders!C:C,purchase_orders!L:L),"")</f>
        <v>41</v>
      </c>
      <c r="H110">
        <f t="shared" si="5"/>
        <v>14.92</v>
      </c>
      <c r="I110" t="str">
        <f t="shared" si="6"/>
        <v>OK</v>
      </c>
      <c r="J110" t="b">
        <f t="shared" si="7"/>
        <v>0</v>
      </c>
    </row>
    <row r="111" spans="1:10">
      <c r="A111" t="str">
        <v>SKU-0110</v>
      </c>
      <c r="B111">
        <f>_xlfn.XLOOKUP(A111,order_items!I:I,order_items!C:C)</f>
        <v>110</v>
      </c>
      <c r="C111">
        <f>_xlfn.XLOOKUP(B111,inventory!B:B,inventory!D:D)</f>
        <v>404</v>
      </c>
      <c r="D111">
        <f>SUMIFS(order_items!D:D,order_items!C:C,reorder_point!B111)</f>
        <v>38</v>
      </c>
      <c r="E111">
        <f>450</f>
        <v>450</v>
      </c>
      <c r="F111">
        <f t="shared" si="4"/>
        <v>0.08</v>
      </c>
      <c r="G111">
        <f>IFERROR(_xlfn.XLOOKUP(B111,purchase_orders!C:C,purchase_orders!L:L),"")</f>
        <v>45</v>
      </c>
      <c r="H111">
        <f t="shared" si="5"/>
        <v>13.6</v>
      </c>
      <c r="I111" t="str">
        <f t="shared" si="6"/>
        <v>OK</v>
      </c>
      <c r="J111" t="b">
        <f t="shared" si="7"/>
        <v>0</v>
      </c>
    </row>
    <row r="112" spans="1:10">
      <c r="A112" t="str">
        <v>SKU0111</v>
      </c>
      <c r="B112">
        <f>_xlfn.XLOOKUP(A112,order_items!I:I,order_items!C:C)</f>
        <v>111</v>
      </c>
      <c r="C112">
        <f>_xlfn.XLOOKUP(B112,inventory!B:B,inventory!D:D)</f>
        <v>282</v>
      </c>
      <c r="D112">
        <f>SUMIFS(order_items!D:D,order_items!C:C,reorder_point!B112)</f>
        <v>22</v>
      </c>
      <c r="E112">
        <f>450</f>
        <v>450</v>
      </c>
      <c r="F112">
        <f t="shared" si="4"/>
        <v>0.05</v>
      </c>
      <c r="G112" t="str">
        <f>IFERROR(_xlfn.XLOOKUP(B112,purchase_orders!C:C,purchase_orders!L:L),"")</f>
        <v/>
      </c>
      <c r="H112" t="str">
        <f t="shared" si="5"/>
        <v/>
      </c>
      <c r="I112" t="str">
        <f t="shared" si="6"/>
        <v/>
      </c>
      <c r="J112" t="b">
        <f t="shared" si="7"/>
        <v>0</v>
      </c>
    </row>
    <row r="113" spans="1:10">
      <c r="A113" t="str">
        <v>SKU-0112</v>
      </c>
      <c r="B113">
        <f>_xlfn.XLOOKUP(A113,order_items!I:I,order_items!C:C)</f>
        <v>112</v>
      </c>
      <c r="C113">
        <f>_xlfn.XLOOKUP(B113,inventory!B:B,inventory!D:D)</f>
        <v>64</v>
      </c>
      <c r="D113">
        <f>SUMIFS(order_items!D:D,order_items!C:C,reorder_point!B113)</f>
        <v>41</v>
      </c>
      <c r="E113">
        <f>450</f>
        <v>450</v>
      </c>
      <c r="F113">
        <f t="shared" si="4"/>
        <v>0.09</v>
      </c>
      <c r="G113">
        <f>IFERROR(_xlfn.XLOOKUP(B113,purchase_orders!C:C,purchase_orders!L:L),"")</f>
        <v>34</v>
      </c>
      <c r="H113">
        <f t="shared" si="5"/>
        <v>13.06</v>
      </c>
      <c r="I113" t="str">
        <f t="shared" si="6"/>
        <v>OK</v>
      </c>
      <c r="J113" t="b">
        <f t="shared" si="7"/>
        <v>0</v>
      </c>
    </row>
    <row r="114" spans="1:10">
      <c r="A114" t="str">
        <v>SKU-0113</v>
      </c>
      <c r="B114">
        <f>_xlfn.XLOOKUP(A114,order_items!I:I,order_items!C:C)</f>
        <v>113</v>
      </c>
      <c r="C114">
        <f>_xlfn.XLOOKUP(B114,inventory!B:B,inventory!D:D)</f>
        <v>399</v>
      </c>
      <c r="D114">
        <f>SUMIFS(order_items!D:D,order_items!C:C,reorder_point!B114)</f>
        <v>21</v>
      </c>
      <c r="E114">
        <f>450</f>
        <v>450</v>
      </c>
      <c r="F114">
        <f t="shared" si="4"/>
        <v>0.05</v>
      </c>
      <c r="G114">
        <f>IFERROR(_xlfn.XLOOKUP(B114,purchase_orders!C:C,purchase_orders!L:L),"")</f>
        <v>17</v>
      </c>
      <c r="H114">
        <f t="shared" si="5"/>
        <v>10.85</v>
      </c>
      <c r="I114" t="str">
        <f t="shared" si="6"/>
        <v>OK</v>
      </c>
      <c r="J114" t="b">
        <f t="shared" si="7"/>
        <v>0</v>
      </c>
    </row>
    <row r="115" spans="1:10">
      <c r="A115" t="str">
        <v>SKU-0114</v>
      </c>
      <c r="B115">
        <f>_xlfn.XLOOKUP(A115,order_items!I:I,order_items!C:C)</f>
        <v>114</v>
      </c>
      <c r="C115">
        <f>_xlfn.XLOOKUP(B115,inventory!B:B,inventory!D:D)</f>
        <v>265</v>
      </c>
      <c r="D115">
        <f>SUMIFS(order_items!D:D,order_items!C:C,reorder_point!B115)</f>
        <v>25</v>
      </c>
      <c r="E115">
        <f>450</f>
        <v>450</v>
      </c>
      <c r="F115">
        <f t="shared" si="4"/>
        <v>0.06</v>
      </c>
      <c r="G115">
        <f>IFERROR(_xlfn.XLOOKUP(B115,purchase_orders!C:C,purchase_orders!L:L),"")</f>
        <v>41</v>
      </c>
      <c r="H115">
        <f t="shared" si="5"/>
        <v>12.46</v>
      </c>
      <c r="I115" t="str">
        <f t="shared" si="6"/>
        <v>OK</v>
      </c>
      <c r="J115" t="b">
        <f t="shared" si="7"/>
        <v>0</v>
      </c>
    </row>
    <row r="116" spans="1:10">
      <c r="A116" t="str">
        <v>SKU-0115</v>
      </c>
      <c r="B116">
        <f>_xlfn.XLOOKUP(A116,order_items!I:I,order_items!C:C)</f>
        <v>115</v>
      </c>
      <c r="C116">
        <f>_xlfn.XLOOKUP(B116,inventory!B:B,inventory!D:D)</f>
        <v>478</v>
      </c>
      <c r="D116">
        <f>SUMIFS(order_items!D:D,order_items!C:C,reorder_point!B116)</f>
        <v>22</v>
      </c>
      <c r="E116">
        <f>450</f>
        <v>450</v>
      </c>
      <c r="F116">
        <f t="shared" si="4"/>
        <v>0.05</v>
      </c>
      <c r="G116">
        <f>IFERROR(_xlfn.XLOOKUP(B116,purchase_orders!C:C,purchase_orders!L:L),"")</f>
        <v>31</v>
      </c>
      <c r="H116">
        <f t="shared" si="5"/>
        <v>11.55</v>
      </c>
      <c r="I116" t="str">
        <f t="shared" si="6"/>
        <v>OK</v>
      </c>
      <c r="J116" t="b">
        <f t="shared" si="7"/>
        <v>0</v>
      </c>
    </row>
    <row r="117" spans="1:10">
      <c r="A117" t="str">
        <v>SKU-0116</v>
      </c>
      <c r="B117">
        <f>_xlfn.XLOOKUP(A117,order_items!I:I,order_items!C:C)</f>
        <v>116</v>
      </c>
      <c r="C117">
        <f>_xlfn.XLOOKUP(B117,inventory!B:B,inventory!D:D)</f>
        <v>100</v>
      </c>
      <c r="D117">
        <f>SUMIFS(order_items!D:D,order_items!C:C,reorder_point!B117)</f>
        <v>14</v>
      </c>
      <c r="E117">
        <f>450</f>
        <v>450</v>
      </c>
      <c r="F117">
        <f t="shared" si="4"/>
        <v>0.03</v>
      </c>
      <c r="G117">
        <f>IFERROR(_xlfn.XLOOKUP(B117,purchase_orders!C:C,purchase_orders!L:L),"")</f>
        <v>22</v>
      </c>
      <c r="H117">
        <f t="shared" si="5"/>
        <v>10.66</v>
      </c>
      <c r="I117" t="str">
        <f t="shared" si="6"/>
        <v>OK</v>
      </c>
      <c r="J117" t="b">
        <f t="shared" si="7"/>
        <v>0</v>
      </c>
    </row>
    <row r="118" spans="1:10">
      <c r="A118" t="str">
        <v>SKU-0117</v>
      </c>
      <c r="B118">
        <f>_xlfn.XLOOKUP(A118,order_items!I:I,order_items!C:C)</f>
        <v>117</v>
      </c>
      <c r="C118">
        <f>_xlfn.XLOOKUP(B118,inventory!B:B,inventory!D:D)</f>
        <v>337</v>
      </c>
      <c r="D118">
        <f>SUMIFS(order_items!D:D,order_items!C:C,reorder_point!B118)</f>
        <v>55</v>
      </c>
      <c r="E118">
        <f>450</f>
        <v>450</v>
      </c>
      <c r="F118">
        <f t="shared" si="4"/>
        <v>0.12</v>
      </c>
      <c r="G118">
        <f>IFERROR(_xlfn.XLOOKUP(B118,purchase_orders!C:C,purchase_orders!L:L),"")</f>
        <v>59</v>
      </c>
      <c r="H118">
        <f t="shared" si="5"/>
        <v>17.079999999999998</v>
      </c>
      <c r="I118" t="str">
        <f t="shared" si="6"/>
        <v>OK</v>
      </c>
      <c r="J118" t="b">
        <f t="shared" si="7"/>
        <v>0</v>
      </c>
    </row>
    <row r="119" spans="1:10">
      <c r="A119" t="str">
        <v>SKU-0118</v>
      </c>
      <c r="B119">
        <f>_xlfn.XLOOKUP(A119,order_items!I:I,order_items!C:C)</f>
        <v>118</v>
      </c>
      <c r="C119">
        <f>_xlfn.XLOOKUP(B119,inventory!B:B,inventory!D:D)</f>
        <v>23</v>
      </c>
      <c r="D119">
        <f>SUMIFS(order_items!D:D,order_items!C:C,reorder_point!B119)</f>
        <v>30</v>
      </c>
      <c r="E119">
        <f>450</f>
        <v>450</v>
      </c>
      <c r="F119">
        <f t="shared" si="4"/>
        <v>7.0000000000000007E-2</v>
      </c>
      <c r="G119">
        <f>IFERROR(_xlfn.XLOOKUP(B119,purchase_orders!C:C,purchase_orders!L:L),"")</f>
        <v>7</v>
      </c>
      <c r="H119">
        <f t="shared" si="5"/>
        <v>10.49</v>
      </c>
      <c r="I119" t="str">
        <f t="shared" si="6"/>
        <v>OK</v>
      </c>
      <c r="J119" t="b">
        <f t="shared" si="7"/>
        <v>0</v>
      </c>
    </row>
    <row r="120" spans="1:10">
      <c r="A120" t="str">
        <v>SKU-0119</v>
      </c>
      <c r="B120">
        <f>_xlfn.XLOOKUP(A120,order_items!I:I,order_items!C:C)</f>
        <v>119</v>
      </c>
      <c r="C120">
        <f>_xlfn.XLOOKUP(B120,inventory!B:B,inventory!D:D)</f>
        <v>292</v>
      </c>
      <c r="D120">
        <f>SUMIFS(order_items!D:D,order_items!C:C,reorder_point!B120)</f>
        <v>51</v>
      </c>
      <c r="E120">
        <f>450</f>
        <v>450</v>
      </c>
      <c r="F120">
        <f t="shared" si="4"/>
        <v>0.11</v>
      </c>
      <c r="G120">
        <f>IFERROR(_xlfn.XLOOKUP(B120,purchase_orders!C:C,purchase_orders!L:L),"")</f>
        <v>18</v>
      </c>
      <c r="H120">
        <f t="shared" si="5"/>
        <v>11.98</v>
      </c>
      <c r="I120" t="str">
        <f t="shared" si="6"/>
        <v>OK</v>
      </c>
      <c r="J120" t="b">
        <f t="shared" si="7"/>
        <v>0</v>
      </c>
    </row>
    <row r="121" spans="1:10">
      <c r="A121" t="str">
        <v>SKU-0120</v>
      </c>
      <c r="B121">
        <f>_xlfn.XLOOKUP(A121,order_items!I:I,order_items!C:C)</f>
        <v>120</v>
      </c>
      <c r="C121">
        <f>_xlfn.XLOOKUP(B121,inventory!B:B,inventory!D:D)</f>
        <v>152</v>
      </c>
      <c r="D121">
        <f>SUMIFS(order_items!D:D,order_items!C:C,reorder_point!B121)</f>
        <v>30</v>
      </c>
      <c r="E121">
        <f>450</f>
        <v>450</v>
      </c>
      <c r="F121">
        <f t="shared" si="4"/>
        <v>7.0000000000000007E-2</v>
      </c>
      <c r="G121">
        <f>IFERROR(_xlfn.XLOOKUP(B121,purchase_orders!C:C,purchase_orders!L:L),"")</f>
        <v>19</v>
      </c>
      <c r="H121">
        <f t="shared" si="5"/>
        <v>11.33</v>
      </c>
      <c r="I121" t="str">
        <f t="shared" si="6"/>
        <v>OK</v>
      </c>
      <c r="J121" t="b">
        <f t="shared" si="7"/>
        <v>0</v>
      </c>
    </row>
    <row r="122" spans="1:10">
      <c r="A122" t="str">
        <v>SKU-0121</v>
      </c>
      <c r="B122">
        <f>_xlfn.XLOOKUP(A122,order_items!I:I,order_items!C:C)</f>
        <v>121</v>
      </c>
      <c r="C122">
        <f>_xlfn.XLOOKUP(B122,inventory!B:B,inventory!D:D)</f>
        <v>174</v>
      </c>
      <c r="D122">
        <f>SUMIFS(order_items!D:D,order_items!C:C,reorder_point!B122)</f>
        <v>25</v>
      </c>
      <c r="E122">
        <f>450</f>
        <v>450</v>
      </c>
      <c r="F122">
        <f t="shared" si="4"/>
        <v>0.06</v>
      </c>
      <c r="G122">
        <f>IFERROR(_xlfn.XLOOKUP(B122,purchase_orders!C:C,purchase_orders!L:L),"")</f>
        <v>56</v>
      </c>
      <c r="H122">
        <f t="shared" si="5"/>
        <v>13.36</v>
      </c>
      <c r="I122" t="str">
        <f t="shared" si="6"/>
        <v>OK</v>
      </c>
      <c r="J122" t="b">
        <f t="shared" si="7"/>
        <v>0</v>
      </c>
    </row>
    <row r="123" spans="1:10">
      <c r="A123" t="str">
        <v>SKU-0122</v>
      </c>
      <c r="B123">
        <f>_xlfn.XLOOKUP(A123,order_items!I:I,order_items!C:C)</f>
        <v>122</v>
      </c>
      <c r="C123">
        <f>_xlfn.XLOOKUP(B123,inventory!B:B,inventory!D:D)</f>
        <v>389</v>
      </c>
      <c r="D123">
        <f>SUMIFS(order_items!D:D,order_items!C:C,reorder_point!B123)</f>
        <v>47</v>
      </c>
      <c r="E123">
        <f>450</f>
        <v>450</v>
      </c>
      <c r="F123">
        <f t="shared" si="4"/>
        <v>0.1</v>
      </c>
      <c r="G123" t="str">
        <f>IFERROR(_xlfn.XLOOKUP(B123,purchase_orders!C:C,purchase_orders!L:L),"")</f>
        <v/>
      </c>
      <c r="H123" t="str">
        <f t="shared" si="5"/>
        <v/>
      </c>
      <c r="I123" t="str">
        <f t="shared" si="6"/>
        <v/>
      </c>
      <c r="J123" t="b">
        <f t="shared" si="7"/>
        <v>0</v>
      </c>
    </row>
    <row r="124" spans="1:10">
      <c r="A124" t="str">
        <v>SKU-0123</v>
      </c>
      <c r="B124">
        <f>_xlfn.XLOOKUP(A124,order_items!I:I,order_items!C:C)</f>
        <v>123</v>
      </c>
      <c r="C124">
        <f>_xlfn.XLOOKUP(B124,inventory!B:B,inventory!D:D)</f>
        <v>230</v>
      </c>
      <c r="D124">
        <f>SUMIFS(order_items!D:D,order_items!C:C,reorder_point!B124)</f>
        <v>41</v>
      </c>
      <c r="E124">
        <f>450</f>
        <v>450</v>
      </c>
      <c r="F124">
        <f t="shared" si="4"/>
        <v>0.09</v>
      </c>
      <c r="G124">
        <f>IFERROR(_xlfn.XLOOKUP(B124,purchase_orders!C:C,purchase_orders!L:L),"")</f>
        <v>55</v>
      </c>
      <c r="H124">
        <f t="shared" si="5"/>
        <v>14.95</v>
      </c>
      <c r="I124" t="str">
        <f t="shared" si="6"/>
        <v>OK</v>
      </c>
      <c r="J124" t="b">
        <f t="shared" si="7"/>
        <v>0</v>
      </c>
    </row>
    <row r="125" spans="1:10">
      <c r="A125" t="str">
        <v>SKU-0124</v>
      </c>
      <c r="B125">
        <f>_xlfn.XLOOKUP(A125,order_items!I:I,order_items!C:C)</f>
        <v>124</v>
      </c>
      <c r="C125">
        <f>_xlfn.XLOOKUP(B125,inventory!B:B,inventory!D:D)</f>
        <v>484</v>
      </c>
      <c r="D125">
        <f>SUMIFS(order_items!D:D,order_items!C:C,reorder_point!B125)</f>
        <v>38</v>
      </c>
      <c r="E125">
        <f>450</f>
        <v>450</v>
      </c>
      <c r="F125">
        <f t="shared" si="4"/>
        <v>0.08</v>
      </c>
      <c r="G125" t="str">
        <f>IFERROR(_xlfn.XLOOKUP(B125,purchase_orders!C:C,purchase_orders!L:L),"")</f>
        <v/>
      </c>
      <c r="H125" t="str">
        <f t="shared" si="5"/>
        <v/>
      </c>
      <c r="I125" t="str">
        <f t="shared" si="6"/>
        <v/>
      </c>
      <c r="J125" t="b">
        <f t="shared" si="7"/>
        <v>0</v>
      </c>
    </row>
    <row r="126" spans="1:10">
      <c r="A126" t="str">
        <v>SKU-0125</v>
      </c>
      <c r="B126">
        <f>_xlfn.XLOOKUP(A126,order_items!I:I,order_items!C:C)</f>
        <v>125</v>
      </c>
      <c r="C126">
        <f>_xlfn.XLOOKUP(B126,inventory!B:B,inventory!D:D)</f>
        <v>416</v>
      </c>
      <c r="D126">
        <f>SUMIFS(order_items!D:D,order_items!C:C,reorder_point!B126)</f>
        <v>50</v>
      </c>
      <c r="E126">
        <f>450</f>
        <v>450</v>
      </c>
      <c r="F126">
        <f t="shared" si="4"/>
        <v>0.11</v>
      </c>
      <c r="G126">
        <f>IFERROR(_xlfn.XLOOKUP(B126,purchase_orders!C:C,purchase_orders!L:L),"")</f>
        <v>38</v>
      </c>
      <c r="H126">
        <f t="shared" si="5"/>
        <v>14.18</v>
      </c>
      <c r="I126" t="str">
        <f t="shared" si="6"/>
        <v>OK</v>
      </c>
      <c r="J126" t="b">
        <f t="shared" si="7"/>
        <v>0</v>
      </c>
    </row>
    <row r="127" spans="1:10">
      <c r="A127" t="str">
        <v>SKU-0126</v>
      </c>
      <c r="B127">
        <f>_xlfn.XLOOKUP(A127,order_items!I:I,order_items!C:C)</f>
        <v>126</v>
      </c>
      <c r="C127">
        <f>_xlfn.XLOOKUP(B127,inventory!B:B,inventory!D:D)</f>
        <v>263</v>
      </c>
      <c r="D127">
        <f>SUMIFS(order_items!D:D,order_items!C:C,reorder_point!B127)</f>
        <v>49</v>
      </c>
      <c r="E127">
        <f>450</f>
        <v>450</v>
      </c>
      <c r="F127">
        <f t="shared" si="4"/>
        <v>0.11</v>
      </c>
      <c r="G127" t="str">
        <f>IFERROR(_xlfn.XLOOKUP(B127,purchase_orders!C:C,purchase_orders!L:L),"")</f>
        <v/>
      </c>
      <c r="H127" t="str">
        <f t="shared" si="5"/>
        <v/>
      </c>
      <c r="I127" t="str">
        <f t="shared" si="6"/>
        <v/>
      </c>
      <c r="J127" t="b">
        <f t="shared" si="7"/>
        <v>0</v>
      </c>
    </row>
    <row r="128" spans="1:10">
      <c r="A128" t="str">
        <v>SKU-0127</v>
      </c>
      <c r="B128">
        <f>_xlfn.XLOOKUP(A128,order_items!I:I,order_items!C:C)</f>
        <v>127</v>
      </c>
      <c r="C128">
        <f>_xlfn.XLOOKUP(B128,inventory!B:B,inventory!D:D)</f>
        <v>46</v>
      </c>
      <c r="D128">
        <f>SUMIFS(order_items!D:D,order_items!C:C,reorder_point!B128)</f>
        <v>54</v>
      </c>
      <c r="E128">
        <f>450</f>
        <v>450</v>
      </c>
      <c r="F128">
        <f t="shared" si="4"/>
        <v>0.12</v>
      </c>
      <c r="G128">
        <f>IFERROR(_xlfn.XLOOKUP(B128,purchase_orders!C:C,purchase_orders!L:L),"")</f>
        <v>33</v>
      </c>
      <c r="H128">
        <f t="shared" si="5"/>
        <v>13.96</v>
      </c>
      <c r="I128" t="str">
        <f t="shared" si="6"/>
        <v>OK</v>
      </c>
      <c r="J128" t="b">
        <f t="shared" si="7"/>
        <v>0</v>
      </c>
    </row>
    <row r="129" spans="1:10">
      <c r="A129" t="str">
        <v>SKU-0128</v>
      </c>
      <c r="B129">
        <f>_xlfn.XLOOKUP(A129,order_items!I:I,order_items!C:C)</f>
        <v>128</v>
      </c>
      <c r="C129">
        <f>_xlfn.XLOOKUP(B129,inventory!B:B,inventory!D:D)</f>
        <v>144</v>
      </c>
      <c r="D129">
        <f>SUMIFS(order_items!D:D,order_items!C:C,reorder_point!B129)</f>
        <v>65</v>
      </c>
      <c r="E129">
        <f>450</f>
        <v>450</v>
      </c>
      <c r="F129">
        <f t="shared" si="4"/>
        <v>0.14000000000000001</v>
      </c>
      <c r="G129" t="str">
        <f>IFERROR(_xlfn.XLOOKUP(B129,purchase_orders!C:C,purchase_orders!L:L),"")</f>
        <v/>
      </c>
      <c r="H129" t="str">
        <f t="shared" si="5"/>
        <v/>
      </c>
      <c r="I129" t="str">
        <f t="shared" si="6"/>
        <v/>
      </c>
      <c r="J129" t="b">
        <f t="shared" si="7"/>
        <v>0</v>
      </c>
    </row>
    <row r="130" spans="1:10">
      <c r="A130" t="str">
        <v>SKU-0129</v>
      </c>
      <c r="B130">
        <f>_xlfn.XLOOKUP(A130,order_items!I:I,order_items!C:C)</f>
        <v>129</v>
      </c>
      <c r="C130">
        <f>_xlfn.XLOOKUP(B130,inventory!B:B,inventory!D:D)</f>
        <v>68</v>
      </c>
      <c r="D130">
        <f>SUMIFS(order_items!D:D,order_items!C:C,reorder_point!B130)</f>
        <v>23</v>
      </c>
      <c r="E130">
        <f>450</f>
        <v>450</v>
      </c>
      <c r="F130">
        <f t="shared" si="4"/>
        <v>0.05</v>
      </c>
      <c r="G130">
        <f>IFERROR(_xlfn.XLOOKUP(B130,purchase_orders!C:C,purchase_orders!L:L),"")</f>
        <v>29</v>
      </c>
      <c r="H130">
        <f t="shared" si="5"/>
        <v>11.45</v>
      </c>
      <c r="I130" t="str">
        <f t="shared" si="6"/>
        <v>OK</v>
      </c>
      <c r="J130" t="b">
        <f t="shared" si="7"/>
        <v>0</v>
      </c>
    </row>
    <row r="131" spans="1:10">
      <c r="A131" t="str">
        <v>SKU-0130</v>
      </c>
      <c r="B131">
        <f>_xlfn.XLOOKUP(A131,order_items!I:I,order_items!C:C)</f>
        <v>130</v>
      </c>
      <c r="C131">
        <f>_xlfn.XLOOKUP(B131,inventory!B:B,inventory!D:D)</f>
        <v>23</v>
      </c>
      <c r="D131">
        <f>SUMIFS(order_items!D:D,order_items!C:C,reorder_point!B131)</f>
        <v>34</v>
      </c>
      <c r="E131">
        <f>450</f>
        <v>450</v>
      </c>
      <c r="F131">
        <f t="shared" ref="F131:F151" si="8">ROUND(D131/E131,2)</f>
        <v>0.08</v>
      </c>
      <c r="G131">
        <f>IFERROR(_xlfn.XLOOKUP(B131,purchase_orders!C:C,purchase_orders!L:L),"")</f>
        <v>31</v>
      </c>
      <c r="H131">
        <f t="shared" ref="H131:H151" si="9">IFERROR(F131*G131+10,"")</f>
        <v>12.48</v>
      </c>
      <c r="I131" t="str">
        <f t="shared" ref="I131:I151" si="10">IF(H131="","",IF(C131&lt;H131,"Reorder","OK"))</f>
        <v>OK</v>
      </c>
      <c r="J131" t="b">
        <f t="shared" ref="J131:J151" si="11">COUNTIF(A131:A280,A131)&gt;1</f>
        <v>0</v>
      </c>
    </row>
    <row r="132" spans="1:10">
      <c r="A132" t="str">
        <v>SKU-0131</v>
      </c>
      <c r="B132">
        <f>_xlfn.XLOOKUP(A132,order_items!I:I,order_items!C:C)</f>
        <v>131</v>
      </c>
      <c r="C132">
        <f>_xlfn.XLOOKUP(B132,inventory!B:B,inventory!D:D)</f>
        <v>258</v>
      </c>
      <c r="D132">
        <f>SUMIFS(order_items!D:D,order_items!C:C,reorder_point!B132)</f>
        <v>36</v>
      </c>
      <c r="E132">
        <f>450</f>
        <v>450</v>
      </c>
      <c r="F132">
        <f t="shared" si="8"/>
        <v>0.08</v>
      </c>
      <c r="G132">
        <f>IFERROR(_xlfn.XLOOKUP(B132,purchase_orders!C:C,purchase_orders!L:L),"")</f>
        <v>32</v>
      </c>
      <c r="H132">
        <f t="shared" si="9"/>
        <v>12.56</v>
      </c>
      <c r="I132" t="str">
        <f t="shared" si="10"/>
        <v>OK</v>
      </c>
      <c r="J132" t="b">
        <f t="shared" si="11"/>
        <v>0</v>
      </c>
    </row>
    <row r="133" spans="1:10">
      <c r="A133" t="str">
        <v>SKU-0132</v>
      </c>
      <c r="B133">
        <f>_xlfn.XLOOKUP(A133,order_items!I:I,order_items!C:C)</f>
        <v>132</v>
      </c>
      <c r="C133">
        <f>_xlfn.XLOOKUP(B133,inventory!B:B,inventory!D:D)</f>
        <v>201</v>
      </c>
      <c r="D133">
        <f>SUMIFS(order_items!D:D,order_items!C:C,reorder_point!B133)</f>
        <v>18</v>
      </c>
      <c r="E133">
        <f>450</f>
        <v>450</v>
      </c>
      <c r="F133">
        <f t="shared" si="8"/>
        <v>0.04</v>
      </c>
      <c r="G133">
        <f>IFERROR(_xlfn.XLOOKUP(B133,purchase_orders!C:C,purchase_orders!L:L),"")</f>
        <v>4</v>
      </c>
      <c r="H133">
        <f t="shared" si="9"/>
        <v>10.16</v>
      </c>
      <c r="I133" t="str">
        <f t="shared" si="10"/>
        <v>OK</v>
      </c>
      <c r="J133" t="b">
        <f t="shared" si="11"/>
        <v>0</v>
      </c>
    </row>
    <row r="134" spans="1:10">
      <c r="A134" t="str">
        <v>SKU-0133</v>
      </c>
      <c r="B134">
        <f>_xlfn.XLOOKUP(A134,order_items!I:I,order_items!C:C)</f>
        <v>133</v>
      </c>
      <c r="C134">
        <f>_xlfn.XLOOKUP(B134,inventory!B:B,inventory!D:D)</f>
        <v>23</v>
      </c>
      <c r="D134">
        <f>SUMIFS(order_items!D:D,order_items!C:C,reorder_point!B134)</f>
        <v>28</v>
      </c>
      <c r="E134">
        <f>450</f>
        <v>450</v>
      </c>
      <c r="F134">
        <f t="shared" si="8"/>
        <v>0.06</v>
      </c>
      <c r="G134">
        <f>IFERROR(_xlfn.XLOOKUP(B134,purchase_orders!C:C,purchase_orders!L:L),"")</f>
        <v>19</v>
      </c>
      <c r="H134">
        <f t="shared" si="9"/>
        <v>11.14</v>
      </c>
      <c r="I134" t="str">
        <f t="shared" si="10"/>
        <v>OK</v>
      </c>
      <c r="J134" t="b">
        <f t="shared" si="11"/>
        <v>0</v>
      </c>
    </row>
    <row r="135" spans="1:10">
      <c r="A135" t="str">
        <v>SKU-0134</v>
      </c>
      <c r="B135">
        <f>_xlfn.XLOOKUP(A135,order_items!I:I,order_items!C:C)</f>
        <v>134</v>
      </c>
      <c r="C135">
        <f>_xlfn.XLOOKUP(B135,inventory!B:B,inventory!D:D)</f>
        <v>167</v>
      </c>
      <c r="D135">
        <f>SUMIFS(order_items!D:D,order_items!C:C,reorder_point!B135)</f>
        <v>68</v>
      </c>
      <c r="E135">
        <f>450</f>
        <v>450</v>
      </c>
      <c r="F135">
        <f t="shared" si="8"/>
        <v>0.15</v>
      </c>
      <c r="G135">
        <f>IFERROR(_xlfn.XLOOKUP(B135,purchase_orders!C:C,purchase_orders!L:L),"")</f>
        <v>33</v>
      </c>
      <c r="H135">
        <f t="shared" si="9"/>
        <v>14.95</v>
      </c>
      <c r="I135" t="str">
        <f t="shared" si="10"/>
        <v>OK</v>
      </c>
      <c r="J135" t="b">
        <f t="shared" si="11"/>
        <v>0</v>
      </c>
    </row>
    <row r="136" spans="1:10">
      <c r="A136" t="str">
        <v>SKU-0135</v>
      </c>
      <c r="B136">
        <f>_xlfn.XLOOKUP(A136,order_items!I:I,order_items!C:C)</f>
        <v>135</v>
      </c>
      <c r="C136">
        <f>_xlfn.XLOOKUP(B136,inventory!B:B,inventory!D:D)</f>
        <v>424</v>
      </c>
      <c r="D136">
        <f>SUMIFS(order_items!D:D,order_items!C:C,reorder_point!B136)</f>
        <v>33</v>
      </c>
      <c r="E136">
        <f>450</f>
        <v>450</v>
      </c>
      <c r="F136">
        <f t="shared" si="8"/>
        <v>7.0000000000000007E-2</v>
      </c>
      <c r="G136">
        <f>IFERROR(_xlfn.XLOOKUP(B136,purchase_orders!C:C,purchase_orders!L:L),"")</f>
        <v>25</v>
      </c>
      <c r="H136">
        <f t="shared" si="9"/>
        <v>11.75</v>
      </c>
      <c r="I136" t="str">
        <f t="shared" si="10"/>
        <v>OK</v>
      </c>
      <c r="J136" t="b">
        <f t="shared" si="11"/>
        <v>0</v>
      </c>
    </row>
    <row r="137" spans="1:10">
      <c r="A137" t="str">
        <v>SKU-0136</v>
      </c>
      <c r="B137">
        <f>_xlfn.XLOOKUP(A137,order_items!I:I,order_items!C:C)</f>
        <v>136</v>
      </c>
      <c r="C137">
        <f>_xlfn.XLOOKUP(B137,inventory!B:B,inventory!D:D)</f>
        <v>298</v>
      </c>
      <c r="D137">
        <f>SUMIFS(order_items!D:D,order_items!C:C,reorder_point!B137)</f>
        <v>27</v>
      </c>
      <c r="E137">
        <f>450</f>
        <v>450</v>
      </c>
      <c r="F137">
        <f t="shared" si="8"/>
        <v>0.06</v>
      </c>
      <c r="G137">
        <f>IFERROR(_xlfn.XLOOKUP(B137,purchase_orders!C:C,purchase_orders!L:L),"")</f>
        <v>54</v>
      </c>
      <c r="H137">
        <f t="shared" si="9"/>
        <v>13.24</v>
      </c>
      <c r="I137" t="str">
        <f t="shared" si="10"/>
        <v>OK</v>
      </c>
      <c r="J137" t="b">
        <f t="shared" si="11"/>
        <v>0</v>
      </c>
    </row>
    <row r="138" spans="1:10">
      <c r="A138" t="str">
        <v>SKU-0137</v>
      </c>
      <c r="B138">
        <f>_xlfn.XLOOKUP(A138,order_items!I:I,order_items!C:C)</f>
        <v>137</v>
      </c>
      <c r="C138">
        <f>_xlfn.XLOOKUP(B138,inventory!B:B,inventory!D:D)</f>
        <v>495</v>
      </c>
      <c r="D138">
        <f>SUMIFS(order_items!D:D,order_items!C:C,reorder_point!B138)</f>
        <v>36</v>
      </c>
      <c r="E138">
        <f>450</f>
        <v>450</v>
      </c>
      <c r="F138">
        <f t="shared" si="8"/>
        <v>0.08</v>
      </c>
      <c r="G138">
        <f>IFERROR(_xlfn.XLOOKUP(B138,purchase_orders!C:C,purchase_orders!L:L),"")</f>
        <v>34</v>
      </c>
      <c r="H138">
        <f t="shared" si="9"/>
        <v>12.72</v>
      </c>
      <c r="I138" t="str">
        <f t="shared" si="10"/>
        <v>OK</v>
      </c>
      <c r="J138" t="b">
        <f t="shared" si="11"/>
        <v>0</v>
      </c>
    </row>
    <row r="139" spans="1:10">
      <c r="A139" t="str">
        <v>SKU-0138</v>
      </c>
      <c r="B139">
        <f>_xlfn.XLOOKUP(A139,order_items!I:I,order_items!C:C)</f>
        <v>138</v>
      </c>
      <c r="C139">
        <f>_xlfn.XLOOKUP(B139,inventory!B:B,inventory!D:D)</f>
        <v>348</v>
      </c>
      <c r="D139">
        <f>SUMIFS(order_items!D:D,order_items!C:C,reorder_point!B139)</f>
        <v>32</v>
      </c>
      <c r="E139">
        <f>450</f>
        <v>450</v>
      </c>
      <c r="F139">
        <f t="shared" si="8"/>
        <v>7.0000000000000007E-2</v>
      </c>
      <c r="G139">
        <f>IFERROR(_xlfn.XLOOKUP(B139,purchase_orders!C:C,purchase_orders!L:L),"")</f>
        <v>24</v>
      </c>
      <c r="H139">
        <f t="shared" si="9"/>
        <v>11.68</v>
      </c>
      <c r="I139" t="str">
        <f t="shared" si="10"/>
        <v>OK</v>
      </c>
      <c r="J139" t="b">
        <f t="shared" si="11"/>
        <v>0</v>
      </c>
    </row>
    <row r="140" spans="1:10">
      <c r="A140" t="str">
        <v>SKU-0139</v>
      </c>
      <c r="B140">
        <f>_xlfn.XLOOKUP(A140,order_items!I:I,order_items!C:C)</f>
        <v>139</v>
      </c>
      <c r="C140">
        <f>_xlfn.XLOOKUP(B140,inventory!B:B,inventory!D:D)</f>
        <v>353</v>
      </c>
      <c r="D140">
        <f>SUMIFS(order_items!D:D,order_items!C:C,reorder_point!B140)</f>
        <v>17</v>
      </c>
      <c r="E140">
        <f>450</f>
        <v>450</v>
      </c>
      <c r="F140">
        <f t="shared" si="8"/>
        <v>0.04</v>
      </c>
      <c r="G140">
        <f>IFERROR(_xlfn.XLOOKUP(B140,purchase_orders!C:C,purchase_orders!L:L),"")</f>
        <v>16</v>
      </c>
      <c r="H140">
        <f t="shared" si="9"/>
        <v>10.64</v>
      </c>
      <c r="I140" t="str">
        <f t="shared" si="10"/>
        <v>OK</v>
      </c>
      <c r="J140" t="b">
        <f t="shared" si="11"/>
        <v>0</v>
      </c>
    </row>
    <row r="141" spans="1:10">
      <c r="A141" t="str">
        <v>SKU-0140</v>
      </c>
      <c r="B141">
        <f>_xlfn.XLOOKUP(A141,order_items!I:I,order_items!C:C)</f>
        <v>140</v>
      </c>
      <c r="C141">
        <f>_xlfn.XLOOKUP(B141,inventory!B:B,inventory!D:D)</f>
        <v>70</v>
      </c>
      <c r="D141">
        <f>SUMIFS(order_items!D:D,order_items!C:C,reorder_point!B141)</f>
        <v>36</v>
      </c>
      <c r="E141">
        <f>450</f>
        <v>450</v>
      </c>
      <c r="F141">
        <f t="shared" si="8"/>
        <v>0.08</v>
      </c>
      <c r="G141">
        <f>IFERROR(_xlfn.XLOOKUP(B141,purchase_orders!C:C,purchase_orders!L:L),"")</f>
        <v>34</v>
      </c>
      <c r="H141">
        <f t="shared" si="9"/>
        <v>12.72</v>
      </c>
      <c r="I141" t="str">
        <f t="shared" si="10"/>
        <v>OK</v>
      </c>
      <c r="J141" t="b">
        <f t="shared" si="11"/>
        <v>0</v>
      </c>
    </row>
    <row r="142" spans="1:10">
      <c r="A142" t="str">
        <v>SKU-0141</v>
      </c>
      <c r="B142">
        <f>_xlfn.XLOOKUP(A142,order_items!I:I,order_items!C:C)</f>
        <v>141</v>
      </c>
      <c r="C142">
        <f>_xlfn.XLOOKUP(B142,inventory!B:B,inventory!D:D)</f>
        <v>279</v>
      </c>
      <c r="D142">
        <f>SUMIFS(order_items!D:D,order_items!C:C,reorder_point!B142)</f>
        <v>55</v>
      </c>
      <c r="E142">
        <f>450</f>
        <v>450</v>
      </c>
      <c r="F142">
        <f t="shared" si="8"/>
        <v>0.12</v>
      </c>
      <c r="G142">
        <f>IFERROR(_xlfn.XLOOKUP(B142,purchase_orders!C:C,purchase_orders!L:L),"")</f>
        <v>37</v>
      </c>
      <c r="H142">
        <f t="shared" si="9"/>
        <v>14.44</v>
      </c>
      <c r="I142" t="str">
        <f t="shared" si="10"/>
        <v>OK</v>
      </c>
      <c r="J142" t="b">
        <f t="shared" si="11"/>
        <v>0</v>
      </c>
    </row>
    <row r="143" spans="1:10">
      <c r="A143" t="str">
        <v>SKU-0142</v>
      </c>
      <c r="B143">
        <f>_xlfn.XLOOKUP(A143,order_items!I:I,order_items!C:C)</f>
        <v>142</v>
      </c>
      <c r="C143">
        <f>_xlfn.XLOOKUP(B143,inventory!B:B,inventory!D:D)</f>
        <v>490</v>
      </c>
      <c r="D143">
        <f>SUMIFS(order_items!D:D,order_items!C:C,reorder_point!B143)</f>
        <v>27</v>
      </c>
      <c r="E143">
        <f>450</f>
        <v>450</v>
      </c>
      <c r="F143">
        <f t="shared" si="8"/>
        <v>0.06</v>
      </c>
      <c r="G143">
        <f>IFERROR(_xlfn.XLOOKUP(B143,purchase_orders!C:C,purchase_orders!L:L),"")</f>
        <v>30</v>
      </c>
      <c r="H143">
        <f t="shared" si="9"/>
        <v>11.8</v>
      </c>
      <c r="I143" t="str">
        <f t="shared" si="10"/>
        <v>OK</v>
      </c>
      <c r="J143" t="b">
        <f t="shared" si="11"/>
        <v>0</v>
      </c>
    </row>
    <row r="144" spans="1:10">
      <c r="A144" t="str">
        <v>SKU-0143</v>
      </c>
      <c r="B144">
        <f>_xlfn.XLOOKUP(A144,order_items!I:I,order_items!C:C)</f>
        <v>143</v>
      </c>
      <c r="C144">
        <f>_xlfn.XLOOKUP(B144,inventory!B:B,inventory!D:D)</f>
        <v>178</v>
      </c>
      <c r="D144">
        <f>SUMIFS(order_items!D:D,order_items!C:C,reorder_point!B144)</f>
        <v>22</v>
      </c>
      <c r="E144">
        <f>450</f>
        <v>450</v>
      </c>
      <c r="F144">
        <f t="shared" si="8"/>
        <v>0.05</v>
      </c>
      <c r="G144">
        <f>IFERROR(_xlfn.XLOOKUP(B144,purchase_orders!C:C,purchase_orders!L:L),"")</f>
        <v>24</v>
      </c>
      <c r="H144">
        <f t="shared" si="9"/>
        <v>11.2</v>
      </c>
      <c r="I144" t="str">
        <f t="shared" si="10"/>
        <v>OK</v>
      </c>
      <c r="J144" t="b">
        <f t="shared" si="11"/>
        <v>0</v>
      </c>
    </row>
    <row r="145" spans="1:10">
      <c r="A145" t="str">
        <v>SKU-0144</v>
      </c>
      <c r="B145">
        <f>_xlfn.XLOOKUP(A145,order_items!I:I,order_items!C:C)</f>
        <v>144</v>
      </c>
      <c r="C145">
        <f>_xlfn.XLOOKUP(B145,inventory!B:B,inventory!D:D)</f>
        <v>488</v>
      </c>
      <c r="D145">
        <f>SUMIFS(order_items!D:D,order_items!C:C,reorder_point!B145)</f>
        <v>32</v>
      </c>
      <c r="E145">
        <f>450</f>
        <v>450</v>
      </c>
      <c r="F145">
        <f t="shared" si="8"/>
        <v>7.0000000000000007E-2</v>
      </c>
      <c r="G145">
        <f>IFERROR(_xlfn.XLOOKUP(B145,purchase_orders!C:C,purchase_orders!L:L),"")</f>
        <v>49</v>
      </c>
      <c r="H145">
        <f t="shared" si="9"/>
        <v>13.43</v>
      </c>
      <c r="I145" t="str">
        <f t="shared" si="10"/>
        <v>OK</v>
      </c>
      <c r="J145" t="b">
        <f t="shared" si="11"/>
        <v>0</v>
      </c>
    </row>
    <row r="146" spans="1:10">
      <c r="A146" t="str">
        <v>SKU-0145</v>
      </c>
      <c r="B146">
        <f>_xlfn.XLOOKUP(A146,order_items!I:I,order_items!C:C)</f>
        <v>145</v>
      </c>
      <c r="C146">
        <f>_xlfn.XLOOKUP(B146,inventory!B:B,inventory!D:D)</f>
        <v>473</v>
      </c>
      <c r="D146">
        <f>SUMIFS(order_items!D:D,order_items!C:C,reorder_point!B146)</f>
        <v>24</v>
      </c>
      <c r="E146">
        <f>450</f>
        <v>450</v>
      </c>
      <c r="F146">
        <f t="shared" si="8"/>
        <v>0.05</v>
      </c>
      <c r="G146" t="str">
        <f>IFERROR(_xlfn.XLOOKUP(B146,purchase_orders!C:C,purchase_orders!L:L),"")</f>
        <v/>
      </c>
      <c r="H146" t="str">
        <f t="shared" si="9"/>
        <v/>
      </c>
      <c r="I146" t="str">
        <f t="shared" si="10"/>
        <v/>
      </c>
      <c r="J146" t="b">
        <f t="shared" si="11"/>
        <v>0</v>
      </c>
    </row>
    <row r="147" spans="1:10">
      <c r="A147" t="str">
        <v>SKU-0146</v>
      </c>
      <c r="B147">
        <f>_xlfn.XLOOKUP(A147,order_items!I:I,order_items!C:C)</f>
        <v>146</v>
      </c>
      <c r="C147">
        <f>_xlfn.XLOOKUP(B147,inventory!B:B,inventory!D:D)</f>
        <v>423</v>
      </c>
      <c r="D147">
        <f>SUMIFS(order_items!D:D,order_items!C:C,reorder_point!B147)</f>
        <v>18</v>
      </c>
      <c r="E147">
        <f>450</f>
        <v>450</v>
      </c>
      <c r="F147">
        <f t="shared" si="8"/>
        <v>0.04</v>
      </c>
      <c r="G147">
        <f>IFERROR(_xlfn.XLOOKUP(B147,purchase_orders!C:C,purchase_orders!L:L),"")</f>
        <v>21</v>
      </c>
      <c r="H147">
        <f t="shared" si="9"/>
        <v>10.84</v>
      </c>
      <c r="I147" t="str">
        <f t="shared" si="10"/>
        <v>OK</v>
      </c>
      <c r="J147" t="b">
        <f t="shared" si="11"/>
        <v>0</v>
      </c>
    </row>
    <row r="148" spans="1:10">
      <c r="A148" t="str">
        <v>SKU-0147</v>
      </c>
      <c r="B148">
        <f>_xlfn.XLOOKUP(A148,order_items!I:I,order_items!C:C)</f>
        <v>147</v>
      </c>
      <c r="C148">
        <f>_xlfn.XLOOKUP(B148,inventory!B:B,inventory!D:D)</f>
        <v>25</v>
      </c>
      <c r="D148">
        <f>SUMIFS(order_items!D:D,order_items!C:C,reorder_point!B148)</f>
        <v>33</v>
      </c>
      <c r="E148">
        <f>450</f>
        <v>450</v>
      </c>
      <c r="F148">
        <f t="shared" si="8"/>
        <v>7.0000000000000007E-2</v>
      </c>
      <c r="G148">
        <f>IFERROR(_xlfn.XLOOKUP(B148,purchase_orders!C:C,purchase_orders!L:L),"")</f>
        <v>44</v>
      </c>
      <c r="H148">
        <f t="shared" si="9"/>
        <v>13.08</v>
      </c>
      <c r="I148" t="str">
        <f t="shared" si="10"/>
        <v>OK</v>
      </c>
      <c r="J148" t="b">
        <f t="shared" si="11"/>
        <v>0</v>
      </c>
    </row>
    <row r="149" spans="1:10">
      <c r="A149" t="str">
        <v>SKU0148</v>
      </c>
      <c r="B149">
        <f>_xlfn.XLOOKUP(A149,order_items!I:I,order_items!C:C)</f>
        <v>148</v>
      </c>
      <c r="C149">
        <f>_xlfn.XLOOKUP(B149,inventory!B:B,inventory!D:D)</f>
        <v>26</v>
      </c>
      <c r="D149">
        <f>SUMIFS(order_items!D:D,order_items!C:C,reorder_point!B149)</f>
        <v>47</v>
      </c>
      <c r="E149">
        <f>450</f>
        <v>450</v>
      </c>
      <c r="F149">
        <f t="shared" si="8"/>
        <v>0.1</v>
      </c>
      <c r="G149">
        <f>IFERROR(_xlfn.XLOOKUP(B149,purchase_orders!C:C,purchase_orders!L:L),"")</f>
        <v>34</v>
      </c>
      <c r="H149">
        <f t="shared" si="9"/>
        <v>13.4</v>
      </c>
      <c r="I149" t="str">
        <f t="shared" si="10"/>
        <v>OK</v>
      </c>
      <c r="J149" t="b">
        <f t="shared" si="11"/>
        <v>0</v>
      </c>
    </row>
    <row r="150" spans="1:10">
      <c r="A150" t="str">
        <v>SKU-0149</v>
      </c>
      <c r="B150">
        <f>_xlfn.XLOOKUP(A150,order_items!I:I,order_items!C:C)</f>
        <v>149</v>
      </c>
      <c r="C150">
        <f>_xlfn.XLOOKUP(B150,inventory!B:B,inventory!D:D)</f>
        <v>394</v>
      </c>
      <c r="D150">
        <f>SUMIFS(order_items!D:D,order_items!C:C,reorder_point!B150)</f>
        <v>22</v>
      </c>
      <c r="E150">
        <f>450</f>
        <v>450</v>
      </c>
      <c r="F150">
        <f t="shared" si="8"/>
        <v>0.05</v>
      </c>
      <c r="G150">
        <f>IFERROR(_xlfn.XLOOKUP(B150,purchase_orders!C:C,purchase_orders!L:L),"")</f>
        <v>36</v>
      </c>
      <c r="H150">
        <f t="shared" si="9"/>
        <v>11.8</v>
      </c>
      <c r="I150" t="str">
        <f t="shared" si="10"/>
        <v>OK</v>
      </c>
      <c r="J150" t="b">
        <f t="shared" si="11"/>
        <v>0</v>
      </c>
    </row>
    <row r="151" spans="1:10">
      <c r="A151" t="str">
        <v>SKU-0150</v>
      </c>
      <c r="B151">
        <f>_xlfn.XLOOKUP(A151,order_items!I:I,order_items!C:C)</f>
        <v>150</v>
      </c>
      <c r="C151">
        <f>_xlfn.XLOOKUP(B151,inventory!B:B,inventory!D:D)</f>
        <v>387</v>
      </c>
      <c r="D151">
        <f>SUMIFS(order_items!D:D,order_items!C:C,reorder_point!B151)</f>
        <v>27</v>
      </c>
      <c r="E151">
        <f>450</f>
        <v>450</v>
      </c>
      <c r="F151">
        <f t="shared" si="8"/>
        <v>0.06</v>
      </c>
      <c r="G151">
        <f>IFERROR(_xlfn.XLOOKUP(B151,purchase_orders!C:C,purchase_orders!L:L),"")</f>
        <v>19</v>
      </c>
      <c r="H151">
        <f t="shared" si="9"/>
        <v>11.14</v>
      </c>
      <c r="I151" t="str">
        <f t="shared" si="10"/>
        <v>OK</v>
      </c>
      <c r="J151" t="b">
        <f t="shared" si="11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E414E-BE65-4227-8C53-90DD692BAA63}">
  <dimension ref="A1:H451"/>
  <sheetViews>
    <sheetView workbookViewId="0">
      <selection activeCell="E2" sqref="E2"/>
    </sheetView>
  </sheetViews>
  <sheetFormatPr defaultRowHeight="15"/>
  <cols>
    <col min="1" max="1" width="10.7109375" bestFit="1" customWidth="1"/>
    <col min="2" max="2" width="13" bestFit="1" customWidth="1"/>
    <col min="3" max="3" width="18" bestFit="1" customWidth="1"/>
    <col min="4" max="4" width="15.28515625" bestFit="1" customWidth="1"/>
    <col min="5" max="5" width="14.28515625" bestFit="1" customWidth="1"/>
    <col min="6" max="6" width="11.140625" customWidth="1"/>
    <col min="7" max="7" width="9.5703125" bestFit="1" customWidth="1"/>
    <col min="8" max="8" width="10.140625" bestFit="1" customWidth="1"/>
  </cols>
  <sheetData>
    <row r="1" spans="1:8">
      <c r="A1" t="s">
        <v>133</v>
      </c>
      <c r="B1" t="s">
        <v>134</v>
      </c>
      <c r="C1" t="s">
        <v>135</v>
      </c>
      <c r="D1" t="s">
        <v>70</v>
      </c>
      <c r="E1" t="s">
        <v>136</v>
      </c>
      <c r="F1" t="s">
        <v>137</v>
      </c>
      <c r="G1" t="s">
        <v>48</v>
      </c>
    </row>
    <row r="2" spans="1:8">
      <c r="A2">
        <v>1001</v>
      </c>
      <c r="B2" s="1">
        <v>46045</v>
      </c>
      <c r="C2" t="s">
        <v>138</v>
      </c>
      <c r="D2" t="s">
        <v>74</v>
      </c>
      <c r="E2" t="s">
        <v>139</v>
      </c>
      <c r="F2" s="2" t="str">
        <f>TEXT(B2,"yyyy-mm")</f>
        <v>2026-01</v>
      </c>
      <c r="G2" s="2" t="str">
        <f>YEAR(B2)&amp;"-w"&amp;TEXT(WEEKNUM(B2),"00")</f>
        <v>2026-w04</v>
      </c>
      <c r="H2" s="1"/>
    </row>
    <row r="3" spans="1:8">
      <c r="A3">
        <v>1002</v>
      </c>
      <c r="B3" s="1">
        <v>46099</v>
      </c>
      <c r="C3" t="s">
        <v>140</v>
      </c>
      <c r="D3" t="s">
        <v>74</v>
      </c>
      <c r="E3" t="s">
        <v>141</v>
      </c>
      <c r="F3" s="2" t="str">
        <f t="shared" ref="F3:F66" si="0">TEXT(B3,"yyyy-mm")</f>
        <v>2026-03</v>
      </c>
      <c r="G3" s="2" t="str">
        <f t="shared" ref="G3:G66" si="1">YEAR(B3)&amp;"-w"&amp;TEXT(WEEKNUM(B3),"00")</f>
        <v>2026-w12</v>
      </c>
      <c r="H3" s="1"/>
    </row>
    <row r="4" spans="1:8">
      <c r="A4">
        <v>1003</v>
      </c>
      <c r="B4" s="1">
        <v>46126</v>
      </c>
      <c r="C4" t="s">
        <v>142</v>
      </c>
      <c r="D4" t="s">
        <v>74</v>
      </c>
      <c r="E4" t="s">
        <v>143</v>
      </c>
      <c r="F4" s="2" t="str">
        <f t="shared" si="0"/>
        <v>2026-04</v>
      </c>
      <c r="G4" s="2" t="str">
        <f t="shared" si="1"/>
        <v>2026-w16</v>
      </c>
      <c r="H4" s="1"/>
    </row>
    <row r="5" spans="1:8">
      <c r="A5">
        <v>1004</v>
      </c>
      <c r="B5" s="1">
        <v>46100</v>
      </c>
      <c r="C5" t="s">
        <v>140</v>
      </c>
      <c r="D5" t="s">
        <v>72</v>
      </c>
      <c r="E5" t="s">
        <v>141</v>
      </c>
      <c r="F5" s="2" t="str">
        <f t="shared" si="0"/>
        <v>2026-03</v>
      </c>
      <c r="G5" s="2" t="str">
        <f t="shared" si="1"/>
        <v>2026-w12</v>
      </c>
      <c r="H5" s="1"/>
    </row>
    <row r="6" spans="1:8">
      <c r="A6">
        <v>1005</v>
      </c>
      <c r="B6" s="1">
        <v>46098</v>
      </c>
      <c r="C6" t="s">
        <v>138</v>
      </c>
      <c r="D6" t="s">
        <v>74</v>
      </c>
      <c r="E6" t="s">
        <v>144</v>
      </c>
      <c r="F6" s="2" t="str">
        <f t="shared" si="0"/>
        <v>2026-03</v>
      </c>
      <c r="G6" s="2" t="str">
        <f t="shared" si="1"/>
        <v>2026-w12</v>
      </c>
      <c r="H6" s="1"/>
    </row>
    <row r="7" spans="1:8">
      <c r="A7">
        <v>1006</v>
      </c>
      <c r="B7" s="1">
        <v>46043</v>
      </c>
      <c r="C7" t="s">
        <v>140</v>
      </c>
      <c r="D7" t="s">
        <v>78</v>
      </c>
      <c r="E7" t="s">
        <v>141</v>
      </c>
      <c r="F7" s="2" t="str">
        <f t="shared" si="0"/>
        <v>2026-01</v>
      </c>
      <c r="G7" s="2" t="str">
        <f t="shared" si="1"/>
        <v>2026-w04</v>
      </c>
      <c r="H7" s="1"/>
    </row>
    <row r="8" spans="1:8">
      <c r="A8">
        <v>1007</v>
      </c>
      <c r="B8" s="1">
        <v>46037</v>
      </c>
      <c r="C8" t="s">
        <v>145</v>
      </c>
      <c r="D8" t="s">
        <v>78</v>
      </c>
      <c r="E8" t="s">
        <v>141</v>
      </c>
      <c r="F8" s="2" t="str">
        <f t="shared" si="0"/>
        <v>2026-01</v>
      </c>
      <c r="G8" s="2" t="str">
        <f t="shared" si="1"/>
        <v>2026-w03</v>
      </c>
      <c r="H8" s="1"/>
    </row>
    <row r="9" spans="1:8">
      <c r="A9">
        <v>1008</v>
      </c>
      <c r="B9" s="1">
        <v>46120</v>
      </c>
      <c r="C9" t="s">
        <v>146</v>
      </c>
      <c r="D9" t="s">
        <v>78</v>
      </c>
      <c r="E9" t="s">
        <v>143</v>
      </c>
      <c r="F9" s="2" t="str">
        <f t="shared" si="0"/>
        <v>2026-04</v>
      </c>
      <c r="G9" s="2" t="str">
        <f t="shared" si="1"/>
        <v>2026-w15</v>
      </c>
      <c r="H9" s="1"/>
    </row>
    <row r="10" spans="1:8">
      <c r="A10">
        <v>1009</v>
      </c>
      <c r="B10" s="1">
        <v>46099</v>
      </c>
      <c r="C10" t="s">
        <v>145</v>
      </c>
      <c r="D10" t="s">
        <v>72</v>
      </c>
      <c r="E10" t="s">
        <v>143</v>
      </c>
      <c r="F10" s="2" t="str">
        <f t="shared" si="0"/>
        <v>2026-03</v>
      </c>
      <c r="G10" s="2" t="str">
        <f t="shared" si="1"/>
        <v>2026-w12</v>
      </c>
      <c r="H10" s="1"/>
    </row>
    <row r="11" spans="1:8">
      <c r="A11">
        <v>1010</v>
      </c>
      <c r="B11" s="1">
        <v>46078</v>
      </c>
      <c r="C11" t="s">
        <v>140</v>
      </c>
      <c r="D11" t="s">
        <v>72</v>
      </c>
      <c r="E11" t="s">
        <v>141</v>
      </c>
      <c r="F11" s="2" t="str">
        <f t="shared" si="0"/>
        <v>2026-02</v>
      </c>
      <c r="G11" s="2" t="str">
        <f t="shared" si="1"/>
        <v>2026-w09</v>
      </c>
      <c r="H11" s="1"/>
    </row>
    <row r="12" spans="1:8">
      <c r="A12">
        <v>1011</v>
      </c>
      <c r="B12" s="1">
        <v>46104</v>
      </c>
      <c r="C12" t="s">
        <v>146</v>
      </c>
      <c r="D12" t="s">
        <v>78</v>
      </c>
      <c r="E12" t="s">
        <v>139</v>
      </c>
      <c r="F12" s="2" t="str">
        <f t="shared" si="0"/>
        <v>2026-03</v>
      </c>
      <c r="G12" s="2" t="str">
        <f t="shared" si="1"/>
        <v>2026-w13</v>
      </c>
      <c r="H12" s="1"/>
    </row>
    <row r="13" spans="1:8">
      <c r="A13">
        <v>1012</v>
      </c>
      <c r="B13" s="1">
        <v>46085</v>
      </c>
      <c r="C13" t="s">
        <v>142</v>
      </c>
      <c r="D13" t="s">
        <v>72</v>
      </c>
      <c r="E13" t="s">
        <v>144</v>
      </c>
      <c r="F13" s="2" t="str">
        <f t="shared" si="0"/>
        <v>2026-03</v>
      </c>
      <c r="G13" s="2" t="str">
        <f t="shared" si="1"/>
        <v>2026-w10</v>
      </c>
      <c r="H13" s="1"/>
    </row>
    <row r="14" spans="1:8">
      <c r="A14">
        <v>1013</v>
      </c>
      <c r="B14" s="1">
        <v>46076</v>
      </c>
      <c r="C14" t="s">
        <v>140</v>
      </c>
      <c r="D14" t="s">
        <v>76</v>
      </c>
      <c r="E14" t="s">
        <v>144</v>
      </c>
      <c r="F14" s="2" t="str">
        <f t="shared" si="0"/>
        <v>2026-02</v>
      </c>
      <c r="G14" s="2" t="str">
        <f t="shared" si="1"/>
        <v>2026-w09</v>
      </c>
      <c r="H14" s="1"/>
    </row>
    <row r="15" spans="1:8">
      <c r="A15">
        <v>1014</v>
      </c>
      <c r="B15" s="1">
        <v>46095</v>
      </c>
      <c r="C15" t="s">
        <v>140</v>
      </c>
      <c r="D15" t="s">
        <v>78</v>
      </c>
      <c r="E15" t="s">
        <v>143</v>
      </c>
      <c r="F15" s="2" t="str">
        <f t="shared" si="0"/>
        <v>2026-03</v>
      </c>
      <c r="G15" s="2" t="str">
        <f t="shared" si="1"/>
        <v>2026-w11</v>
      </c>
      <c r="H15" s="1"/>
    </row>
    <row r="16" spans="1:8">
      <c r="A16">
        <v>1015</v>
      </c>
      <c r="B16" s="1">
        <v>46062</v>
      </c>
      <c r="C16" t="s">
        <v>138</v>
      </c>
      <c r="D16" t="s">
        <v>76</v>
      </c>
      <c r="E16" t="s">
        <v>139</v>
      </c>
      <c r="F16" s="2" t="str">
        <f t="shared" si="0"/>
        <v>2026-02</v>
      </c>
      <c r="G16" s="2" t="str">
        <f t="shared" si="1"/>
        <v>2026-w07</v>
      </c>
      <c r="H16" s="1"/>
    </row>
    <row r="17" spans="1:8">
      <c r="A17">
        <v>1016</v>
      </c>
      <c r="B17" s="1">
        <v>46082</v>
      </c>
      <c r="C17" t="s">
        <v>138</v>
      </c>
      <c r="D17" t="s">
        <v>72</v>
      </c>
      <c r="E17" t="s">
        <v>141</v>
      </c>
      <c r="F17" s="2" t="str">
        <f t="shared" si="0"/>
        <v>2026-03</v>
      </c>
      <c r="G17" s="2" t="str">
        <f t="shared" si="1"/>
        <v>2026-w10</v>
      </c>
      <c r="H17" s="1"/>
    </row>
    <row r="18" spans="1:8">
      <c r="A18">
        <v>1017</v>
      </c>
      <c r="B18" s="1">
        <v>46093</v>
      </c>
      <c r="C18" t="s">
        <v>140</v>
      </c>
      <c r="D18" t="s">
        <v>76</v>
      </c>
      <c r="E18" t="s">
        <v>141</v>
      </c>
      <c r="F18" s="2" t="str">
        <f t="shared" si="0"/>
        <v>2026-03</v>
      </c>
      <c r="G18" s="2" t="str">
        <f t="shared" si="1"/>
        <v>2026-w11</v>
      </c>
      <c r="H18" s="1"/>
    </row>
    <row r="19" spans="1:8">
      <c r="A19">
        <v>1018</v>
      </c>
      <c r="B19" s="1">
        <v>46120</v>
      </c>
      <c r="C19" t="s">
        <v>146</v>
      </c>
      <c r="D19" t="s">
        <v>74</v>
      </c>
      <c r="E19" t="s">
        <v>143</v>
      </c>
      <c r="F19" s="2" t="str">
        <f t="shared" si="0"/>
        <v>2026-04</v>
      </c>
      <c r="G19" s="2" t="str">
        <f t="shared" si="1"/>
        <v>2026-w15</v>
      </c>
      <c r="H19" s="1"/>
    </row>
    <row r="20" spans="1:8">
      <c r="A20">
        <v>1019</v>
      </c>
      <c r="B20" s="1">
        <v>46077</v>
      </c>
      <c r="C20" t="s">
        <v>146</v>
      </c>
      <c r="D20" t="s">
        <v>74</v>
      </c>
      <c r="E20" t="s">
        <v>139</v>
      </c>
      <c r="F20" s="2" t="str">
        <f t="shared" si="0"/>
        <v>2026-02</v>
      </c>
      <c r="G20" s="2" t="str">
        <f t="shared" si="1"/>
        <v>2026-w09</v>
      </c>
      <c r="H20" s="1"/>
    </row>
    <row r="21" spans="1:8">
      <c r="A21">
        <v>1020</v>
      </c>
      <c r="B21" s="1">
        <v>46058</v>
      </c>
      <c r="C21" t="s">
        <v>140</v>
      </c>
      <c r="D21" t="s">
        <v>72</v>
      </c>
      <c r="E21" t="s">
        <v>139</v>
      </c>
      <c r="F21" s="2" t="str">
        <f t="shared" si="0"/>
        <v>2026-02</v>
      </c>
      <c r="G21" s="2" t="str">
        <f t="shared" si="1"/>
        <v>2026-w06</v>
      </c>
      <c r="H21" s="1"/>
    </row>
    <row r="22" spans="1:8">
      <c r="A22">
        <v>1021</v>
      </c>
      <c r="B22" s="1">
        <v>46098</v>
      </c>
      <c r="C22" t="s">
        <v>140</v>
      </c>
      <c r="D22" t="s">
        <v>72</v>
      </c>
      <c r="E22" t="s">
        <v>139</v>
      </c>
      <c r="F22" s="2" t="str">
        <f t="shared" si="0"/>
        <v>2026-03</v>
      </c>
      <c r="G22" s="2" t="str">
        <f t="shared" si="1"/>
        <v>2026-w12</v>
      </c>
      <c r="H22" s="1"/>
    </row>
    <row r="23" spans="1:8">
      <c r="A23">
        <v>1022</v>
      </c>
      <c r="B23" s="1">
        <v>46056</v>
      </c>
      <c r="C23" t="s">
        <v>146</v>
      </c>
      <c r="D23" t="s">
        <v>72</v>
      </c>
      <c r="E23" t="s">
        <v>141</v>
      </c>
      <c r="F23" s="2" t="str">
        <f t="shared" si="0"/>
        <v>2026-02</v>
      </c>
      <c r="G23" s="2" t="str">
        <f t="shared" si="1"/>
        <v>2026-w06</v>
      </c>
      <c r="H23" s="1"/>
    </row>
    <row r="24" spans="1:8">
      <c r="A24">
        <v>1023</v>
      </c>
      <c r="B24" s="1">
        <v>46065</v>
      </c>
      <c r="C24" t="s">
        <v>146</v>
      </c>
      <c r="D24" t="s">
        <v>76</v>
      </c>
      <c r="E24" t="s">
        <v>143</v>
      </c>
      <c r="F24" s="2" t="str">
        <f t="shared" si="0"/>
        <v>2026-02</v>
      </c>
      <c r="G24" s="2" t="str">
        <f t="shared" si="1"/>
        <v>2026-w07</v>
      </c>
      <c r="H24" s="1"/>
    </row>
    <row r="25" spans="1:8">
      <c r="A25">
        <v>1024</v>
      </c>
      <c r="B25" s="1">
        <v>46105</v>
      </c>
      <c r="C25" t="s">
        <v>138</v>
      </c>
      <c r="D25" t="s">
        <v>72</v>
      </c>
      <c r="E25" t="s">
        <v>141</v>
      </c>
      <c r="F25" s="2" t="str">
        <f t="shared" si="0"/>
        <v>2026-03</v>
      </c>
      <c r="G25" s="2" t="str">
        <f t="shared" si="1"/>
        <v>2026-w13</v>
      </c>
      <c r="H25" s="1"/>
    </row>
    <row r="26" spans="1:8">
      <c r="A26">
        <v>1025</v>
      </c>
      <c r="B26" s="1">
        <v>46135</v>
      </c>
      <c r="C26" t="s">
        <v>140</v>
      </c>
      <c r="D26" t="s">
        <v>72</v>
      </c>
      <c r="E26" t="s">
        <v>144</v>
      </c>
      <c r="F26" s="2" t="str">
        <f t="shared" si="0"/>
        <v>2026-04</v>
      </c>
      <c r="G26" s="2" t="str">
        <f t="shared" si="1"/>
        <v>2026-w17</v>
      </c>
      <c r="H26" s="1"/>
    </row>
    <row r="27" spans="1:8">
      <c r="A27">
        <v>1026</v>
      </c>
      <c r="B27" s="1">
        <v>46115</v>
      </c>
      <c r="C27" t="s">
        <v>140</v>
      </c>
      <c r="D27" t="s">
        <v>74</v>
      </c>
      <c r="E27" t="s">
        <v>139</v>
      </c>
      <c r="F27" s="2" t="str">
        <f t="shared" si="0"/>
        <v>2026-04</v>
      </c>
      <c r="G27" s="2" t="str">
        <f t="shared" si="1"/>
        <v>2026-w14</v>
      </c>
      <c r="H27" s="1"/>
    </row>
    <row r="28" spans="1:8">
      <c r="A28">
        <v>1027</v>
      </c>
      <c r="B28" s="1">
        <v>46133</v>
      </c>
      <c r="C28" t="s">
        <v>140</v>
      </c>
      <c r="D28" t="s">
        <v>74</v>
      </c>
      <c r="E28" t="s">
        <v>141</v>
      </c>
      <c r="F28" s="2" t="str">
        <f t="shared" si="0"/>
        <v>2026-04</v>
      </c>
      <c r="G28" s="2" t="str">
        <f t="shared" si="1"/>
        <v>2026-w17</v>
      </c>
      <c r="H28" s="1"/>
    </row>
    <row r="29" spans="1:8">
      <c r="A29">
        <v>1028</v>
      </c>
      <c r="B29" s="1">
        <v>46144</v>
      </c>
      <c r="C29" t="s">
        <v>145</v>
      </c>
      <c r="D29" t="s">
        <v>78</v>
      </c>
      <c r="E29" t="s">
        <v>141</v>
      </c>
      <c r="F29" s="2" t="str">
        <f t="shared" si="0"/>
        <v>2026-05</v>
      </c>
      <c r="G29" s="2" t="str">
        <f t="shared" si="1"/>
        <v>2026-w18</v>
      </c>
      <c r="H29" s="1"/>
    </row>
    <row r="30" spans="1:8">
      <c r="A30">
        <v>1029</v>
      </c>
      <c r="B30" s="1">
        <v>46073</v>
      </c>
      <c r="C30" t="s">
        <v>146</v>
      </c>
      <c r="D30" t="s">
        <v>74</v>
      </c>
      <c r="E30" t="s">
        <v>143</v>
      </c>
      <c r="F30" s="2" t="str">
        <f t="shared" si="0"/>
        <v>2026-02</v>
      </c>
      <c r="G30" s="2" t="str">
        <f t="shared" si="1"/>
        <v>2026-w08</v>
      </c>
      <c r="H30" s="1"/>
    </row>
    <row r="31" spans="1:8">
      <c r="A31">
        <v>1030</v>
      </c>
      <c r="B31" s="1">
        <v>46067</v>
      </c>
      <c r="C31" t="s">
        <v>142</v>
      </c>
      <c r="D31" t="s">
        <v>72</v>
      </c>
      <c r="E31" t="s">
        <v>139</v>
      </c>
      <c r="F31" s="2" t="str">
        <f t="shared" si="0"/>
        <v>2026-02</v>
      </c>
      <c r="G31" s="2" t="str">
        <f t="shared" si="1"/>
        <v>2026-w07</v>
      </c>
      <c r="H31" s="1"/>
    </row>
    <row r="32" spans="1:8">
      <c r="A32">
        <v>1031</v>
      </c>
      <c r="B32" s="1">
        <v>46121</v>
      </c>
      <c r="C32" t="s">
        <v>146</v>
      </c>
      <c r="D32" t="s">
        <v>72</v>
      </c>
      <c r="E32" t="s">
        <v>143</v>
      </c>
      <c r="F32" s="2" t="str">
        <f t="shared" si="0"/>
        <v>2026-04</v>
      </c>
      <c r="G32" s="2" t="str">
        <f t="shared" si="1"/>
        <v>2026-w15</v>
      </c>
      <c r="H32" s="1"/>
    </row>
    <row r="33" spans="1:8">
      <c r="A33">
        <v>1032</v>
      </c>
      <c r="B33" s="1">
        <v>46148</v>
      </c>
      <c r="C33" t="s">
        <v>146</v>
      </c>
      <c r="D33" t="s">
        <v>72</v>
      </c>
      <c r="E33" t="s">
        <v>143</v>
      </c>
      <c r="F33" s="2" t="str">
        <f t="shared" si="0"/>
        <v>2026-05</v>
      </c>
      <c r="G33" s="2" t="str">
        <f t="shared" si="1"/>
        <v>2026-w19</v>
      </c>
      <c r="H33" s="1"/>
    </row>
    <row r="34" spans="1:8">
      <c r="A34">
        <v>1033</v>
      </c>
      <c r="B34" s="1">
        <v>46078</v>
      </c>
      <c r="C34" t="s">
        <v>145</v>
      </c>
      <c r="D34" t="s">
        <v>74</v>
      </c>
      <c r="E34" t="s">
        <v>143</v>
      </c>
      <c r="F34" s="2" t="str">
        <f t="shared" si="0"/>
        <v>2026-02</v>
      </c>
      <c r="G34" s="2" t="str">
        <f t="shared" si="1"/>
        <v>2026-w09</v>
      </c>
      <c r="H34" s="1"/>
    </row>
    <row r="35" spans="1:8">
      <c r="A35">
        <v>1034</v>
      </c>
      <c r="B35" s="1">
        <v>46058</v>
      </c>
      <c r="C35" t="s">
        <v>140</v>
      </c>
      <c r="D35" t="s">
        <v>72</v>
      </c>
      <c r="E35" t="s">
        <v>139</v>
      </c>
      <c r="F35" s="2" t="str">
        <f t="shared" si="0"/>
        <v>2026-02</v>
      </c>
      <c r="G35" s="2" t="str">
        <f t="shared" si="1"/>
        <v>2026-w06</v>
      </c>
      <c r="H35" s="1"/>
    </row>
    <row r="36" spans="1:8">
      <c r="A36">
        <v>1035</v>
      </c>
      <c r="B36" s="1">
        <v>46123</v>
      </c>
      <c r="C36" t="s">
        <v>140</v>
      </c>
      <c r="D36" t="s">
        <v>72</v>
      </c>
      <c r="E36" t="s">
        <v>143</v>
      </c>
      <c r="F36" s="2" t="str">
        <f t="shared" si="0"/>
        <v>2026-04</v>
      </c>
      <c r="G36" s="2" t="str">
        <f t="shared" si="1"/>
        <v>2026-w15</v>
      </c>
      <c r="H36" s="1"/>
    </row>
    <row r="37" spans="1:8">
      <c r="A37">
        <v>1036</v>
      </c>
      <c r="B37" s="1">
        <v>46132</v>
      </c>
      <c r="C37" t="s">
        <v>142</v>
      </c>
      <c r="D37" t="s">
        <v>78</v>
      </c>
      <c r="E37" t="s">
        <v>139</v>
      </c>
      <c r="F37" s="2" t="str">
        <f t="shared" si="0"/>
        <v>2026-04</v>
      </c>
      <c r="G37" s="2" t="str">
        <f t="shared" si="1"/>
        <v>2026-w17</v>
      </c>
      <c r="H37" s="1"/>
    </row>
    <row r="38" spans="1:8">
      <c r="A38">
        <v>1037</v>
      </c>
      <c r="B38" s="1">
        <v>46063</v>
      </c>
      <c r="C38" t="s">
        <v>145</v>
      </c>
      <c r="D38" t="s">
        <v>74</v>
      </c>
      <c r="E38" t="s">
        <v>144</v>
      </c>
      <c r="F38" s="2" t="str">
        <f t="shared" si="0"/>
        <v>2026-02</v>
      </c>
      <c r="G38" s="2" t="str">
        <f t="shared" si="1"/>
        <v>2026-w07</v>
      </c>
      <c r="H38" s="1"/>
    </row>
    <row r="39" spans="1:8">
      <c r="A39">
        <v>1038</v>
      </c>
      <c r="B39" s="1">
        <v>46042</v>
      </c>
      <c r="C39" t="s">
        <v>138</v>
      </c>
      <c r="D39" t="s">
        <v>74</v>
      </c>
      <c r="E39" t="s">
        <v>139</v>
      </c>
      <c r="F39" s="2" t="str">
        <f t="shared" si="0"/>
        <v>2026-01</v>
      </c>
      <c r="G39" s="2" t="str">
        <f t="shared" si="1"/>
        <v>2026-w04</v>
      </c>
      <c r="H39" s="1"/>
    </row>
    <row r="40" spans="1:8">
      <c r="A40">
        <v>1039</v>
      </c>
      <c r="B40" s="1">
        <v>46065</v>
      </c>
      <c r="C40" t="s">
        <v>145</v>
      </c>
      <c r="D40" t="s">
        <v>76</v>
      </c>
      <c r="E40" t="s">
        <v>143</v>
      </c>
      <c r="F40" s="2" t="str">
        <f t="shared" si="0"/>
        <v>2026-02</v>
      </c>
      <c r="G40" s="2" t="str">
        <f t="shared" si="1"/>
        <v>2026-w07</v>
      </c>
      <c r="H40" s="1"/>
    </row>
    <row r="41" spans="1:8">
      <c r="A41">
        <v>1040</v>
      </c>
      <c r="B41" s="1">
        <v>46044</v>
      </c>
      <c r="C41" t="s">
        <v>140</v>
      </c>
      <c r="D41" t="s">
        <v>74</v>
      </c>
      <c r="E41" t="s">
        <v>139</v>
      </c>
      <c r="F41" s="2" t="str">
        <f t="shared" si="0"/>
        <v>2026-01</v>
      </c>
      <c r="G41" s="2" t="str">
        <f t="shared" si="1"/>
        <v>2026-w04</v>
      </c>
      <c r="H41" s="1"/>
    </row>
    <row r="42" spans="1:8">
      <c r="A42">
        <v>1041</v>
      </c>
      <c r="B42" s="1">
        <v>46122</v>
      </c>
      <c r="C42" t="s">
        <v>142</v>
      </c>
      <c r="D42" t="s">
        <v>78</v>
      </c>
      <c r="E42" t="s">
        <v>141</v>
      </c>
      <c r="F42" s="2" t="str">
        <f t="shared" si="0"/>
        <v>2026-04</v>
      </c>
      <c r="G42" s="2" t="str">
        <f t="shared" si="1"/>
        <v>2026-w15</v>
      </c>
      <c r="H42" s="1"/>
    </row>
    <row r="43" spans="1:8">
      <c r="A43">
        <v>1042</v>
      </c>
      <c r="B43" s="1">
        <v>46044</v>
      </c>
      <c r="C43" t="s">
        <v>140</v>
      </c>
      <c r="D43" t="s">
        <v>74</v>
      </c>
      <c r="E43" t="s">
        <v>139</v>
      </c>
      <c r="F43" s="2" t="str">
        <f t="shared" si="0"/>
        <v>2026-01</v>
      </c>
      <c r="G43" s="2" t="str">
        <f t="shared" si="1"/>
        <v>2026-w04</v>
      </c>
      <c r="H43" s="1"/>
    </row>
    <row r="44" spans="1:8">
      <c r="A44">
        <v>1043</v>
      </c>
      <c r="B44" s="1">
        <v>46134</v>
      </c>
      <c r="C44" t="s">
        <v>140</v>
      </c>
      <c r="D44" t="s">
        <v>78</v>
      </c>
      <c r="E44" t="s">
        <v>141</v>
      </c>
      <c r="F44" s="2" t="str">
        <f t="shared" si="0"/>
        <v>2026-04</v>
      </c>
      <c r="G44" s="2" t="str">
        <f t="shared" si="1"/>
        <v>2026-w17</v>
      </c>
      <c r="H44" s="1"/>
    </row>
    <row r="45" spans="1:8">
      <c r="A45">
        <v>1044</v>
      </c>
      <c r="B45" s="1">
        <v>46118</v>
      </c>
      <c r="C45" t="s">
        <v>142</v>
      </c>
      <c r="D45" t="s">
        <v>72</v>
      </c>
      <c r="E45" t="s">
        <v>139</v>
      </c>
      <c r="F45" s="2" t="str">
        <f t="shared" si="0"/>
        <v>2026-04</v>
      </c>
      <c r="G45" s="2" t="str">
        <f t="shared" si="1"/>
        <v>2026-w15</v>
      </c>
      <c r="H45" s="1"/>
    </row>
    <row r="46" spans="1:8">
      <c r="A46">
        <v>1045</v>
      </c>
      <c r="B46" s="1">
        <v>46153</v>
      </c>
      <c r="C46" t="s">
        <v>146</v>
      </c>
      <c r="D46" t="s">
        <v>74</v>
      </c>
      <c r="E46" t="s">
        <v>144</v>
      </c>
      <c r="F46" s="2" t="str">
        <f t="shared" si="0"/>
        <v>2026-05</v>
      </c>
      <c r="G46" s="2" t="str">
        <f t="shared" si="1"/>
        <v>2026-w20</v>
      </c>
      <c r="H46" s="1"/>
    </row>
    <row r="47" spans="1:8">
      <c r="A47">
        <v>1046</v>
      </c>
      <c r="B47" s="1">
        <v>46130</v>
      </c>
      <c r="C47" t="s">
        <v>138</v>
      </c>
      <c r="D47" t="s">
        <v>76</v>
      </c>
      <c r="E47" t="s">
        <v>139</v>
      </c>
      <c r="F47" s="2" t="str">
        <f t="shared" si="0"/>
        <v>2026-04</v>
      </c>
      <c r="G47" s="2" t="str">
        <f t="shared" si="1"/>
        <v>2026-w16</v>
      </c>
      <c r="H47" s="1"/>
    </row>
    <row r="48" spans="1:8">
      <c r="A48">
        <v>1047</v>
      </c>
      <c r="B48" s="1">
        <v>46117</v>
      </c>
      <c r="C48" t="s">
        <v>138</v>
      </c>
      <c r="D48" t="s">
        <v>78</v>
      </c>
      <c r="E48" t="s">
        <v>141</v>
      </c>
      <c r="F48" s="2" t="str">
        <f t="shared" si="0"/>
        <v>2026-04</v>
      </c>
      <c r="G48" s="2" t="str">
        <f t="shared" si="1"/>
        <v>2026-w15</v>
      </c>
      <c r="H48" s="1"/>
    </row>
    <row r="49" spans="1:8">
      <c r="A49">
        <v>1048</v>
      </c>
      <c r="B49" s="1">
        <v>46083</v>
      </c>
      <c r="C49" t="s">
        <v>140</v>
      </c>
      <c r="D49" t="s">
        <v>78</v>
      </c>
      <c r="E49" t="s">
        <v>143</v>
      </c>
      <c r="F49" s="2" t="str">
        <f t="shared" si="0"/>
        <v>2026-03</v>
      </c>
      <c r="G49" s="2" t="str">
        <f t="shared" si="1"/>
        <v>2026-w10</v>
      </c>
      <c r="H49" s="1"/>
    </row>
    <row r="50" spans="1:8">
      <c r="A50">
        <v>1049</v>
      </c>
      <c r="B50" s="1">
        <v>46038</v>
      </c>
      <c r="C50" t="s">
        <v>138</v>
      </c>
      <c r="D50" t="s">
        <v>72</v>
      </c>
      <c r="E50" t="s">
        <v>143</v>
      </c>
      <c r="F50" s="2" t="str">
        <f t="shared" si="0"/>
        <v>2026-01</v>
      </c>
      <c r="G50" s="2" t="str">
        <f t="shared" si="1"/>
        <v>2026-w03</v>
      </c>
      <c r="H50" s="1"/>
    </row>
    <row r="51" spans="1:8">
      <c r="A51">
        <v>1050</v>
      </c>
      <c r="B51" s="1">
        <v>46138</v>
      </c>
      <c r="C51" t="s">
        <v>146</v>
      </c>
      <c r="D51" t="s">
        <v>76</v>
      </c>
      <c r="E51" t="s">
        <v>143</v>
      </c>
      <c r="F51" s="2" t="str">
        <f t="shared" si="0"/>
        <v>2026-04</v>
      </c>
      <c r="G51" s="2" t="str">
        <f t="shared" si="1"/>
        <v>2026-w18</v>
      </c>
      <c r="H51" s="1"/>
    </row>
    <row r="52" spans="1:8">
      <c r="A52">
        <v>1051</v>
      </c>
      <c r="B52" s="1">
        <v>46033</v>
      </c>
      <c r="C52" t="s">
        <v>138</v>
      </c>
      <c r="D52" t="s">
        <v>76</v>
      </c>
      <c r="E52" t="s">
        <v>139</v>
      </c>
      <c r="F52" s="2" t="str">
        <f t="shared" si="0"/>
        <v>2026-01</v>
      </c>
      <c r="G52" s="2" t="str">
        <f t="shared" si="1"/>
        <v>2026-w03</v>
      </c>
      <c r="H52" s="1"/>
    </row>
    <row r="53" spans="1:8">
      <c r="A53">
        <v>1052</v>
      </c>
      <c r="B53" s="1">
        <v>46086</v>
      </c>
      <c r="C53" t="s">
        <v>140</v>
      </c>
      <c r="D53" t="s">
        <v>78</v>
      </c>
      <c r="E53" t="s">
        <v>141</v>
      </c>
      <c r="F53" s="2" t="str">
        <f t="shared" si="0"/>
        <v>2026-03</v>
      </c>
      <c r="G53" s="2" t="str">
        <f t="shared" si="1"/>
        <v>2026-w10</v>
      </c>
      <c r="H53" s="1"/>
    </row>
    <row r="54" spans="1:8">
      <c r="A54">
        <v>1053</v>
      </c>
      <c r="B54" s="1">
        <v>46073</v>
      </c>
      <c r="C54" t="s">
        <v>138</v>
      </c>
      <c r="D54" t="s">
        <v>78</v>
      </c>
      <c r="E54" t="s">
        <v>139</v>
      </c>
      <c r="F54" s="2" t="str">
        <f t="shared" si="0"/>
        <v>2026-02</v>
      </c>
      <c r="G54" s="2" t="str">
        <f t="shared" si="1"/>
        <v>2026-w08</v>
      </c>
      <c r="H54" s="1"/>
    </row>
    <row r="55" spans="1:8">
      <c r="A55">
        <v>1054</v>
      </c>
      <c r="B55" s="1">
        <v>46132</v>
      </c>
      <c r="C55" t="s">
        <v>138</v>
      </c>
      <c r="D55" t="s">
        <v>76</v>
      </c>
      <c r="E55" t="s">
        <v>139</v>
      </c>
      <c r="F55" s="2" t="str">
        <f t="shared" si="0"/>
        <v>2026-04</v>
      </c>
      <c r="G55" s="2" t="str">
        <f t="shared" si="1"/>
        <v>2026-w17</v>
      </c>
      <c r="H55" s="1"/>
    </row>
    <row r="56" spans="1:8">
      <c r="A56">
        <v>1055</v>
      </c>
      <c r="B56" s="1">
        <v>46086</v>
      </c>
      <c r="C56" t="s">
        <v>140</v>
      </c>
      <c r="D56" t="s">
        <v>74</v>
      </c>
      <c r="E56" t="s">
        <v>139</v>
      </c>
      <c r="F56" s="2" t="str">
        <f t="shared" si="0"/>
        <v>2026-03</v>
      </c>
      <c r="G56" s="2" t="str">
        <f t="shared" si="1"/>
        <v>2026-w10</v>
      </c>
      <c r="H56" s="1"/>
    </row>
    <row r="57" spans="1:8">
      <c r="A57">
        <v>1056</v>
      </c>
      <c r="B57" s="1">
        <v>46091</v>
      </c>
      <c r="C57" t="s">
        <v>140</v>
      </c>
      <c r="D57" t="s">
        <v>72</v>
      </c>
      <c r="E57" t="s">
        <v>141</v>
      </c>
      <c r="F57" s="2" t="str">
        <f t="shared" si="0"/>
        <v>2026-03</v>
      </c>
      <c r="G57" s="2" t="str">
        <f t="shared" si="1"/>
        <v>2026-w11</v>
      </c>
      <c r="H57" s="1"/>
    </row>
    <row r="58" spans="1:8">
      <c r="A58">
        <v>1057</v>
      </c>
      <c r="B58" s="1">
        <v>46102</v>
      </c>
      <c r="C58" t="s">
        <v>140</v>
      </c>
      <c r="D58" t="s">
        <v>78</v>
      </c>
      <c r="E58" t="s">
        <v>139</v>
      </c>
      <c r="F58" s="2" t="str">
        <f t="shared" si="0"/>
        <v>2026-03</v>
      </c>
      <c r="G58" s="2" t="str">
        <f t="shared" si="1"/>
        <v>2026-w12</v>
      </c>
      <c r="H58" s="1"/>
    </row>
    <row r="59" spans="1:8">
      <c r="A59">
        <v>1058</v>
      </c>
      <c r="B59" s="1">
        <v>46105</v>
      </c>
      <c r="C59" t="s">
        <v>138</v>
      </c>
      <c r="D59" t="s">
        <v>74</v>
      </c>
      <c r="E59" t="s">
        <v>141</v>
      </c>
      <c r="F59" s="2" t="str">
        <f t="shared" si="0"/>
        <v>2026-03</v>
      </c>
      <c r="G59" s="2" t="str">
        <f t="shared" si="1"/>
        <v>2026-w13</v>
      </c>
      <c r="H59" s="1"/>
    </row>
    <row r="60" spans="1:8">
      <c r="A60">
        <v>1059</v>
      </c>
      <c r="B60" s="1">
        <v>46114</v>
      </c>
      <c r="C60" t="s">
        <v>140</v>
      </c>
      <c r="D60" t="s">
        <v>72</v>
      </c>
      <c r="E60" t="s">
        <v>139</v>
      </c>
      <c r="F60" s="2" t="str">
        <f t="shared" si="0"/>
        <v>2026-04</v>
      </c>
      <c r="G60" s="2" t="str">
        <f t="shared" si="1"/>
        <v>2026-w14</v>
      </c>
      <c r="H60" s="1"/>
    </row>
    <row r="61" spans="1:8">
      <c r="A61">
        <v>1060</v>
      </c>
      <c r="B61" s="1">
        <v>46049</v>
      </c>
      <c r="C61" t="s">
        <v>142</v>
      </c>
      <c r="D61" t="s">
        <v>72</v>
      </c>
      <c r="E61" t="s">
        <v>143</v>
      </c>
      <c r="F61" s="2" t="str">
        <f t="shared" si="0"/>
        <v>2026-01</v>
      </c>
      <c r="G61" s="2" t="str">
        <f t="shared" si="1"/>
        <v>2026-w05</v>
      </c>
      <c r="H61" s="1"/>
    </row>
    <row r="62" spans="1:8">
      <c r="A62">
        <v>1061</v>
      </c>
      <c r="B62" s="1">
        <v>46088</v>
      </c>
      <c r="C62" t="s">
        <v>140</v>
      </c>
      <c r="D62" t="s">
        <v>72</v>
      </c>
      <c r="E62" t="s">
        <v>141</v>
      </c>
      <c r="F62" s="2" t="str">
        <f t="shared" si="0"/>
        <v>2026-03</v>
      </c>
      <c r="G62" s="2" t="str">
        <f t="shared" si="1"/>
        <v>2026-w10</v>
      </c>
      <c r="H62" s="1"/>
    </row>
    <row r="63" spans="1:8">
      <c r="A63">
        <v>1062</v>
      </c>
      <c r="B63" s="1">
        <v>46138</v>
      </c>
      <c r="C63" t="s">
        <v>142</v>
      </c>
      <c r="D63" t="s">
        <v>74</v>
      </c>
      <c r="E63" t="s">
        <v>141</v>
      </c>
      <c r="F63" s="2" t="str">
        <f t="shared" si="0"/>
        <v>2026-04</v>
      </c>
      <c r="G63" s="2" t="str">
        <f t="shared" si="1"/>
        <v>2026-w18</v>
      </c>
      <c r="H63" s="1"/>
    </row>
    <row r="64" spans="1:8">
      <c r="A64">
        <v>1063</v>
      </c>
      <c r="B64" s="1">
        <v>46146</v>
      </c>
      <c r="C64" t="s">
        <v>146</v>
      </c>
      <c r="D64" t="s">
        <v>74</v>
      </c>
      <c r="E64" t="s">
        <v>139</v>
      </c>
      <c r="F64" s="2" t="str">
        <f t="shared" si="0"/>
        <v>2026-05</v>
      </c>
      <c r="G64" s="2" t="str">
        <f t="shared" si="1"/>
        <v>2026-w19</v>
      </c>
      <c r="H64" s="1"/>
    </row>
    <row r="65" spans="1:8">
      <c r="A65">
        <v>1064</v>
      </c>
      <c r="B65" s="1">
        <v>46036</v>
      </c>
      <c r="C65" t="s">
        <v>146</v>
      </c>
      <c r="D65" t="s">
        <v>74</v>
      </c>
      <c r="E65" t="s">
        <v>144</v>
      </c>
      <c r="F65" s="2" t="str">
        <f t="shared" si="0"/>
        <v>2026-01</v>
      </c>
      <c r="G65" s="2" t="str">
        <f t="shared" si="1"/>
        <v>2026-w03</v>
      </c>
      <c r="H65" s="1"/>
    </row>
    <row r="66" spans="1:8">
      <c r="A66">
        <v>1065</v>
      </c>
      <c r="B66" s="1">
        <v>46097</v>
      </c>
      <c r="C66" t="s">
        <v>140</v>
      </c>
      <c r="D66" t="s">
        <v>78</v>
      </c>
      <c r="E66" t="s">
        <v>141</v>
      </c>
      <c r="F66" s="2" t="str">
        <f t="shared" si="0"/>
        <v>2026-03</v>
      </c>
      <c r="G66" s="2" t="str">
        <f t="shared" si="1"/>
        <v>2026-w12</v>
      </c>
      <c r="H66" s="1"/>
    </row>
    <row r="67" spans="1:8">
      <c r="A67">
        <v>1066</v>
      </c>
      <c r="B67" s="1">
        <v>46044</v>
      </c>
      <c r="C67" t="s">
        <v>140</v>
      </c>
      <c r="D67" t="s">
        <v>76</v>
      </c>
      <c r="E67" t="s">
        <v>139</v>
      </c>
      <c r="F67" s="2" t="str">
        <f t="shared" ref="F67:F130" si="2">TEXT(B67,"yyyy-mm")</f>
        <v>2026-01</v>
      </c>
      <c r="G67" s="2" t="str">
        <f t="shared" ref="G67:G130" si="3">YEAR(B67)&amp;"-w"&amp;TEXT(WEEKNUM(B67),"00")</f>
        <v>2026-w04</v>
      </c>
      <c r="H67" s="1"/>
    </row>
    <row r="68" spans="1:8">
      <c r="A68">
        <v>1067</v>
      </c>
      <c r="B68" s="1">
        <v>46074</v>
      </c>
      <c r="C68" t="s">
        <v>140</v>
      </c>
      <c r="D68" t="s">
        <v>72</v>
      </c>
      <c r="E68" t="s">
        <v>139</v>
      </c>
      <c r="F68" s="2" t="str">
        <f t="shared" si="2"/>
        <v>2026-02</v>
      </c>
      <c r="G68" s="2" t="str">
        <f t="shared" si="3"/>
        <v>2026-w08</v>
      </c>
      <c r="H68" s="1"/>
    </row>
    <row r="69" spans="1:8">
      <c r="A69">
        <v>1068</v>
      </c>
      <c r="B69" s="1">
        <v>46048</v>
      </c>
      <c r="C69" t="s">
        <v>142</v>
      </c>
      <c r="D69" t="s">
        <v>74</v>
      </c>
      <c r="E69" t="s">
        <v>144</v>
      </c>
      <c r="F69" s="2" t="str">
        <f t="shared" si="2"/>
        <v>2026-01</v>
      </c>
      <c r="G69" s="2" t="str">
        <f t="shared" si="3"/>
        <v>2026-w05</v>
      </c>
      <c r="H69" s="1"/>
    </row>
    <row r="70" spans="1:8">
      <c r="A70">
        <v>1069</v>
      </c>
      <c r="B70" s="1">
        <v>46028</v>
      </c>
      <c r="C70" t="s">
        <v>142</v>
      </c>
      <c r="D70" t="s">
        <v>76</v>
      </c>
      <c r="E70" t="s">
        <v>144</v>
      </c>
      <c r="F70" s="2" t="str">
        <f t="shared" si="2"/>
        <v>2026-01</v>
      </c>
      <c r="G70" s="2" t="str">
        <f t="shared" si="3"/>
        <v>2026-w02</v>
      </c>
      <c r="H70" s="1"/>
    </row>
    <row r="71" spans="1:8">
      <c r="A71">
        <v>1070</v>
      </c>
      <c r="B71" s="1">
        <v>46102</v>
      </c>
      <c r="C71" t="s">
        <v>146</v>
      </c>
      <c r="D71" t="s">
        <v>74</v>
      </c>
      <c r="E71" t="s">
        <v>139</v>
      </c>
      <c r="F71" s="2" t="str">
        <f t="shared" si="2"/>
        <v>2026-03</v>
      </c>
      <c r="G71" s="2" t="str">
        <f t="shared" si="3"/>
        <v>2026-w12</v>
      </c>
      <c r="H71" s="1"/>
    </row>
    <row r="72" spans="1:8">
      <c r="A72">
        <v>1071</v>
      </c>
      <c r="B72" s="1">
        <v>46030</v>
      </c>
      <c r="C72" t="s">
        <v>146</v>
      </c>
      <c r="D72" t="s">
        <v>76</v>
      </c>
      <c r="E72" t="s">
        <v>139</v>
      </c>
      <c r="F72" s="2" t="str">
        <f t="shared" si="2"/>
        <v>2026-01</v>
      </c>
      <c r="G72" s="2" t="str">
        <f t="shared" si="3"/>
        <v>2026-w02</v>
      </c>
      <c r="H72" s="1"/>
    </row>
    <row r="73" spans="1:8">
      <c r="A73">
        <v>1072</v>
      </c>
      <c r="B73" s="1">
        <v>46056</v>
      </c>
      <c r="C73" t="s">
        <v>140</v>
      </c>
      <c r="D73" t="s">
        <v>72</v>
      </c>
      <c r="E73" t="s">
        <v>139</v>
      </c>
      <c r="F73" s="2" t="str">
        <f t="shared" si="2"/>
        <v>2026-02</v>
      </c>
      <c r="G73" s="2" t="str">
        <f t="shared" si="3"/>
        <v>2026-w06</v>
      </c>
      <c r="H73" s="1"/>
    </row>
    <row r="74" spans="1:8">
      <c r="A74">
        <v>1073</v>
      </c>
      <c r="B74" s="1">
        <v>46142</v>
      </c>
      <c r="C74" t="s">
        <v>140</v>
      </c>
      <c r="D74" t="s">
        <v>72</v>
      </c>
      <c r="E74" t="s">
        <v>144</v>
      </c>
      <c r="F74" s="2" t="str">
        <f t="shared" si="2"/>
        <v>2026-04</v>
      </c>
      <c r="G74" s="2" t="str">
        <f t="shared" si="3"/>
        <v>2026-w18</v>
      </c>
      <c r="H74" s="1"/>
    </row>
    <row r="75" spans="1:8">
      <c r="A75">
        <v>1074</v>
      </c>
      <c r="B75" s="1">
        <v>46058</v>
      </c>
      <c r="C75" t="s">
        <v>145</v>
      </c>
      <c r="D75" t="s">
        <v>74</v>
      </c>
      <c r="E75" t="s">
        <v>139</v>
      </c>
      <c r="F75" s="2" t="str">
        <f t="shared" si="2"/>
        <v>2026-02</v>
      </c>
      <c r="G75" s="2" t="str">
        <f t="shared" si="3"/>
        <v>2026-w06</v>
      </c>
      <c r="H75" s="1"/>
    </row>
    <row r="76" spans="1:8">
      <c r="A76">
        <v>1075</v>
      </c>
      <c r="B76" s="1">
        <v>46045</v>
      </c>
      <c r="C76" t="s">
        <v>138</v>
      </c>
      <c r="D76" t="s">
        <v>76</v>
      </c>
      <c r="E76" t="s">
        <v>139</v>
      </c>
      <c r="F76" s="2" t="str">
        <f t="shared" si="2"/>
        <v>2026-01</v>
      </c>
      <c r="G76" s="2" t="str">
        <f t="shared" si="3"/>
        <v>2026-w04</v>
      </c>
      <c r="H76" s="1"/>
    </row>
    <row r="77" spans="1:8">
      <c r="A77">
        <v>1076</v>
      </c>
      <c r="B77" s="1">
        <v>46127</v>
      </c>
      <c r="C77" t="s">
        <v>138</v>
      </c>
      <c r="D77" t="s">
        <v>78</v>
      </c>
      <c r="E77" t="s">
        <v>141</v>
      </c>
      <c r="F77" s="2" t="str">
        <f t="shared" si="2"/>
        <v>2026-04</v>
      </c>
      <c r="G77" s="2" t="str">
        <f t="shared" si="3"/>
        <v>2026-w16</v>
      </c>
      <c r="H77" s="1"/>
    </row>
    <row r="78" spans="1:8">
      <c r="A78">
        <v>1077</v>
      </c>
      <c r="B78" s="1">
        <v>46121</v>
      </c>
      <c r="C78" t="s">
        <v>140</v>
      </c>
      <c r="D78" t="s">
        <v>74</v>
      </c>
      <c r="E78" t="s">
        <v>141</v>
      </c>
      <c r="F78" s="2" t="str">
        <f t="shared" si="2"/>
        <v>2026-04</v>
      </c>
      <c r="G78" s="2" t="str">
        <f t="shared" si="3"/>
        <v>2026-w15</v>
      </c>
      <c r="H78" s="1"/>
    </row>
    <row r="79" spans="1:8">
      <c r="A79">
        <v>1078</v>
      </c>
      <c r="B79" s="1">
        <v>46039</v>
      </c>
      <c r="C79" t="s">
        <v>142</v>
      </c>
      <c r="D79" t="s">
        <v>76</v>
      </c>
      <c r="E79" t="s">
        <v>141</v>
      </c>
      <c r="F79" s="2" t="str">
        <f t="shared" si="2"/>
        <v>2026-01</v>
      </c>
      <c r="G79" s="2" t="str">
        <f t="shared" si="3"/>
        <v>2026-w03</v>
      </c>
      <c r="H79" s="1"/>
    </row>
    <row r="80" spans="1:8">
      <c r="A80">
        <v>1079</v>
      </c>
      <c r="B80" s="1">
        <v>46035</v>
      </c>
      <c r="C80" t="s">
        <v>145</v>
      </c>
      <c r="D80" t="s">
        <v>74</v>
      </c>
      <c r="E80" t="s">
        <v>139</v>
      </c>
      <c r="F80" s="2" t="str">
        <f t="shared" si="2"/>
        <v>2026-01</v>
      </c>
      <c r="G80" s="2" t="str">
        <f t="shared" si="3"/>
        <v>2026-w03</v>
      </c>
      <c r="H80" s="1"/>
    </row>
    <row r="81" spans="1:8">
      <c r="A81">
        <v>1080</v>
      </c>
      <c r="B81" s="1">
        <v>46130</v>
      </c>
      <c r="C81" t="s">
        <v>145</v>
      </c>
      <c r="D81" t="s">
        <v>74</v>
      </c>
      <c r="E81" t="s">
        <v>139</v>
      </c>
      <c r="F81" s="2" t="str">
        <f t="shared" si="2"/>
        <v>2026-04</v>
      </c>
      <c r="G81" s="2" t="str">
        <f t="shared" si="3"/>
        <v>2026-w16</v>
      </c>
      <c r="H81" s="1"/>
    </row>
    <row r="82" spans="1:8">
      <c r="A82">
        <v>1081</v>
      </c>
      <c r="B82" s="1">
        <v>46146</v>
      </c>
      <c r="C82" t="s">
        <v>140</v>
      </c>
      <c r="D82" t="s">
        <v>72</v>
      </c>
      <c r="E82" t="s">
        <v>144</v>
      </c>
      <c r="F82" s="2" t="str">
        <f t="shared" si="2"/>
        <v>2026-05</v>
      </c>
      <c r="G82" s="2" t="str">
        <f t="shared" si="3"/>
        <v>2026-w19</v>
      </c>
      <c r="H82" s="1"/>
    </row>
    <row r="83" spans="1:8">
      <c r="A83">
        <v>1082</v>
      </c>
      <c r="B83" s="1">
        <v>46098</v>
      </c>
      <c r="C83" t="s">
        <v>140</v>
      </c>
      <c r="D83" t="s">
        <v>78</v>
      </c>
      <c r="E83" t="s">
        <v>144</v>
      </c>
      <c r="F83" s="2" t="str">
        <f t="shared" si="2"/>
        <v>2026-03</v>
      </c>
      <c r="G83" s="2" t="str">
        <f t="shared" si="3"/>
        <v>2026-w12</v>
      </c>
      <c r="H83" s="1"/>
    </row>
    <row r="84" spans="1:8">
      <c r="A84">
        <v>1083</v>
      </c>
      <c r="B84" s="1">
        <v>46103</v>
      </c>
      <c r="C84" t="s">
        <v>140</v>
      </c>
      <c r="D84" t="s">
        <v>72</v>
      </c>
      <c r="E84" t="s">
        <v>143</v>
      </c>
      <c r="F84" s="2" t="str">
        <f t="shared" si="2"/>
        <v>2026-03</v>
      </c>
      <c r="G84" s="2" t="str">
        <f t="shared" si="3"/>
        <v>2026-w13</v>
      </c>
      <c r="H84" s="1"/>
    </row>
    <row r="85" spans="1:8">
      <c r="A85">
        <v>1084</v>
      </c>
      <c r="B85" s="1">
        <v>46110</v>
      </c>
      <c r="C85" t="s">
        <v>146</v>
      </c>
      <c r="D85" t="s">
        <v>74</v>
      </c>
      <c r="E85" t="s">
        <v>139</v>
      </c>
      <c r="F85" s="2" t="str">
        <f t="shared" si="2"/>
        <v>2026-03</v>
      </c>
      <c r="G85" s="2" t="str">
        <f t="shared" si="3"/>
        <v>2026-w14</v>
      </c>
      <c r="H85" s="1"/>
    </row>
    <row r="86" spans="1:8">
      <c r="A86">
        <v>1085</v>
      </c>
      <c r="B86" s="1">
        <v>46147</v>
      </c>
      <c r="C86" t="s">
        <v>146</v>
      </c>
      <c r="D86" t="s">
        <v>78</v>
      </c>
      <c r="E86" t="s">
        <v>141</v>
      </c>
      <c r="F86" s="2" t="str">
        <f t="shared" si="2"/>
        <v>2026-05</v>
      </c>
      <c r="G86" s="2" t="str">
        <f t="shared" si="3"/>
        <v>2026-w19</v>
      </c>
      <c r="H86" s="1"/>
    </row>
    <row r="87" spans="1:8">
      <c r="A87">
        <v>1086</v>
      </c>
      <c r="B87" s="1">
        <v>46047</v>
      </c>
      <c r="C87" t="s">
        <v>145</v>
      </c>
      <c r="D87" t="s">
        <v>72</v>
      </c>
      <c r="E87" t="s">
        <v>143</v>
      </c>
      <c r="F87" s="2" t="str">
        <f t="shared" si="2"/>
        <v>2026-01</v>
      </c>
      <c r="G87" s="2" t="str">
        <f t="shared" si="3"/>
        <v>2026-w05</v>
      </c>
      <c r="H87" s="1"/>
    </row>
    <row r="88" spans="1:8">
      <c r="A88">
        <v>1087</v>
      </c>
      <c r="B88" s="1">
        <v>46107</v>
      </c>
      <c r="C88" t="s">
        <v>140</v>
      </c>
      <c r="D88" t="s">
        <v>74</v>
      </c>
      <c r="E88" t="s">
        <v>144</v>
      </c>
      <c r="F88" s="2" t="str">
        <f t="shared" si="2"/>
        <v>2026-03</v>
      </c>
      <c r="G88" s="2" t="str">
        <f t="shared" si="3"/>
        <v>2026-w13</v>
      </c>
      <c r="H88" s="1"/>
    </row>
    <row r="89" spans="1:8">
      <c r="A89">
        <v>1088</v>
      </c>
      <c r="B89" s="1">
        <v>46126</v>
      </c>
      <c r="C89" t="s">
        <v>140</v>
      </c>
      <c r="D89" t="s">
        <v>74</v>
      </c>
      <c r="E89" t="s">
        <v>143</v>
      </c>
      <c r="F89" s="2" t="str">
        <f t="shared" si="2"/>
        <v>2026-04</v>
      </c>
      <c r="G89" s="2" t="str">
        <f t="shared" si="3"/>
        <v>2026-w16</v>
      </c>
      <c r="H89" s="1"/>
    </row>
    <row r="90" spans="1:8">
      <c r="A90">
        <v>1089</v>
      </c>
      <c r="B90" s="1">
        <v>46107</v>
      </c>
      <c r="C90" t="s">
        <v>140</v>
      </c>
      <c r="D90" t="s">
        <v>74</v>
      </c>
      <c r="E90" t="s">
        <v>141</v>
      </c>
      <c r="F90" s="2" t="str">
        <f t="shared" si="2"/>
        <v>2026-03</v>
      </c>
      <c r="G90" s="2" t="str">
        <f t="shared" si="3"/>
        <v>2026-w13</v>
      </c>
      <c r="H90" s="1"/>
    </row>
    <row r="91" spans="1:8">
      <c r="A91">
        <v>1090</v>
      </c>
      <c r="B91" s="1">
        <v>46071</v>
      </c>
      <c r="C91" t="s">
        <v>140</v>
      </c>
      <c r="D91" t="s">
        <v>76</v>
      </c>
      <c r="E91" t="s">
        <v>139</v>
      </c>
      <c r="F91" s="2" t="str">
        <f t="shared" si="2"/>
        <v>2026-02</v>
      </c>
      <c r="G91" s="2" t="str">
        <f t="shared" si="3"/>
        <v>2026-w08</v>
      </c>
      <c r="H91" s="1"/>
    </row>
    <row r="92" spans="1:8">
      <c r="A92">
        <v>1091</v>
      </c>
      <c r="B92" s="1">
        <v>46086</v>
      </c>
      <c r="C92" t="s">
        <v>142</v>
      </c>
      <c r="D92" t="s">
        <v>78</v>
      </c>
      <c r="E92" t="s">
        <v>144</v>
      </c>
      <c r="F92" s="2" t="str">
        <f t="shared" si="2"/>
        <v>2026-03</v>
      </c>
      <c r="G92" s="2" t="str">
        <f t="shared" si="3"/>
        <v>2026-w10</v>
      </c>
      <c r="H92" s="1"/>
    </row>
    <row r="93" spans="1:8">
      <c r="A93">
        <v>1092</v>
      </c>
      <c r="B93" s="1">
        <v>46056</v>
      </c>
      <c r="C93" t="s">
        <v>138</v>
      </c>
      <c r="D93" t="s">
        <v>72</v>
      </c>
      <c r="E93" t="s">
        <v>139</v>
      </c>
      <c r="F93" s="2" t="str">
        <f t="shared" si="2"/>
        <v>2026-02</v>
      </c>
      <c r="G93" s="2" t="str">
        <f t="shared" si="3"/>
        <v>2026-w06</v>
      </c>
      <c r="H93" s="1"/>
    </row>
    <row r="94" spans="1:8">
      <c r="A94">
        <v>1093</v>
      </c>
      <c r="B94" s="1">
        <v>46060</v>
      </c>
      <c r="C94" t="s">
        <v>142</v>
      </c>
      <c r="D94" t="s">
        <v>72</v>
      </c>
      <c r="E94" t="s">
        <v>141</v>
      </c>
      <c r="F94" s="2" t="str">
        <f t="shared" si="2"/>
        <v>2026-02</v>
      </c>
      <c r="G94" s="2" t="str">
        <f t="shared" si="3"/>
        <v>2026-w06</v>
      </c>
      <c r="H94" s="1"/>
    </row>
    <row r="95" spans="1:8">
      <c r="A95">
        <v>1094</v>
      </c>
      <c r="B95" s="1">
        <v>46103</v>
      </c>
      <c r="C95" t="s">
        <v>140</v>
      </c>
      <c r="D95" t="s">
        <v>74</v>
      </c>
      <c r="E95" t="s">
        <v>141</v>
      </c>
      <c r="F95" s="2" t="str">
        <f t="shared" si="2"/>
        <v>2026-03</v>
      </c>
      <c r="G95" s="2" t="str">
        <f t="shared" si="3"/>
        <v>2026-w13</v>
      </c>
      <c r="H95" s="1"/>
    </row>
    <row r="96" spans="1:8">
      <c r="A96">
        <v>1095</v>
      </c>
      <c r="B96" s="1">
        <v>46064</v>
      </c>
      <c r="C96" t="s">
        <v>140</v>
      </c>
      <c r="D96" t="s">
        <v>76</v>
      </c>
      <c r="E96" t="s">
        <v>141</v>
      </c>
      <c r="F96" s="2" t="str">
        <f t="shared" si="2"/>
        <v>2026-02</v>
      </c>
      <c r="G96" s="2" t="str">
        <f t="shared" si="3"/>
        <v>2026-w07</v>
      </c>
      <c r="H96" s="1"/>
    </row>
    <row r="97" spans="1:8">
      <c r="A97">
        <v>1096</v>
      </c>
      <c r="B97" s="1">
        <v>46079</v>
      </c>
      <c r="C97" t="s">
        <v>142</v>
      </c>
      <c r="D97" t="s">
        <v>72</v>
      </c>
      <c r="E97" t="s">
        <v>139</v>
      </c>
      <c r="F97" s="2" t="str">
        <f t="shared" si="2"/>
        <v>2026-02</v>
      </c>
      <c r="G97" s="2" t="str">
        <f t="shared" si="3"/>
        <v>2026-w09</v>
      </c>
      <c r="H97" s="1"/>
    </row>
    <row r="98" spans="1:8">
      <c r="A98">
        <v>1097</v>
      </c>
      <c r="B98" s="1">
        <v>46095</v>
      </c>
      <c r="C98" t="s">
        <v>142</v>
      </c>
      <c r="D98" t="s">
        <v>74</v>
      </c>
      <c r="E98" t="s">
        <v>141</v>
      </c>
      <c r="F98" s="2" t="str">
        <f t="shared" si="2"/>
        <v>2026-03</v>
      </c>
      <c r="G98" s="2" t="str">
        <f t="shared" si="3"/>
        <v>2026-w11</v>
      </c>
      <c r="H98" s="1"/>
    </row>
    <row r="99" spans="1:8">
      <c r="A99">
        <v>1098</v>
      </c>
      <c r="B99" s="1">
        <v>46140</v>
      </c>
      <c r="C99" t="s">
        <v>140</v>
      </c>
      <c r="D99" t="s">
        <v>76</v>
      </c>
      <c r="E99" t="s">
        <v>139</v>
      </c>
      <c r="F99" s="2" t="str">
        <f t="shared" si="2"/>
        <v>2026-04</v>
      </c>
      <c r="G99" s="2" t="str">
        <f t="shared" si="3"/>
        <v>2026-w18</v>
      </c>
      <c r="H99" s="1"/>
    </row>
    <row r="100" spans="1:8">
      <c r="A100">
        <v>1099</v>
      </c>
      <c r="B100" s="1">
        <v>46126</v>
      </c>
      <c r="C100" t="s">
        <v>140</v>
      </c>
      <c r="D100" t="s">
        <v>76</v>
      </c>
      <c r="E100" t="s">
        <v>143</v>
      </c>
      <c r="F100" s="2" t="str">
        <f t="shared" si="2"/>
        <v>2026-04</v>
      </c>
      <c r="G100" s="2" t="str">
        <f t="shared" si="3"/>
        <v>2026-w16</v>
      </c>
      <c r="H100" s="1"/>
    </row>
    <row r="101" spans="1:8">
      <c r="A101">
        <v>1100</v>
      </c>
      <c r="B101" s="1">
        <v>46098</v>
      </c>
      <c r="C101" t="s">
        <v>142</v>
      </c>
      <c r="D101" t="s">
        <v>72</v>
      </c>
      <c r="E101" t="s">
        <v>139</v>
      </c>
      <c r="F101" s="2" t="str">
        <f t="shared" si="2"/>
        <v>2026-03</v>
      </c>
      <c r="G101" s="2" t="str">
        <f t="shared" si="3"/>
        <v>2026-w12</v>
      </c>
      <c r="H101" s="1"/>
    </row>
    <row r="102" spans="1:8">
      <c r="A102">
        <v>1101</v>
      </c>
      <c r="B102" s="1">
        <v>46052</v>
      </c>
      <c r="C102" t="s">
        <v>140</v>
      </c>
      <c r="D102" t="s">
        <v>72</v>
      </c>
      <c r="E102" t="s">
        <v>139</v>
      </c>
      <c r="F102" s="2" t="str">
        <f t="shared" si="2"/>
        <v>2026-01</v>
      </c>
      <c r="G102" s="2" t="str">
        <f t="shared" si="3"/>
        <v>2026-w05</v>
      </c>
      <c r="H102" s="1"/>
    </row>
    <row r="103" spans="1:8">
      <c r="A103">
        <v>1102</v>
      </c>
      <c r="B103" s="1">
        <v>46114</v>
      </c>
      <c r="C103" t="s">
        <v>145</v>
      </c>
      <c r="D103" t="s">
        <v>72</v>
      </c>
      <c r="E103" t="s">
        <v>139</v>
      </c>
      <c r="F103" s="2" t="str">
        <f t="shared" si="2"/>
        <v>2026-04</v>
      </c>
      <c r="G103" s="2" t="str">
        <f t="shared" si="3"/>
        <v>2026-w14</v>
      </c>
      <c r="H103" s="1"/>
    </row>
    <row r="104" spans="1:8">
      <c r="A104">
        <v>1103</v>
      </c>
      <c r="B104" s="1">
        <v>46103</v>
      </c>
      <c r="C104" t="s">
        <v>145</v>
      </c>
      <c r="D104" t="s">
        <v>72</v>
      </c>
      <c r="E104" t="s">
        <v>139</v>
      </c>
      <c r="F104" s="2" t="str">
        <f t="shared" si="2"/>
        <v>2026-03</v>
      </c>
      <c r="G104" s="2" t="str">
        <f t="shared" si="3"/>
        <v>2026-w13</v>
      </c>
      <c r="H104" s="1"/>
    </row>
    <row r="105" spans="1:8">
      <c r="A105">
        <v>1104</v>
      </c>
      <c r="B105" s="1">
        <v>46126</v>
      </c>
      <c r="C105" t="s">
        <v>140</v>
      </c>
      <c r="D105" t="s">
        <v>72</v>
      </c>
      <c r="E105" t="s">
        <v>141</v>
      </c>
      <c r="F105" s="2" t="str">
        <f t="shared" si="2"/>
        <v>2026-04</v>
      </c>
      <c r="G105" s="2" t="str">
        <f t="shared" si="3"/>
        <v>2026-w16</v>
      </c>
      <c r="H105" s="1"/>
    </row>
    <row r="106" spans="1:8">
      <c r="A106">
        <v>1105</v>
      </c>
      <c r="B106" s="1">
        <v>46058</v>
      </c>
      <c r="C106" t="s">
        <v>138</v>
      </c>
      <c r="D106" t="s">
        <v>72</v>
      </c>
      <c r="E106" t="s">
        <v>143</v>
      </c>
      <c r="F106" s="2" t="str">
        <f t="shared" si="2"/>
        <v>2026-02</v>
      </c>
      <c r="G106" s="2" t="str">
        <f t="shared" si="3"/>
        <v>2026-w06</v>
      </c>
      <c r="H106" s="1"/>
    </row>
    <row r="107" spans="1:8">
      <c r="A107">
        <v>1106</v>
      </c>
      <c r="B107" s="1">
        <v>46034</v>
      </c>
      <c r="C107" t="s">
        <v>142</v>
      </c>
      <c r="D107" t="s">
        <v>72</v>
      </c>
      <c r="E107" t="s">
        <v>141</v>
      </c>
      <c r="F107" s="2" t="str">
        <f t="shared" si="2"/>
        <v>2026-01</v>
      </c>
      <c r="G107" s="2" t="str">
        <f t="shared" si="3"/>
        <v>2026-w03</v>
      </c>
      <c r="H107" s="1"/>
    </row>
    <row r="108" spans="1:8">
      <c r="A108">
        <v>1107</v>
      </c>
      <c r="B108" s="1">
        <v>46087</v>
      </c>
      <c r="C108" t="s">
        <v>140</v>
      </c>
      <c r="D108" t="s">
        <v>72</v>
      </c>
      <c r="E108" t="s">
        <v>143</v>
      </c>
      <c r="F108" s="2" t="str">
        <f t="shared" si="2"/>
        <v>2026-03</v>
      </c>
      <c r="G108" s="2" t="str">
        <f t="shared" si="3"/>
        <v>2026-w10</v>
      </c>
      <c r="H108" s="1"/>
    </row>
    <row r="109" spans="1:8">
      <c r="A109">
        <v>1108</v>
      </c>
      <c r="B109" s="1">
        <v>46076</v>
      </c>
      <c r="C109" t="s">
        <v>145</v>
      </c>
      <c r="D109" t="s">
        <v>72</v>
      </c>
      <c r="E109" t="s">
        <v>141</v>
      </c>
      <c r="F109" s="2" t="str">
        <f t="shared" si="2"/>
        <v>2026-02</v>
      </c>
      <c r="G109" s="2" t="str">
        <f t="shared" si="3"/>
        <v>2026-w09</v>
      </c>
      <c r="H109" s="1"/>
    </row>
    <row r="110" spans="1:8">
      <c r="A110">
        <v>1109</v>
      </c>
      <c r="B110" s="1">
        <v>46079</v>
      </c>
      <c r="C110" t="s">
        <v>138</v>
      </c>
      <c r="D110" t="s">
        <v>74</v>
      </c>
      <c r="E110" t="s">
        <v>143</v>
      </c>
      <c r="F110" s="2" t="str">
        <f t="shared" si="2"/>
        <v>2026-02</v>
      </c>
      <c r="G110" s="2" t="str">
        <f t="shared" si="3"/>
        <v>2026-w09</v>
      </c>
      <c r="H110" s="1"/>
    </row>
    <row r="111" spans="1:8">
      <c r="A111">
        <v>1110</v>
      </c>
      <c r="B111" s="1">
        <v>46047</v>
      </c>
      <c r="C111" t="s">
        <v>140</v>
      </c>
      <c r="D111" t="s">
        <v>78</v>
      </c>
      <c r="E111" t="s">
        <v>139</v>
      </c>
      <c r="F111" s="2" t="str">
        <f t="shared" si="2"/>
        <v>2026-01</v>
      </c>
      <c r="G111" s="2" t="str">
        <f t="shared" si="3"/>
        <v>2026-w05</v>
      </c>
      <c r="H111" s="1"/>
    </row>
    <row r="112" spans="1:8">
      <c r="A112">
        <v>1111</v>
      </c>
      <c r="B112" s="1">
        <v>46130</v>
      </c>
      <c r="C112" t="s">
        <v>145</v>
      </c>
      <c r="D112" t="s">
        <v>74</v>
      </c>
      <c r="E112" t="s">
        <v>144</v>
      </c>
      <c r="F112" s="2" t="str">
        <f t="shared" si="2"/>
        <v>2026-04</v>
      </c>
      <c r="G112" s="2" t="str">
        <f t="shared" si="3"/>
        <v>2026-w16</v>
      </c>
      <c r="H112" s="1"/>
    </row>
    <row r="113" spans="1:8">
      <c r="A113">
        <v>1112</v>
      </c>
      <c r="B113" s="1">
        <v>46053</v>
      </c>
      <c r="C113" t="s">
        <v>146</v>
      </c>
      <c r="D113" t="s">
        <v>74</v>
      </c>
      <c r="E113" t="s">
        <v>141</v>
      </c>
      <c r="F113" s="2" t="str">
        <f t="shared" si="2"/>
        <v>2026-01</v>
      </c>
      <c r="G113" s="2" t="str">
        <f t="shared" si="3"/>
        <v>2026-w05</v>
      </c>
      <c r="H113" s="1"/>
    </row>
    <row r="114" spans="1:8">
      <c r="A114">
        <v>1113</v>
      </c>
      <c r="B114" s="1">
        <v>46146</v>
      </c>
      <c r="C114" t="s">
        <v>140</v>
      </c>
      <c r="D114" t="s">
        <v>76</v>
      </c>
      <c r="E114" t="s">
        <v>139</v>
      </c>
      <c r="F114" s="2" t="str">
        <f t="shared" si="2"/>
        <v>2026-05</v>
      </c>
      <c r="G114" s="2" t="str">
        <f t="shared" si="3"/>
        <v>2026-w19</v>
      </c>
      <c r="H114" s="1"/>
    </row>
    <row r="115" spans="1:8">
      <c r="A115">
        <v>1114</v>
      </c>
      <c r="B115" s="1">
        <v>46117</v>
      </c>
      <c r="C115" t="s">
        <v>140</v>
      </c>
      <c r="D115" t="s">
        <v>74</v>
      </c>
      <c r="E115" t="s">
        <v>141</v>
      </c>
      <c r="F115" s="2" t="str">
        <f t="shared" si="2"/>
        <v>2026-04</v>
      </c>
      <c r="G115" s="2" t="str">
        <f t="shared" si="3"/>
        <v>2026-w15</v>
      </c>
      <c r="H115" s="1"/>
    </row>
    <row r="116" spans="1:8">
      <c r="A116">
        <v>1115</v>
      </c>
      <c r="B116" s="1">
        <v>46074</v>
      </c>
      <c r="C116" t="s">
        <v>145</v>
      </c>
      <c r="D116" t="s">
        <v>74</v>
      </c>
      <c r="E116" t="s">
        <v>141</v>
      </c>
      <c r="F116" s="2" t="str">
        <f t="shared" si="2"/>
        <v>2026-02</v>
      </c>
      <c r="G116" s="2" t="str">
        <f t="shared" si="3"/>
        <v>2026-w08</v>
      </c>
      <c r="H116" s="1"/>
    </row>
    <row r="117" spans="1:8">
      <c r="A117">
        <v>1116</v>
      </c>
      <c r="B117" s="1">
        <v>46067</v>
      </c>
      <c r="C117" t="s">
        <v>140</v>
      </c>
      <c r="D117" t="s">
        <v>74</v>
      </c>
      <c r="E117" t="s">
        <v>143</v>
      </c>
      <c r="F117" s="2" t="str">
        <f t="shared" si="2"/>
        <v>2026-02</v>
      </c>
      <c r="G117" s="2" t="str">
        <f t="shared" si="3"/>
        <v>2026-w07</v>
      </c>
      <c r="H117" s="1"/>
    </row>
    <row r="118" spans="1:8">
      <c r="A118">
        <v>1117</v>
      </c>
      <c r="B118" s="1">
        <v>46146</v>
      </c>
      <c r="C118" t="s">
        <v>146</v>
      </c>
      <c r="D118" t="s">
        <v>76</v>
      </c>
      <c r="E118" t="s">
        <v>139</v>
      </c>
      <c r="F118" s="2" t="str">
        <f t="shared" si="2"/>
        <v>2026-05</v>
      </c>
      <c r="G118" s="2" t="str">
        <f t="shared" si="3"/>
        <v>2026-w19</v>
      </c>
      <c r="H118" s="1"/>
    </row>
    <row r="119" spans="1:8">
      <c r="A119">
        <v>1118</v>
      </c>
      <c r="B119" s="1">
        <v>46078</v>
      </c>
      <c r="C119" t="s">
        <v>138</v>
      </c>
      <c r="D119" t="s">
        <v>76</v>
      </c>
      <c r="E119" t="s">
        <v>141</v>
      </c>
      <c r="F119" s="2" t="str">
        <f t="shared" si="2"/>
        <v>2026-02</v>
      </c>
      <c r="G119" s="2" t="str">
        <f t="shared" si="3"/>
        <v>2026-w09</v>
      </c>
      <c r="H119" s="1"/>
    </row>
    <row r="120" spans="1:8">
      <c r="A120">
        <v>1119</v>
      </c>
      <c r="B120" s="1">
        <v>46024</v>
      </c>
      <c r="C120" t="s">
        <v>146</v>
      </c>
      <c r="D120" t="s">
        <v>74</v>
      </c>
      <c r="E120" t="s">
        <v>141</v>
      </c>
      <c r="F120" s="2" t="str">
        <f t="shared" si="2"/>
        <v>2026-01</v>
      </c>
      <c r="G120" s="2" t="str">
        <f t="shared" si="3"/>
        <v>2026-w01</v>
      </c>
      <c r="H120" s="1"/>
    </row>
    <row r="121" spans="1:8">
      <c r="A121">
        <v>1120</v>
      </c>
      <c r="B121" s="1">
        <v>46067</v>
      </c>
      <c r="C121" t="s">
        <v>145</v>
      </c>
      <c r="D121" t="s">
        <v>74</v>
      </c>
      <c r="E121" t="s">
        <v>143</v>
      </c>
      <c r="F121" s="2" t="str">
        <f t="shared" si="2"/>
        <v>2026-02</v>
      </c>
      <c r="G121" s="2" t="str">
        <f t="shared" si="3"/>
        <v>2026-w07</v>
      </c>
      <c r="H121" s="1"/>
    </row>
    <row r="122" spans="1:8">
      <c r="A122">
        <v>1121</v>
      </c>
      <c r="B122" s="1">
        <v>46056</v>
      </c>
      <c r="C122" t="s">
        <v>138</v>
      </c>
      <c r="D122" t="s">
        <v>72</v>
      </c>
      <c r="E122" t="s">
        <v>141</v>
      </c>
      <c r="F122" s="2" t="str">
        <f t="shared" si="2"/>
        <v>2026-02</v>
      </c>
      <c r="G122" s="2" t="str">
        <f t="shared" si="3"/>
        <v>2026-w06</v>
      </c>
      <c r="H122" s="1"/>
    </row>
    <row r="123" spans="1:8">
      <c r="A123">
        <v>1122</v>
      </c>
      <c r="B123" s="1">
        <v>46099</v>
      </c>
      <c r="C123" t="s">
        <v>140</v>
      </c>
      <c r="D123" t="s">
        <v>74</v>
      </c>
      <c r="E123" t="s">
        <v>144</v>
      </c>
      <c r="F123" s="2" t="str">
        <f t="shared" si="2"/>
        <v>2026-03</v>
      </c>
      <c r="G123" s="2" t="str">
        <f t="shared" si="3"/>
        <v>2026-w12</v>
      </c>
      <c r="H123" s="1"/>
    </row>
    <row r="124" spans="1:8">
      <c r="A124">
        <v>1123</v>
      </c>
      <c r="B124" s="1">
        <v>46088</v>
      </c>
      <c r="C124" t="s">
        <v>140</v>
      </c>
      <c r="D124" t="s">
        <v>72</v>
      </c>
      <c r="E124" t="s">
        <v>143</v>
      </c>
      <c r="F124" s="2" t="str">
        <f t="shared" si="2"/>
        <v>2026-03</v>
      </c>
      <c r="G124" s="2" t="str">
        <f t="shared" si="3"/>
        <v>2026-w10</v>
      </c>
      <c r="H124" s="1"/>
    </row>
    <row r="125" spans="1:8">
      <c r="A125">
        <v>1124</v>
      </c>
      <c r="B125" s="1">
        <v>46130</v>
      </c>
      <c r="C125" t="s">
        <v>140</v>
      </c>
      <c r="D125" t="s">
        <v>74</v>
      </c>
      <c r="E125" t="s">
        <v>139</v>
      </c>
      <c r="F125" s="2" t="str">
        <f t="shared" si="2"/>
        <v>2026-04</v>
      </c>
      <c r="G125" s="2" t="str">
        <f t="shared" si="3"/>
        <v>2026-w16</v>
      </c>
      <c r="H125" s="1"/>
    </row>
    <row r="126" spans="1:8">
      <c r="A126">
        <v>1125</v>
      </c>
      <c r="B126" s="1">
        <v>46065</v>
      </c>
      <c r="C126" t="s">
        <v>140</v>
      </c>
      <c r="D126" t="s">
        <v>74</v>
      </c>
      <c r="E126" t="s">
        <v>143</v>
      </c>
      <c r="F126" s="2" t="str">
        <f t="shared" si="2"/>
        <v>2026-02</v>
      </c>
      <c r="G126" s="2" t="str">
        <f t="shared" si="3"/>
        <v>2026-w07</v>
      </c>
      <c r="H126" s="1"/>
    </row>
    <row r="127" spans="1:8">
      <c r="A127">
        <v>1126</v>
      </c>
      <c r="B127" s="1">
        <v>46081</v>
      </c>
      <c r="C127" t="s">
        <v>142</v>
      </c>
      <c r="D127" t="s">
        <v>72</v>
      </c>
      <c r="E127" t="s">
        <v>139</v>
      </c>
      <c r="F127" s="2" t="str">
        <f t="shared" si="2"/>
        <v>2026-02</v>
      </c>
      <c r="G127" s="2" t="str">
        <f t="shared" si="3"/>
        <v>2026-w09</v>
      </c>
      <c r="H127" s="1"/>
    </row>
    <row r="128" spans="1:8">
      <c r="A128">
        <v>1127</v>
      </c>
      <c r="B128" s="1">
        <v>46102</v>
      </c>
      <c r="C128" t="s">
        <v>140</v>
      </c>
      <c r="D128" t="s">
        <v>78</v>
      </c>
      <c r="E128" t="s">
        <v>144</v>
      </c>
      <c r="F128" s="2" t="str">
        <f t="shared" si="2"/>
        <v>2026-03</v>
      </c>
      <c r="G128" s="2" t="str">
        <f t="shared" si="3"/>
        <v>2026-w12</v>
      </c>
      <c r="H128" s="1"/>
    </row>
    <row r="129" spans="1:8">
      <c r="A129">
        <v>1128</v>
      </c>
      <c r="B129" s="1">
        <v>46057</v>
      </c>
      <c r="C129" t="s">
        <v>146</v>
      </c>
      <c r="D129" t="s">
        <v>76</v>
      </c>
      <c r="E129" t="s">
        <v>144</v>
      </c>
      <c r="F129" s="2" t="str">
        <f t="shared" si="2"/>
        <v>2026-02</v>
      </c>
      <c r="G129" s="2" t="str">
        <f t="shared" si="3"/>
        <v>2026-w06</v>
      </c>
      <c r="H129" s="1"/>
    </row>
    <row r="130" spans="1:8">
      <c r="A130">
        <v>1129</v>
      </c>
      <c r="B130" s="1">
        <v>46082</v>
      </c>
      <c r="C130" t="s">
        <v>142</v>
      </c>
      <c r="D130" t="s">
        <v>74</v>
      </c>
      <c r="E130" t="s">
        <v>141</v>
      </c>
      <c r="F130" s="2" t="str">
        <f t="shared" si="2"/>
        <v>2026-03</v>
      </c>
      <c r="G130" s="2" t="str">
        <f t="shared" si="3"/>
        <v>2026-w10</v>
      </c>
      <c r="H130" s="1"/>
    </row>
    <row r="131" spans="1:8">
      <c r="A131">
        <v>1130</v>
      </c>
      <c r="B131" s="1">
        <v>46091</v>
      </c>
      <c r="C131" t="s">
        <v>140</v>
      </c>
      <c r="D131" t="s">
        <v>72</v>
      </c>
      <c r="E131" t="s">
        <v>143</v>
      </c>
      <c r="F131" s="2" t="str">
        <f t="shared" ref="F131:F194" si="4">TEXT(B131,"yyyy-mm")</f>
        <v>2026-03</v>
      </c>
      <c r="G131" s="2" t="str">
        <f t="shared" ref="G131:G194" si="5">YEAR(B131)&amp;"-w"&amp;TEXT(WEEKNUM(B131),"00")</f>
        <v>2026-w11</v>
      </c>
      <c r="H131" s="1"/>
    </row>
    <row r="132" spans="1:8">
      <c r="A132">
        <v>1131</v>
      </c>
      <c r="B132" s="1">
        <v>46095</v>
      </c>
      <c r="C132" t="s">
        <v>145</v>
      </c>
      <c r="D132" t="s">
        <v>72</v>
      </c>
      <c r="E132" t="s">
        <v>144</v>
      </c>
      <c r="F132" s="2" t="str">
        <f t="shared" si="4"/>
        <v>2026-03</v>
      </c>
      <c r="G132" s="2" t="str">
        <f t="shared" si="5"/>
        <v>2026-w11</v>
      </c>
      <c r="H132" s="1"/>
    </row>
    <row r="133" spans="1:8">
      <c r="A133">
        <v>1132</v>
      </c>
      <c r="B133" s="1">
        <v>46054</v>
      </c>
      <c r="C133" t="s">
        <v>146</v>
      </c>
      <c r="D133" t="s">
        <v>72</v>
      </c>
      <c r="E133" t="s">
        <v>139</v>
      </c>
      <c r="F133" s="2" t="str">
        <f t="shared" si="4"/>
        <v>2026-02</v>
      </c>
      <c r="G133" s="2" t="str">
        <f t="shared" si="5"/>
        <v>2026-w06</v>
      </c>
      <c r="H133" s="1"/>
    </row>
    <row r="134" spans="1:8">
      <c r="A134">
        <v>1133</v>
      </c>
      <c r="B134" s="1">
        <v>46106</v>
      </c>
      <c r="C134" t="s">
        <v>142</v>
      </c>
      <c r="D134" t="s">
        <v>72</v>
      </c>
      <c r="E134" t="s">
        <v>141</v>
      </c>
      <c r="F134" s="2" t="str">
        <f t="shared" si="4"/>
        <v>2026-03</v>
      </c>
      <c r="G134" s="2" t="str">
        <f t="shared" si="5"/>
        <v>2026-w13</v>
      </c>
      <c r="H134" s="1"/>
    </row>
    <row r="135" spans="1:8">
      <c r="A135">
        <v>1134</v>
      </c>
      <c r="B135" s="1">
        <v>46150</v>
      </c>
      <c r="C135" t="s">
        <v>140</v>
      </c>
      <c r="D135" t="s">
        <v>72</v>
      </c>
      <c r="E135" t="s">
        <v>141</v>
      </c>
      <c r="F135" s="2" t="str">
        <f t="shared" si="4"/>
        <v>2026-05</v>
      </c>
      <c r="G135" s="2" t="str">
        <f t="shared" si="5"/>
        <v>2026-w19</v>
      </c>
      <c r="H135" s="1"/>
    </row>
    <row r="136" spans="1:8">
      <c r="A136">
        <v>1135</v>
      </c>
      <c r="B136" s="1">
        <v>46098</v>
      </c>
      <c r="C136" t="s">
        <v>146</v>
      </c>
      <c r="D136" t="s">
        <v>72</v>
      </c>
      <c r="E136" t="s">
        <v>141</v>
      </c>
      <c r="F136" s="2" t="str">
        <f t="shared" si="4"/>
        <v>2026-03</v>
      </c>
      <c r="G136" s="2" t="str">
        <f t="shared" si="5"/>
        <v>2026-w12</v>
      </c>
      <c r="H136" s="1"/>
    </row>
    <row r="137" spans="1:8">
      <c r="A137">
        <v>1136</v>
      </c>
      <c r="B137" s="1">
        <v>46023</v>
      </c>
      <c r="C137" t="s">
        <v>146</v>
      </c>
      <c r="D137" t="s">
        <v>74</v>
      </c>
      <c r="E137" t="s">
        <v>139</v>
      </c>
      <c r="F137" s="2" t="str">
        <f t="shared" si="4"/>
        <v>2026-01</v>
      </c>
      <c r="G137" s="2" t="str">
        <f t="shared" si="5"/>
        <v>2026-w01</v>
      </c>
      <c r="H137" s="1"/>
    </row>
    <row r="138" spans="1:8">
      <c r="A138">
        <v>1137</v>
      </c>
      <c r="B138" s="1">
        <v>46105</v>
      </c>
      <c r="C138" t="s">
        <v>140</v>
      </c>
      <c r="D138" t="s">
        <v>74</v>
      </c>
      <c r="E138" t="s">
        <v>141</v>
      </c>
      <c r="F138" s="2" t="str">
        <f t="shared" si="4"/>
        <v>2026-03</v>
      </c>
      <c r="G138" s="2" t="str">
        <f t="shared" si="5"/>
        <v>2026-w13</v>
      </c>
      <c r="H138" s="1"/>
    </row>
    <row r="139" spans="1:8">
      <c r="A139">
        <v>1138</v>
      </c>
      <c r="B139" s="1">
        <v>46088</v>
      </c>
      <c r="C139" t="s">
        <v>138</v>
      </c>
      <c r="D139" t="s">
        <v>76</v>
      </c>
      <c r="E139" t="s">
        <v>141</v>
      </c>
      <c r="F139" s="2" t="str">
        <f t="shared" si="4"/>
        <v>2026-03</v>
      </c>
      <c r="G139" s="2" t="str">
        <f t="shared" si="5"/>
        <v>2026-w10</v>
      </c>
      <c r="H139" s="1"/>
    </row>
    <row r="140" spans="1:8">
      <c r="A140">
        <v>1139</v>
      </c>
      <c r="B140" s="1">
        <v>46091</v>
      </c>
      <c r="C140" t="s">
        <v>145</v>
      </c>
      <c r="D140" t="s">
        <v>74</v>
      </c>
      <c r="E140" t="s">
        <v>141</v>
      </c>
      <c r="F140" s="2" t="str">
        <f t="shared" si="4"/>
        <v>2026-03</v>
      </c>
      <c r="G140" s="2" t="str">
        <f t="shared" si="5"/>
        <v>2026-w11</v>
      </c>
      <c r="H140" s="1"/>
    </row>
    <row r="141" spans="1:8">
      <c r="A141">
        <v>1140</v>
      </c>
      <c r="B141" s="1">
        <v>46068</v>
      </c>
      <c r="C141" t="s">
        <v>140</v>
      </c>
      <c r="D141" t="s">
        <v>72</v>
      </c>
      <c r="E141" t="s">
        <v>141</v>
      </c>
      <c r="F141" s="2" t="str">
        <f t="shared" si="4"/>
        <v>2026-02</v>
      </c>
      <c r="G141" s="2" t="str">
        <f t="shared" si="5"/>
        <v>2026-w08</v>
      </c>
      <c r="H141" s="1"/>
    </row>
    <row r="142" spans="1:8">
      <c r="A142">
        <v>1141</v>
      </c>
      <c r="B142" s="1">
        <v>46088</v>
      </c>
      <c r="C142" t="s">
        <v>146</v>
      </c>
      <c r="D142" t="s">
        <v>78</v>
      </c>
      <c r="E142" t="s">
        <v>144</v>
      </c>
      <c r="F142" s="2" t="str">
        <f t="shared" si="4"/>
        <v>2026-03</v>
      </c>
      <c r="G142" s="2" t="str">
        <f t="shared" si="5"/>
        <v>2026-w10</v>
      </c>
      <c r="H142" s="1"/>
    </row>
    <row r="143" spans="1:8">
      <c r="A143">
        <v>1142</v>
      </c>
      <c r="B143" s="1">
        <v>46153</v>
      </c>
      <c r="C143" t="s">
        <v>140</v>
      </c>
      <c r="D143" t="s">
        <v>74</v>
      </c>
      <c r="E143" t="s">
        <v>141</v>
      </c>
      <c r="F143" s="2" t="str">
        <f t="shared" si="4"/>
        <v>2026-05</v>
      </c>
      <c r="G143" s="2" t="str">
        <f t="shared" si="5"/>
        <v>2026-w20</v>
      </c>
      <c r="H143" s="1"/>
    </row>
    <row r="144" spans="1:8">
      <c r="A144">
        <v>1143</v>
      </c>
      <c r="B144" s="1">
        <v>46146</v>
      </c>
      <c r="C144" t="s">
        <v>145</v>
      </c>
      <c r="D144" t="s">
        <v>78</v>
      </c>
      <c r="E144" t="s">
        <v>139</v>
      </c>
      <c r="F144" s="2" t="str">
        <f t="shared" si="4"/>
        <v>2026-05</v>
      </c>
      <c r="G144" s="2" t="str">
        <f t="shared" si="5"/>
        <v>2026-w19</v>
      </c>
      <c r="H144" s="1"/>
    </row>
    <row r="145" spans="1:8">
      <c r="A145">
        <v>1144</v>
      </c>
      <c r="B145" s="1">
        <v>46025</v>
      </c>
      <c r="C145" t="s">
        <v>146</v>
      </c>
      <c r="D145" t="s">
        <v>72</v>
      </c>
      <c r="E145" t="s">
        <v>139</v>
      </c>
      <c r="F145" s="2" t="str">
        <f t="shared" si="4"/>
        <v>2026-01</v>
      </c>
      <c r="G145" s="2" t="str">
        <f t="shared" si="5"/>
        <v>2026-w01</v>
      </c>
      <c r="H145" s="1"/>
    </row>
    <row r="146" spans="1:8">
      <c r="A146">
        <v>1145</v>
      </c>
      <c r="B146" s="1">
        <v>46152</v>
      </c>
      <c r="C146" t="s">
        <v>146</v>
      </c>
      <c r="D146" t="s">
        <v>72</v>
      </c>
      <c r="E146" t="s">
        <v>141</v>
      </c>
      <c r="F146" s="2" t="str">
        <f t="shared" si="4"/>
        <v>2026-05</v>
      </c>
      <c r="G146" s="2" t="str">
        <f t="shared" si="5"/>
        <v>2026-w20</v>
      </c>
      <c r="H146" s="1"/>
    </row>
    <row r="147" spans="1:8">
      <c r="A147">
        <v>1146</v>
      </c>
      <c r="B147" s="1">
        <v>46086</v>
      </c>
      <c r="C147" t="s">
        <v>142</v>
      </c>
      <c r="D147" t="s">
        <v>74</v>
      </c>
      <c r="E147" t="s">
        <v>139</v>
      </c>
      <c r="F147" s="2" t="str">
        <f t="shared" si="4"/>
        <v>2026-03</v>
      </c>
      <c r="G147" s="2" t="str">
        <f t="shared" si="5"/>
        <v>2026-w10</v>
      </c>
      <c r="H147" s="1"/>
    </row>
    <row r="148" spans="1:8">
      <c r="A148">
        <v>1147</v>
      </c>
      <c r="B148" s="1">
        <v>46036</v>
      </c>
      <c r="C148" t="s">
        <v>138</v>
      </c>
      <c r="D148" t="s">
        <v>74</v>
      </c>
      <c r="E148" t="s">
        <v>139</v>
      </c>
      <c r="F148" s="2" t="str">
        <f t="shared" si="4"/>
        <v>2026-01</v>
      </c>
      <c r="G148" s="2" t="str">
        <f t="shared" si="5"/>
        <v>2026-w03</v>
      </c>
      <c r="H148" s="1"/>
    </row>
    <row r="149" spans="1:8">
      <c r="A149">
        <v>1148</v>
      </c>
      <c r="B149" s="1">
        <v>46034</v>
      </c>
      <c r="C149" t="s">
        <v>140</v>
      </c>
      <c r="D149" t="s">
        <v>72</v>
      </c>
      <c r="E149" t="s">
        <v>144</v>
      </c>
      <c r="F149" s="2" t="str">
        <f t="shared" si="4"/>
        <v>2026-01</v>
      </c>
      <c r="G149" s="2" t="str">
        <f t="shared" si="5"/>
        <v>2026-w03</v>
      </c>
      <c r="H149" s="1"/>
    </row>
    <row r="150" spans="1:8">
      <c r="A150">
        <v>1149</v>
      </c>
      <c r="B150" s="1">
        <v>46120</v>
      </c>
      <c r="C150" t="s">
        <v>140</v>
      </c>
      <c r="D150" t="s">
        <v>72</v>
      </c>
      <c r="E150" t="s">
        <v>141</v>
      </c>
      <c r="F150" s="2" t="str">
        <f t="shared" si="4"/>
        <v>2026-04</v>
      </c>
      <c r="G150" s="2" t="str">
        <f t="shared" si="5"/>
        <v>2026-w15</v>
      </c>
      <c r="H150" s="1"/>
    </row>
    <row r="151" spans="1:8">
      <c r="A151">
        <v>1150</v>
      </c>
      <c r="B151" s="1">
        <v>46088</v>
      </c>
      <c r="C151" t="s">
        <v>140</v>
      </c>
      <c r="D151" t="s">
        <v>74</v>
      </c>
      <c r="E151" t="s">
        <v>143</v>
      </c>
      <c r="F151" s="2" t="str">
        <f t="shared" si="4"/>
        <v>2026-03</v>
      </c>
      <c r="G151" s="2" t="str">
        <f t="shared" si="5"/>
        <v>2026-w10</v>
      </c>
      <c r="H151" s="1"/>
    </row>
    <row r="152" spans="1:8">
      <c r="A152">
        <v>1151</v>
      </c>
      <c r="B152" s="1">
        <v>46074</v>
      </c>
      <c r="C152" t="s">
        <v>145</v>
      </c>
      <c r="D152" t="s">
        <v>76</v>
      </c>
      <c r="E152" t="s">
        <v>139</v>
      </c>
      <c r="F152" s="2" t="str">
        <f t="shared" si="4"/>
        <v>2026-02</v>
      </c>
      <c r="G152" s="2" t="str">
        <f t="shared" si="5"/>
        <v>2026-w08</v>
      </c>
      <c r="H152" s="1"/>
    </row>
    <row r="153" spans="1:8">
      <c r="A153">
        <v>1152</v>
      </c>
      <c r="B153" s="1">
        <v>46136</v>
      </c>
      <c r="C153" t="s">
        <v>145</v>
      </c>
      <c r="D153" t="s">
        <v>72</v>
      </c>
      <c r="E153" t="s">
        <v>139</v>
      </c>
      <c r="F153" s="2" t="str">
        <f t="shared" si="4"/>
        <v>2026-04</v>
      </c>
      <c r="G153" s="2" t="str">
        <f t="shared" si="5"/>
        <v>2026-w17</v>
      </c>
      <c r="H153" s="1"/>
    </row>
    <row r="154" spans="1:8">
      <c r="A154">
        <v>1153</v>
      </c>
      <c r="B154" s="1">
        <v>46122</v>
      </c>
      <c r="C154" t="s">
        <v>138</v>
      </c>
      <c r="D154" t="s">
        <v>78</v>
      </c>
      <c r="E154" t="s">
        <v>143</v>
      </c>
      <c r="F154" s="2" t="str">
        <f t="shared" si="4"/>
        <v>2026-04</v>
      </c>
      <c r="G154" s="2" t="str">
        <f t="shared" si="5"/>
        <v>2026-w15</v>
      </c>
      <c r="H154" s="1"/>
    </row>
    <row r="155" spans="1:8">
      <c r="A155">
        <v>1154</v>
      </c>
      <c r="B155" s="1">
        <v>46140</v>
      </c>
      <c r="C155" t="s">
        <v>146</v>
      </c>
      <c r="D155" t="s">
        <v>78</v>
      </c>
      <c r="E155" t="s">
        <v>139</v>
      </c>
      <c r="F155" s="2" t="str">
        <f t="shared" si="4"/>
        <v>2026-04</v>
      </c>
      <c r="G155" s="2" t="str">
        <f t="shared" si="5"/>
        <v>2026-w18</v>
      </c>
      <c r="H155" s="1"/>
    </row>
    <row r="156" spans="1:8">
      <c r="A156">
        <v>1155</v>
      </c>
      <c r="B156" s="1">
        <v>46122</v>
      </c>
      <c r="C156" t="s">
        <v>140</v>
      </c>
      <c r="D156" t="s">
        <v>72</v>
      </c>
      <c r="E156" t="s">
        <v>141</v>
      </c>
      <c r="F156" s="2" t="str">
        <f t="shared" si="4"/>
        <v>2026-04</v>
      </c>
      <c r="G156" s="2" t="str">
        <f t="shared" si="5"/>
        <v>2026-w15</v>
      </c>
      <c r="H156" s="1"/>
    </row>
    <row r="157" spans="1:8">
      <c r="A157">
        <v>1156</v>
      </c>
      <c r="B157" s="1">
        <v>46151</v>
      </c>
      <c r="C157" t="s">
        <v>140</v>
      </c>
      <c r="D157" t="s">
        <v>72</v>
      </c>
      <c r="E157" t="s">
        <v>141</v>
      </c>
      <c r="F157" s="2" t="str">
        <f t="shared" si="4"/>
        <v>2026-05</v>
      </c>
      <c r="G157" s="2" t="str">
        <f t="shared" si="5"/>
        <v>2026-w19</v>
      </c>
      <c r="H157" s="1"/>
    </row>
    <row r="158" spans="1:8">
      <c r="A158">
        <v>1157</v>
      </c>
      <c r="B158" s="1">
        <v>46046</v>
      </c>
      <c r="C158" t="s">
        <v>146</v>
      </c>
      <c r="D158" t="s">
        <v>72</v>
      </c>
      <c r="E158" t="s">
        <v>141</v>
      </c>
      <c r="F158" s="2" t="str">
        <f t="shared" si="4"/>
        <v>2026-01</v>
      </c>
      <c r="G158" s="2" t="str">
        <f t="shared" si="5"/>
        <v>2026-w04</v>
      </c>
      <c r="H158" s="1"/>
    </row>
    <row r="159" spans="1:8">
      <c r="A159">
        <v>1158</v>
      </c>
      <c r="B159" s="1">
        <v>46053</v>
      </c>
      <c r="C159" t="s">
        <v>140</v>
      </c>
      <c r="D159" t="s">
        <v>72</v>
      </c>
      <c r="E159" t="s">
        <v>139</v>
      </c>
      <c r="F159" s="2" t="str">
        <f t="shared" si="4"/>
        <v>2026-01</v>
      </c>
      <c r="G159" s="2" t="str">
        <f t="shared" si="5"/>
        <v>2026-w05</v>
      </c>
      <c r="H159" s="1"/>
    </row>
    <row r="160" spans="1:8">
      <c r="A160">
        <v>1159</v>
      </c>
      <c r="B160" s="1">
        <v>46076</v>
      </c>
      <c r="C160" t="s">
        <v>138</v>
      </c>
      <c r="D160" t="s">
        <v>72</v>
      </c>
      <c r="E160" t="s">
        <v>141</v>
      </c>
      <c r="F160" s="2" t="str">
        <f t="shared" si="4"/>
        <v>2026-02</v>
      </c>
      <c r="G160" s="2" t="str">
        <f t="shared" si="5"/>
        <v>2026-w09</v>
      </c>
      <c r="H160" s="1"/>
    </row>
    <row r="161" spans="1:8">
      <c r="A161">
        <v>1160</v>
      </c>
      <c r="B161" s="1">
        <v>46068</v>
      </c>
      <c r="C161" t="s">
        <v>142</v>
      </c>
      <c r="D161" t="s">
        <v>72</v>
      </c>
      <c r="E161" t="s">
        <v>139</v>
      </c>
      <c r="F161" s="2" t="str">
        <f t="shared" si="4"/>
        <v>2026-02</v>
      </c>
      <c r="G161" s="2" t="str">
        <f t="shared" si="5"/>
        <v>2026-w08</v>
      </c>
      <c r="H161" s="1"/>
    </row>
    <row r="162" spans="1:8">
      <c r="A162">
        <v>1161</v>
      </c>
      <c r="B162" s="1">
        <v>46128</v>
      </c>
      <c r="C162" t="s">
        <v>145</v>
      </c>
      <c r="D162" t="s">
        <v>72</v>
      </c>
      <c r="E162" t="s">
        <v>141</v>
      </c>
      <c r="F162" s="2" t="str">
        <f t="shared" si="4"/>
        <v>2026-04</v>
      </c>
      <c r="G162" s="2" t="str">
        <f t="shared" si="5"/>
        <v>2026-w16</v>
      </c>
      <c r="H162" s="1"/>
    </row>
    <row r="163" spans="1:8">
      <c r="A163">
        <v>1162</v>
      </c>
      <c r="B163" s="1">
        <v>46150</v>
      </c>
      <c r="C163" t="s">
        <v>140</v>
      </c>
      <c r="D163" t="s">
        <v>72</v>
      </c>
      <c r="E163" t="s">
        <v>143</v>
      </c>
      <c r="F163" s="2" t="str">
        <f t="shared" si="4"/>
        <v>2026-05</v>
      </c>
      <c r="G163" s="2" t="str">
        <f t="shared" si="5"/>
        <v>2026-w19</v>
      </c>
      <c r="H163" s="1"/>
    </row>
    <row r="164" spans="1:8">
      <c r="A164">
        <v>1163</v>
      </c>
      <c r="B164" s="1">
        <v>46074</v>
      </c>
      <c r="C164" t="s">
        <v>142</v>
      </c>
      <c r="D164" t="s">
        <v>76</v>
      </c>
      <c r="E164" t="s">
        <v>139</v>
      </c>
      <c r="F164" s="2" t="str">
        <f t="shared" si="4"/>
        <v>2026-02</v>
      </c>
      <c r="G164" s="2" t="str">
        <f t="shared" si="5"/>
        <v>2026-w08</v>
      </c>
      <c r="H164" s="1"/>
    </row>
    <row r="165" spans="1:8">
      <c r="A165">
        <v>1164</v>
      </c>
      <c r="B165" s="1">
        <v>46072</v>
      </c>
      <c r="C165" t="s">
        <v>145</v>
      </c>
      <c r="D165" t="s">
        <v>76</v>
      </c>
      <c r="E165" t="s">
        <v>144</v>
      </c>
      <c r="F165" s="2" t="str">
        <f t="shared" si="4"/>
        <v>2026-02</v>
      </c>
      <c r="G165" s="2" t="str">
        <f t="shared" si="5"/>
        <v>2026-w08</v>
      </c>
      <c r="H165" s="1"/>
    </row>
    <row r="166" spans="1:8">
      <c r="A166">
        <v>1165</v>
      </c>
      <c r="B166" s="1">
        <v>46027</v>
      </c>
      <c r="C166" t="s">
        <v>145</v>
      </c>
      <c r="D166" t="s">
        <v>74</v>
      </c>
      <c r="E166" t="s">
        <v>139</v>
      </c>
      <c r="F166" s="2" t="str">
        <f t="shared" si="4"/>
        <v>2026-01</v>
      </c>
      <c r="G166" s="2" t="str">
        <f t="shared" si="5"/>
        <v>2026-w02</v>
      </c>
      <c r="H166" s="1"/>
    </row>
    <row r="167" spans="1:8">
      <c r="A167">
        <v>1166</v>
      </c>
      <c r="B167" s="1">
        <v>46118</v>
      </c>
      <c r="C167" t="s">
        <v>138</v>
      </c>
      <c r="D167" t="s">
        <v>76</v>
      </c>
      <c r="E167" t="s">
        <v>143</v>
      </c>
      <c r="F167" s="2" t="str">
        <f t="shared" si="4"/>
        <v>2026-04</v>
      </c>
      <c r="G167" s="2" t="str">
        <f t="shared" si="5"/>
        <v>2026-w15</v>
      </c>
      <c r="H167" s="1"/>
    </row>
    <row r="168" spans="1:8">
      <c r="A168">
        <v>1167</v>
      </c>
      <c r="B168" s="1">
        <v>46032</v>
      </c>
      <c r="C168" t="s">
        <v>145</v>
      </c>
      <c r="D168" t="s">
        <v>78</v>
      </c>
      <c r="E168" t="s">
        <v>143</v>
      </c>
      <c r="F168" s="2" t="str">
        <f t="shared" si="4"/>
        <v>2026-01</v>
      </c>
      <c r="G168" s="2" t="str">
        <f t="shared" si="5"/>
        <v>2026-w02</v>
      </c>
      <c r="H168" s="1"/>
    </row>
    <row r="169" spans="1:8">
      <c r="A169">
        <v>1168</v>
      </c>
      <c r="B169" s="1">
        <v>46102</v>
      </c>
      <c r="C169" t="s">
        <v>142</v>
      </c>
      <c r="D169" t="s">
        <v>72</v>
      </c>
      <c r="E169" t="s">
        <v>139</v>
      </c>
      <c r="F169" s="2" t="str">
        <f t="shared" si="4"/>
        <v>2026-03</v>
      </c>
      <c r="G169" s="2" t="str">
        <f t="shared" si="5"/>
        <v>2026-w12</v>
      </c>
      <c r="H169" s="1"/>
    </row>
    <row r="170" spans="1:8">
      <c r="A170">
        <v>1169</v>
      </c>
      <c r="B170" s="1">
        <v>46112</v>
      </c>
      <c r="C170" t="s">
        <v>142</v>
      </c>
      <c r="D170" t="s">
        <v>76</v>
      </c>
      <c r="E170" t="s">
        <v>141</v>
      </c>
      <c r="F170" s="2" t="str">
        <f t="shared" si="4"/>
        <v>2026-03</v>
      </c>
      <c r="G170" s="2" t="str">
        <f t="shared" si="5"/>
        <v>2026-w14</v>
      </c>
      <c r="H170" s="1"/>
    </row>
    <row r="171" spans="1:8">
      <c r="A171">
        <v>1170</v>
      </c>
      <c r="B171" s="1">
        <v>46137</v>
      </c>
      <c r="C171" t="s">
        <v>142</v>
      </c>
      <c r="D171" t="s">
        <v>76</v>
      </c>
      <c r="E171" t="s">
        <v>141</v>
      </c>
      <c r="F171" s="2" t="str">
        <f t="shared" si="4"/>
        <v>2026-04</v>
      </c>
      <c r="G171" s="2" t="str">
        <f t="shared" si="5"/>
        <v>2026-w17</v>
      </c>
      <c r="H171" s="1"/>
    </row>
    <row r="172" spans="1:8">
      <c r="A172">
        <v>1171</v>
      </c>
      <c r="B172" s="1">
        <v>46069</v>
      </c>
      <c r="C172" t="s">
        <v>142</v>
      </c>
      <c r="D172" t="s">
        <v>72</v>
      </c>
      <c r="E172" t="s">
        <v>139</v>
      </c>
      <c r="F172" s="2" t="str">
        <f t="shared" si="4"/>
        <v>2026-02</v>
      </c>
      <c r="G172" s="2" t="str">
        <f t="shared" si="5"/>
        <v>2026-w08</v>
      </c>
      <c r="H172" s="1"/>
    </row>
    <row r="173" spans="1:8">
      <c r="A173">
        <v>1172</v>
      </c>
      <c r="B173" s="1">
        <v>46141</v>
      </c>
      <c r="C173" t="s">
        <v>146</v>
      </c>
      <c r="D173" t="s">
        <v>74</v>
      </c>
      <c r="E173" t="s">
        <v>143</v>
      </c>
      <c r="F173" s="2" t="str">
        <f t="shared" si="4"/>
        <v>2026-04</v>
      </c>
      <c r="G173" s="2" t="str">
        <f t="shared" si="5"/>
        <v>2026-w18</v>
      </c>
      <c r="H173" s="1"/>
    </row>
    <row r="174" spans="1:8">
      <c r="A174">
        <v>1173</v>
      </c>
      <c r="B174" s="1">
        <v>46147</v>
      </c>
      <c r="C174" t="s">
        <v>140</v>
      </c>
      <c r="D174" t="s">
        <v>74</v>
      </c>
      <c r="E174" t="s">
        <v>141</v>
      </c>
      <c r="F174" s="2" t="str">
        <f t="shared" si="4"/>
        <v>2026-05</v>
      </c>
      <c r="G174" s="2" t="str">
        <f t="shared" si="5"/>
        <v>2026-w19</v>
      </c>
      <c r="H174" s="1"/>
    </row>
    <row r="175" spans="1:8">
      <c r="A175">
        <v>1174</v>
      </c>
      <c r="B175" s="1">
        <v>46075</v>
      </c>
      <c r="C175" t="s">
        <v>142</v>
      </c>
      <c r="D175" t="s">
        <v>76</v>
      </c>
      <c r="E175" t="s">
        <v>139</v>
      </c>
      <c r="F175" s="2" t="str">
        <f t="shared" si="4"/>
        <v>2026-02</v>
      </c>
      <c r="G175" s="2" t="str">
        <f t="shared" si="5"/>
        <v>2026-w09</v>
      </c>
      <c r="H175" s="1"/>
    </row>
    <row r="176" spans="1:8">
      <c r="A176">
        <v>1175</v>
      </c>
      <c r="B176" s="1">
        <v>46133</v>
      </c>
      <c r="C176" t="s">
        <v>146</v>
      </c>
      <c r="D176" t="s">
        <v>74</v>
      </c>
      <c r="E176" t="s">
        <v>139</v>
      </c>
      <c r="F176" s="2" t="str">
        <f t="shared" si="4"/>
        <v>2026-04</v>
      </c>
      <c r="G176" s="2" t="str">
        <f t="shared" si="5"/>
        <v>2026-w17</v>
      </c>
      <c r="H176" s="1"/>
    </row>
    <row r="177" spans="1:8">
      <c r="A177">
        <v>1176</v>
      </c>
      <c r="B177" s="1">
        <v>46044</v>
      </c>
      <c r="C177" t="s">
        <v>146</v>
      </c>
      <c r="D177" t="s">
        <v>72</v>
      </c>
      <c r="E177" t="s">
        <v>139</v>
      </c>
      <c r="F177" s="2" t="str">
        <f t="shared" si="4"/>
        <v>2026-01</v>
      </c>
      <c r="G177" s="2" t="str">
        <f t="shared" si="5"/>
        <v>2026-w04</v>
      </c>
      <c r="H177" s="1"/>
    </row>
    <row r="178" spans="1:8">
      <c r="A178">
        <v>1177</v>
      </c>
      <c r="B178" s="1">
        <v>46059</v>
      </c>
      <c r="C178" t="s">
        <v>140</v>
      </c>
      <c r="D178" t="s">
        <v>72</v>
      </c>
      <c r="E178" t="s">
        <v>139</v>
      </c>
      <c r="F178" s="2" t="str">
        <f t="shared" si="4"/>
        <v>2026-02</v>
      </c>
      <c r="G178" s="2" t="str">
        <f t="shared" si="5"/>
        <v>2026-w06</v>
      </c>
      <c r="H178" s="1"/>
    </row>
    <row r="179" spans="1:8">
      <c r="A179">
        <v>1178</v>
      </c>
      <c r="B179" s="1">
        <v>46113</v>
      </c>
      <c r="C179" t="s">
        <v>138</v>
      </c>
      <c r="D179" t="s">
        <v>76</v>
      </c>
      <c r="E179" t="s">
        <v>144</v>
      </c>
      <c r="F179" s="2" t="str">
        <f t="shared" si="4"/>
        <v>2026-04</v>
      </c>
      <c r="G179" s="2" t="str">
        <f t="shared" si="5"/>
        <v>2026-w14</v>
      </c>
      <c r="H179" s="1"/>
    </row>
    <row r="180" spans="1:8">
      <c r="A180">
        <v>1179</v>
      </c>
      <c r="B180" s="1">
        <v>46036</v>
      </c>
      <c r="C180" t="s">
        <v>145</v>
      </c>
      <c r="D180" t="s">
        <v>76</v>
      </c>
      <c r="E180" t="s">
        <v>139</v>
      </c>
      <c r="F180" s="2" t="str">
        <f t="shared" si="4"/>
        <v>2026-01</v>
      </c>
      <c r="G180" s="2" t="str">
        <f t="shared" si="5"/>
        <v>2026-w03</v>
      </c>
      <c r="H180" s="1"/>
    </row>
    <row r="181" spans="1:8">
      <c r="A181">
        <v>1180</v>
      </c>
      <c r="B181" s="1">
        <v>46067</v>
      </c>
      <c r="C181" t="s">
        <v>138</v>
      </c>
      <c r="D181" t="s">
        <v>72</v>
      </c>
      <c r="E181" t="s">
        <v>141</v>
      </c>
      <c r="F181" s="2" t="str">
        <f t="shared" si="4"/>
        <v>2026-02</v>
      </c>
      <c r="G181" s="2" t="str">
        <f t="shared" si="5"/>
        <v>2026-w07</v>
      </c>
      <c r="H181" s="1"/>
    </row>
    <row r="182" spans="1:8">
      <c r="A182">
        <v>1181</v>
      </c>
      <c r="B182" s="1">
        <v>46052</v>
      </c>
      <c r="C182" t="s">
        <v>146</v>
      </c>
      <c r="D182" t="s">
        <v>72</v>
      </c>
      <c r="E182" t="s">
        <v>141</v>
      </c>
      <c r="F182" s="2" t="str">
        <f t="shared" si="4"/>
        <v>2026-01</v>
      </c>
      <c r="G182" s="2" t="str">
        <f t="shared" si="5"/>
        <v>2026-w05</v>
      </c>
      <c r="H182" s="1"/>
    </row>
    <row r="183" spans="1:8">
      <c r="A183">
        <v>1182</v>
      </c>
      <c r="B183" s="1">
        <v>46092</v>
      </c>
      <c r="C183" t="s">
        <v>142</v>
      </c>
      <c r="D183" t="s">
        <v>74</v>
      </c>
      <c r="E183" t="s">
        <v>144</v>
      </c>
      <c r="F183" s="2" t="str">
        <f t="shared" si="4"/>
        <v>2026-03</v>
      </c>
      <c r="G183" s="2" t="str">
        <f t="shared" si="5"/>
        <v>2026-w11</v>
      </c>
      <c r="H183" s="1"/>
    </row>
    <row r="184" spans="1:8">
      <c r="A184">
        <v>1183</v>
      </c>
      <c r="B184" s="1">
        <v>46112</v>
      </c>
      <c r="C184" t="s">
        <v>142</v>
      </c>
      <c r="D184" t="s">
        <v>72</v>
      </c>
      <c r="E184" t="s">
        <v>139</v>
      </c>
      <c r="F184" s="2" t="str">
        <f t="shared" si="4"/>
        <v>2026-03</v>
      </c>
      <c r="G184" s="2" t="str">
        <f t="shared" si="5"/>
        <v>2026-w14</v>
      </c>
      <c r="H184" s="1"/>
    </row>
    <row r="185" spans="1:8">
      <c r="A185">
        <v>1184</v>
      </c>
      <c r="B185" s="1">
        <v>46098</v>
      </c>
      <c r="C185" t="s">
        <v>140</v>
      </c>
      <c r="D185" t="s">
        <v>72</v>
      </c>
      <c r="E185" t="s">
        <v>143</v>
      </c>
      <c r="F185" s="2" t="str">
        <f t="shared" si="4"/>
        <v>2026-03</v>
      </c>
      <c r="G185" s="2" t="str">
        <f t="shared" si="5"/>
        <v>2026-w12</v>
      </c>
      <c r="H185" s="1"/>
    </row>
    <row r="186" spans="1:8">
      <c r="A186">
        <v>1185</v>
      </c>
      <c r="B186" s="1">
        <v>46133</v>
      </c>
      <c r="C186" t="s">
        <v>145</v>
      </c>
      <c r="D186" t="s">
        <v>74</v>
      </c>
      <c r="E186" t="s">
        <v>139</v>
      </c>
      <c r="F186" s="2" t="str">
        <f t="shared" si="4"/>
        <v>2026-04</v>
      </c>
      <c r="G186" s="2" t="str">
        <f t="shared" si="5"/>
        <v>2026-w17</v>
      </c>
      <c r="H186" s="1"/>
    </row>
    <row r="187" spans="1:8">
      <c r="A187">
        <v>1186</v>
      </c>
      <c r="B187" s="1">
        <v>46122</v>
      </c>
      <c r="C187" t="s">
        <v>145</v>
      </c>
      <c r="D187" t="s">
        <v>72</v>
      </c>
      <c r="E187" t="s">
        <v>144</v>
      </c>
      <c r="F187" s="2" t="str">
        <f t="shared" si="4"/>
        <v>2026-04</v>
      </c>
      <c r="G187" s="2" t="str">
        <f t="shared" si="5"/>
        <v>2026-w15</v>
      </c>
      <c r="H187" s="1"/>
    </row>
    <row r="188" spans="1:8">
      <c r="A188">
        <v>1187</v>
      </c>
      <c r="B188" s="1">
        <v>46110</v>
      </c>
      <c r="C188" t="s">
        <v>142</v>
      </c>
      <c r="D188" t="s">
        <v>78</v>
      </c>
      <c r="E188" t="s">
        <v>141</v>
      </c>
      <c r="F188" s="2" t="str">
        <f t="shared" si="4"/>
        <v>2026-03</v>
      </c>
      <c r="G188" s="2" t="str">
        <f t="shared" si="5"/>
        <v>2026-w14</v>
      </c>
      <c r="H188" s="1"/>
    </row>
    <row r="189" spans="1:8">
      <c r="A189">
        <v>1188</v>
      </c>
      <c r="B189" s="1">
        <v>46084</v>
      </c>
      <c r="C189" t="s">
        <v>140</v>
      </c>
      <c r="D189" t="s">
        <v>78</v>
      </c>
      <c r="E189" t="s">
        <v>143</v>
      </c>
      <c r="F189" s="2" t="str">
        <f t="shared" si="4"/>
        <v>2026-03</v>
      </c>
      <c r="G189" s="2" t="str">
        <f t="shared" si="5"/>
        <v>2026-w10</v>
      </c>
      <c r="H189" s="1"/>
    </row>
    <row r="190" spans="1:8">
      <c r="A190">
        <v>1189</v>
      </c>
      <c r="B190" s="1">
        <v>46148</v>
      </c>
      <c r="C190" t="s">
        <v>146</v>
      </c>
      <c r="D190" t="s">
        <v>74</v>
      </c>
      <c r="E190" t="s">
        <v>139</v>
      </c>
      <c r="F190" s="2" t="str">
        <f t="shared" si="4"/>
        <v>2026-05</v>
      </c>
      <c r="G190" s="2" t="str">
        <f t="shared" si="5"/>
        <v>2026-w19</v>
      </c>
      <c r="H190" s="1"/>
    </row>
    <row r="191" spans="1:8">
      <c r="A191">
        <v>1190</v>
      </c>
      <c r="B191" s="1">
        <v>46150</v>
      </c>
      <c r="C191" t="s">
        <v>138</v>
      </c>
      <c r="D191" t="s">
        <v>74</v>
      </c>
      <c r="E191" t="s">
        <v>141</v>
      </c>
      <c r="F191" s="2" t="str">
        <f t="shared" si="4"/>
        <v>2026-05</v>
      </c>
      <c r="G191" s="2" t="str">
        <f t="shared" si="5"/>
        <v>2026-w19</v>
      </c>
      <c r="H191" s="1"/>
    </row>
    <row r="192" spans="1:8">
      <c r="A192">
        <v>1191</v>
      </c>
      <c r="B192" s="1">
        <v>46067</v>
      </c>
      <c r="C192" t="s">
        <v>140</v>
      </c>
      <c r="D192" t="s">
        <v>74</v>
      </c>
      <c r="E192" t="s">
        <v>144</v>
      </c>
      <c r="F192" s="2" t="str">
        <f t="shared" si="4"/>
        <v>2026-02</v>
      </c>
      <c r="G192" s="2" t="str">
        <f t="shared" si="5"/>
        <v>2026-w07</v>
      </c>
      <c r="H192" s="1"/>
    </row>
    <row r="193" spans="1:8">
      <c r="A193">
        <v>1192</v>
      </c>
      <c r="B193" s="1">
        <v>46027</v>
      </c>
      <c r="C193" t="s">
        <v>140</v>
      </c>
      <c r="D193" t="s">
        <v>74</v>
      </c>
      <c r="E193" t="s">
        <v>143</v>
      </c>
      <c r="F193" s="2" t="str">
        <f t="shared" si="4"/>
        <v>2026-01</v>
      </c>
      <c r="G193" s="2" t="str">
        <f t="shared" si="5"/>
        <v>2026-w02</v>
      </c>
      <c r="H193" s="1"/>
    </row>
    <row r="194" spans="1:8">
      <c r="A194">
        <v>1193</v>
      </c>
      <c r="B194" s="1">
        <v>46138</v>
      </c>
      <c r="C194" t="s">
        <v>138</v>
      </c>
      <c r="D194" t="s">
        <v>72</v>
      </c>
      <c r="E194" t="s">
        <v>143</v>
      </c>
      <c r="F194" s="2" t="str">
        <f t="shared" si="4"/>
        <v>2026-04</v>
      </c>
      <c r="G194" s="2" t="str">
        <f t="shared" si="5"/>
        <v>2026-w18</v>
      </c>
      <c r="H194" s="1"/>
    </row>
    <row r="195" spans="1:8">
      <c r="A195">
        <v>1194</v>
      </c>
      <c r="B195" s="1">
        <v>46047</v>
      </c>
      <c r="C195" t="s">
        <v>140</v>
      </c>
      <c r="D195" t="s">
        <v>76</v>
      </c>
      <c r="E195" t="s">
        <v>141</v>
      </c>
      <c r="F195" s="2" t="str">
        <f t="shared" ref="F195:F258" si="6">TEXT(B195,"yyyy-mm")</f>
        <v>2026-01</v>
      </c>
      <c r="G195" s="2" t="str">
        <f t="shared" ref="G195:G258" si="7">YEAR(B195)&amp;"-w"&amp;TEXT(WEEKNUM(B195),"00")</f>
        <v>2026-w05</v>
      </c>
      <c r="H195" s="1"/>
    </row>
    <row r="196" spans="1:8">
      <c r="A196">
        <v>1195</v>
      </c>
      <c r="B196" s="1">
        <v>46076</v>
      </c>
      <c r="C196" t="s">
        <v>142</v>
      </c>
      <c r="D196" t="s">
        <v>76</v>
      </c>
      <c r="E196" t="s">
        <v>143</v>
      </c>
      <c r="F196" s="2" t="str">
        <f t="shared" si="6"/>
        <v>2026-02</v>
      </c>
      <c r="G196" s="2" t="str">
        <f t="shared" si="7"/>
        <v>2026-w09</v>
      </c>
      <c r="H196" s="1"/>
    </row>
    <row r="197" spans="1:8">
      <c r="A197">
        <v>1196</v>
      </c>
      <c r="B197" s="1">
        <v>46079</v>
      </c>
      <c r="C197" t="s">
        <v>140</v>
      </c>
      <c r="D197" t="s">
        <v>78</v>
      </c>
      <c r="E197" t="s">
        <v>141</v>
      </c>
      <c r="F197" s="2" t="str">
        <f t="shared" si="6"/>
        <v>2026-02</v>
      </c>
      <c r="G197" s="2" t="str">
        <f t="shared" si="7"/>
        <v>2026-w09</v>
      </c>
      <c r="H197" s="1"/>
    </row>
    <row r="198" spans="1:8">
      <c r="A198">
        <v>1197</v>
      </c>
      <c r="B198" s="1">
        <v>46098</v>
      </c>
      <c r="C198" t="s">
        <v>145</v>
      </c>
      <c r="D198" t="s">
        <v>72</v>
      </c>
      <c r="E198" t="s">
        <v>141</v>
      </c>
      <c r="F198" s="2" t="str">
        <f t="shared" si="6"/>
        <v>2026-03</v>
      </c>
      <c r="G198" s="2" t="str">
        <f t="shared" si="7"/>
        <v>2026-w12</v>
      </c>
      <c r="H198" s="1"/>
    </row>
    <row r="199" spans="1:8">
      <c r="A199">
        <v>1198</v>
      </c>
      <c r="B199" s="1">
        <v>46079</v>
      </c>
      <c r="C199" t="s">
        <v>140</v>
      </c>
      <c r="D199" t="s">
        <v>72</v>
      </c>
      <c r="E199" t="s">
        <v>141</v>
      </c>
      <c r="F199" s="2" t="str">
        <f t="shared" si="6"/>
        <v>2026-02</v>
      </c>
      <c r="G199" s="2" t="str">
        <f t="shared" si="7"/>
        <v>2026-w09</v>
      </c>
      <c r="H199" s="1"/>
    </row>
    <row r="200" spans="1:8">
      <c r="A200">
        <v>1199</v>
      </c>
      <c r="B200" s="1">
        <v>46149</v>
      </c>
      <c r="C200" t="s">
        <v>140</v>
      </c>
      <c r="D200" t="s">
        <v>74</v>
      </c>
      <c r="E200" t="s">
        <v>139</v>
      </c>
      <c r="F200" s="2" t="str">
        <f t="shared" si="6"/>
        <v>2026-05</v>
      </c>
      <c r="G200" s="2" t="str">
        <f t="shared" si="7"/>
        <v>2026-w19</v>
      </c>
      <c r="H200" s="1"/>
    </row>
    <row r="201" spans="1:8">
      <c r="A201">
        <v>1200</v>
      </c>
      <c r="B201" s="1">
        <v>46029</v>
      </c>
      <c r="C201" t="s">
        <v>138</v>
      </c>
      <c r="D201" t="s">
        <v>78</v>
      </c>
      <c r="E201" t="s">
        <v>143</v>
      </c>
      <c r="F201" s="2" t="str">
        <f t="shared" si="6"/>
        <v>2026-01</v>
      </c>
      <c r="G201" s="2" t="str">
        <f t="shared" si="7"/>
        <v>2026-w02</v>
      </c>
      <c r="H201" s="1"/>
    </row>
    <row r="202" spans="1:8">
      <c r="A202">
        <v>1201</v>
      </c>
      <c r="B202" s="1">
        <v>46121</v>
      </c>
      <c r="C202" t="s">
        <v>140</v>
      </c>
      <c r="D202" t="s">
        <v>78</v>
      </c>
      <c r="E202" t="s">
        <v>144</v>
      </c>
      <c r="F202" s="2" t="str">
        <f t="shared" si="6"/>
        <v>2026-04</v>
      </c>
      <c r="G202" s="2" t="str">
        <f t="shared" si="7"/>
        <v>2026-w15</v>
      </c>
      <c r="H202" s="1"/>
    </row>
    <row r="203" spans="1:8">
      <c r="A203">
        <v>1202</v>
      </c>
      <c r="B203" s="1">
        <v>46075</v>
      </c>
      <c r="C203" t="s">
        <v>138</v>
      </c>
      <c r="D203" t="s">
        <v>76</v>
      </c>
      <c r="E203" t="s">
        <v>139</v>
      </c>
      <c r="F203" s="2" t="str">
        <f t="shared" si="6"/>
        <v>2026-02</v>
      </c>
      <c r="G203" s="2" t="str">
        <f t="shared" si="7"/>
        <v>2026-w09</v>
      </c>
      <c r="H203" s="1"/>
    </row>
    <row r="204" spans="1:8">
      <c r="A204">
        <v>1203</v>
      </c>
      <c r="B204" s="1">
        <v>46111</v>
      </c>
      <c r="C204" t="s">
        <v>140</v>
      </c>
      <c r="D204" t="s">
        <v>78</v>
      </c>
      <c r="E204" t="s">
        <v>143</v>
      </c>
      <c r="F204" s="2" t="str">
        <f t="shared" si="6"/>
        <v>2026-03</v>
      </c>
      <c r="G204" s="2" t="str">
        <f t="shared" si="7"/>
        <v>2026-w14</v>
      </c>
      <c r="H204" s="1"/>
    </row>
    <row r="205" spans="1:8">
      <c r="A205">
        <v>1204</v>
      </c>
      <c r="B205" s="1">
        <v>46068</v>
      </c>
      <c r="C205" t="s">
        <v>140</v>
      </c>
      <c r="D205" t="s">
        <v>74</v>
      </c>
      <c r="E205" t="s">
        <v>144</v>
      </c>
      <c r="F205" s="2" t="str">
        <f t="shared" si="6"/>
        <v>2026-02</v>
      </c>
      <c r="G205" s="2" t="str">
        <f t="shared" si="7"/>
        <v>2026-w08</v>
      </c>
      <c r="H205" s="1"/>
    </row>
    <row r="206" spans="1:8">
      <c r="A206">
        <v>1205</v>
      </c>
      <c r="B206" s="1">
        <v>46056</v>
      </c>
      <c r="C206" t="s">
        <v>146</v>
      </c>
      <c r="D206" t="s">
        <v>76</v>
      </c>
      <c r="E206" t="s">
        <v>143</v>
      </c>
      <c r="F206" s="2" t="str">
        <f t="shared" si="6"/>
        <v>2026-02</v>
      </c>
      <c r="G206" s="2" t="str">
        <f t="shared" si="7"/>
        <v>2026-w06</v>
      </c>
      <c r="H206" s="1"/>
    </row>
    <row r="207" spans="1:8">
      <c r="A207">
        <v>1206</v>
      </c>
      <c r="B207" s="1">
        <v>46095</v>
      </c>
      <c r="C207" t="s">
        <v>140</v>
      </c>
      <c r="D207" t="s">
        <v>72</v>
      </c>
      <c r="E207" t="s">
        <v>143</v>
      </c>
      <c r="F207" s="2" t="str">
        <f t="shared" si="6"/>
        <v>2026-03</v>
      </c>
      <c r="G207" s="2" t="str">
        <f t="shared" si="7"/>
        <v>2026-w11</v>
      </c>
      <c r="H207" s="1"/>
    </row>
    <row r="208" spans="1:8">
      <c r="A208">
        <v>1207</v>
      </c>
      <c r="B208" s="1">
        <v>46111</v>
      </c>
      <c r="C208" t="s">
        <v>146</v>
      </c>
      <c r="D208" t="s">
        <v>76</v>
      </c>
      <c r="E208" t="s">
        <v>139</v>
      </c>
      <c r="F208" s="2" t="str">
        <f t="shared" si="6"/>
        <v>2026-03</v>
      </c>
      <c r="G208" s="2" t="str">
        <f t="shared" si="7"/>
        <v>2026-w14</v>
      </c>
      <c r="H208" s="1"/>
    </row>
    <row r="209" spans="1:8">
      <c r="A209">
        <v>1208</v>
      </c>
      <c r="B209" s="1">
        <v>46144</v>
      </c>
      <c r="C209" t="s">
        <v>145</v>
      </c>
      <c r="D209" t="s">
        <v>74</v>
      </c>
      <c r="E209" t="s">
        <v>144</v>
      </c>
      <c r="F209" s="2" t="str">
        <f t="shared" si="6"/>
        <v>2026-05</v>
      </c>
      <c r="G209" s="2" t="str">
        <f t="shared" si="7"/>
        <v>2026-w18</v>
      </c>
      <c r="H209" s="1"/>
    </row>
    <row r="210" spans="1:8">
      <c r="A210">
        <v>1209</v>
      </c>
      <c r="B210" s="1">
        <v>46125</v>
      </c>
      <c r="C210" t="s">
        <v>146</v>
      </c>
      <c r="D210" t="s">
        <v>72</v>
      </c>
      <c r="E210" t="s">
        <v>141</v>
      </c>
      <c r="F210" s="2" t="str">
        <f t="shared" si="6"/>
        <v>2026-04</v>
      </c>
      <c r="G210" s="2" t="str">
        <f t="shared" si="7"/>
        <v>2026-w16</v>
      </c>
      <c r="H210" s="1"/>
    </row>
    <row r="211" spans="1:8">
      <c r="A211">
        <v>1210</v>
      </c>
      <c r="B211" s="1">
        <v>46153</v>
      </c>
      <c r="C211" t="s">
        <v>142</v>
      </c>
      <c r="D211" t="s">
        <v>72</v>
      </c>
      <c r="E211" t="s">
        <v>141</v>
      </c>
      <c r="F211" s="2" t="str">
        <f t="shared" si="6"/>
        <v>2026-05</v>
      </c>
      <c r="G211" s="2" t="str">
        <f t="shared" si="7"/>
        <v>2026-w20</v>
      </c>
      <c r="H211" s="1"/>
    </row>
    <row r="212" spans="1:8">
      <c r="A212">
        <v>1211</v>
      </c>
      <c r="B212" s="1">
        <v>46108</v>
      </c>
      <c r="C212" t="s">
        <v>146</v>
      </c>
      <c r="D212" t="s">
        <v>74</v>
      </c>
      <c r="E212" t="s">
        <v>141</v>
      </c>
      <c r="F212" s="2" t="str">
        <f t="shared" si="6"/>
        <v>2026-03</v>
      </c>
      <c r="G212" s="2" t="str">
        <f t="shared" si="7"/>
        <v>2026-w13</v>
      </c>
      <c r="H212" s="1"/>
    </row>
    <row r="213" spans="1:8">
      <c r="A213">
        <v>1212</v>
      </c>
      <c r="B213" s="1">
        <v>46120</v>
      </c>
      <c r="C213" t="s">
        <v>146</v>
      </c>
      <c r="D213" t="s">
        <v>74</v>
      </c>
      <c r="E213" t="s">
        <v>144</v>
      </c>
      <c r="F213" s="2" t="str">
        <f t="shared" si="6"/>
        <v>2026-04</v>
      </c>
      <c r="G213" s="2" t="str">
        <f t="shared" si="7"/>
        <v>2026-w15</v>
      </c>
      <c r="H213" s="1"/>
    </row>
    <row r="214" spans="1:8">
      <c r="A214">
        <v>1213</v>
      </c>
      <c r="B214" s="1">
        <v>46023</v>
      </c>
      <c r="C214" t="s">
        <v>142</v>
      </c>
      <c r="D214" t="s">
        <v>76</v>
      </c>
      <c r="E214" t="s">
        <v>139</v>
      </c>
      <c r="F214" s="2" t="str">
        <f t="shared" si="6"/>
        <v>2026-01</v>
      </c>
      <c r="G214" s="2" t="str">
        <f t="shared" si="7"/>
        <v>2026-w01</v>
      </c>
      <c r="H214" s="1"/>
    </row>
    <row r="215" spans="1:8">
      <c r="A215">
        <v>1214</v>
      </c>
      <c r="B215" s="1">
        <v>46064</v>
      </c>
      <c r="C215" t="s">
        <v>138</v>
      </c>
      <c r="D215" t="s">
        <v>74</v>
      </c>
      <c r="E215" t="s">
        <v>141</v>
      </c>
      <c r="F215" s="2" t="str">
        <f t="shared" si="6"/>
        <v>2026-02</v>
      </c>
      <c r="G215" s="2" t="str">
        <f t="shared" si="7"/>
        <v>2026-w07</v>
      </c>
      <c r="H215" s="1"/>
    </row>
    <row r="216" spans="1:8">
      <c r="A216">
        <v>1215</v>
      </c>
      <c r="B216" s="1">
        <v>46100</v>
      </c>
      <c r="C216" t="s">
        <v>145</v>
      </c>
      <c r="D216" t="s">
        <v>72</v>
      </c>
      <c r="E216" t="s">
        <v>144</v>
      </c>
      <c r="F216" s="2" t="str">
        <f t="shared" si="6"/>
        <v>2026-03</v>
      </c>
      <c r="G216" s="2" t="str">
        <f t="shared" si="7"/>
        <v>2026-w12</v>
      </c>
      <c r="H216" s="1"/>
    </row>
    <row r="217" spans="1:8">
      <c r="A217">
        <v>1216</v>
      </c>
      <c r="B217" s="1">
        <v>46140</v>
      </c>
      <c r="C217" t="s">
        <v>138</v>
      </c>
      <c r="D217" t="s">
        <v>74</v>
      </c>
      <c r="E217" t="s">
        <v>141</v>
      </c>
      <c r="F217" s="2" t="str">
        <f t="shared" si="6"/>
        <v>2026-04</v>
      </c>
      <c r="G217" s="2" t="str">
        <f t="shared" si="7"/>
        <v>2026-w18</v>
      </c>
      <c r="H217" s="1"/>
    </row>
    <row r="218" spans="1:8">
      <c r="A218">
        <v>1217</v>
      </c>
      <c r="B218" s="1">
        <v>46053</v>
      </c>
      <c r="C218" t="s">
        <v>145</v>
      </c>
      <c r="D218" t="s">
        <v>72</v>
      </c>
      <c r="E218" t="s">
        <v>139</v>
      </c>
      <c r="F218" s="2" t="str">
        <f t="shared" si="6"/>
        <v>2026-01</v>
      </c>
      <c r="G218" s="2" t="str">
        <f t="shared" si="7"/>
        <v>2026-w05</v>
      </c>
      <c r="H218" s="1"/>
    </row>
    <row r="219" spans="1:8">
      <c r="A219">
        <v>1218</v>
      </c>
      <c r="B219" s="1">
        <v>46053</v>
      </c>
      <c r="C219" t="s">
        <v>140</v>
      </c>
      <c r="D219" t="s">
        <v>74</v>
      </c>
      <c r="E219" t="s">
        <v>144</v>
      </c>
      <c r="F219" s="2" t="str">
        <f t="shared" si="6"/>
        <v>2026-01</v>
      </c>
      <c r="G219" s="2" t="str">
        <f t="shared" si="7"/>
        <v>2026-w05</v>
      </c>
      <c r="H219" s="1"/>
    </row>
    <row r="220" spans="1:8">
      <c r="A220">
        <v>1219</v>
      </c>
      <c r="B220" s="1">
        <v>46112</v>
      </c>
      <c r="C220" t="s">
        <v>140</v>
      </c>
      <c r="D220" t="s">
        <v>72</v>
      </c>
      <c r="E220" t="s">
        <v>144</v>
      </c>
      <c r="F220" s="2" t="str">
        <f t="shared" si="6"/>
        <v>2026-03</v>
      </c>
      <c r="G220" s="2" t="str">
        <f t="shared" si="7"/>
        <v>2026-w14</v>
      </c>
      <c r="H220" s="1"/>
    </row>
    <row r="221" spans="1:8">
      <c r="A221">
        <v>1220</v>
      </c>
      <c r="B221" s="1">
        <v>46070</v>
      </c>
      <c r="C221" t="s">
        <v>140</v>
      </c>
      <c r="D221" t="s">
        <v>72</v>
      </c>
      <c r="E221" t="s">
        <v>143</v>
      </c>
      <c r="F221" s="2" t="str">
        <f t="shared" si="6"/>
        <v>2026-02</v>
      </c>
      <c r="G221" s="2" t="str">
        <f t="shared" si="7"/>
        <v>2026-w08</v>
      </c>
      <c r="H221" s="1"/>
    </row>
    <row r="222" spans="1:8">
      <c r="A222">
        <v>1221</v>
      </c>
      <c r="B222" s="1">
        <v>46033</v>
      </c>
      <c r="C222" t="s">
        <v>146</v>
      </c>
      <c r="D222" t="s">
        <v>76</v>
      </c>
      <c r="E222" t="s">
        <v>141</v>
      </c>
      <c r="F222" s="2" t="str">
        <f t="shared" si="6"/>
        <v>2026-01</v>
      </c>
      <c r="G222" s="2" t="str">
        <f t="shared" si="7"/>
        <v>2026-w03</v>
      </c>
      <c r="H222" s="1"/>
    </row>
    <row r="223" spans="1:8">
      <c r="A223">
        <v>1222</v>
      </c>
      <c r="B223" s="1">
        <v>46144</v>
      </c>
      <c r="C223" t="s">
        <v>138</v>
      </c>
      <c r="D223" t="s">
        <v>76</v>
      </c>
      <c r="E223" t="s">
        <v>139</v>
      </c>
      <c r="F223" s="2" t="str">
        <f t="shared" si="6"/>
        <v>2026-05</v>
      </c>
      <c r="G223" s="2" t="str">
        <f t="shared" si="7"/>
        <v>2026-w18</v>
      </c>
      <c r="H223" s="1"/>
    </row>
    <row r="224" spans="1:8">
      <c r="A224">
        <v>1223</v>
      </c>
      <c r="B224" s="1">
        <v>46116</v>
      </c>
      <c r="C224" t="s">
        <v>138</v>
      </c>
      <c r="D224" t="s">
        <v>76</v>
      </c>
      <c r="E224" t="s">
        <v>139</v>
      </c>
      <c r="F224" s="2" t="str">
        <f t="shared" si="6"/>
        <v>2026-04</v>
      </c>
      <c r="G224" s="2" t="str">
        <f t="shared" si="7"/>
        <v>2026-w14</v>
      </c>
      <c r="H224" s="1"/>
    </row>
    <row r="225" spans="1:8">
      <c r="A225">
        <v>1224</v>
      </c>
      <c r="B225" s="1">
        <v>46036</v>
      </c>
      <c r="C225" t="s">
        <v>145</v>
      </c>
      <c r="D225" t="s">
        <v>78</v>
      </c>
      <c r="E225" t="s">
        <v>141</v>
      </c>
      <c r="F225" s="2" t="str">
        <f t="shared" si="6"/>
        <v>2026-01</v>
      </c>
      <c r="G225" s="2" t="str">
        <f t="shared" si="7"/>
        <v>2026-w03</v>
      </c>
      <c r="H225" s="1"/>
    </row>
    <row r="226" spans="1:8">
      <c r="A226">
        <v>1225</v>
      </c>
      <c r="B226" s="1">
        <v>46074</v>
      </c>
      <c r="C226" t="s">
        <v>146</v>
      </c>
      <c r="D226" t="s">
        <v>72</v>
      </c>
      <c r="E226" t="s">
        <v>144</v>
      </c>
      <c r="F226" s="2" t="str">
        <f t="shared" si="6"/>
        <v>2026-02</v>
      </c>
      <c r="G226" s="2" t="str">
        <f t="shared" si="7"/>
        <v>2026-w08</v>
      </c>
      <c r="H226" s="1"/>
    </row>
    <row r="227" spans="1:8">
      <c r="A227">
        <v>1226</v>
      </c>
      <c r="B227" s="1">
        <v>46100</v>
      </c>
      <c r="C227" t="s">
        <v>146</v>
      </c>
      <c r="D227" t="s">
        <v>72</v>
      </c>
      <c r="E227" t="s">
        <v>139</v>
      </c>
      <c r="F227" s="2" t="str">
        <f t="shared" si="6"/>
        <v>2026-03</v>
      </c>
      <c r="G227" s="2" t="str">
        <f t="shared" si="7"/>
        <v>2026-w12</v>
      </c>
      <c r="H227" s="1"/>
    </row>
    <row r="228" spans="1:8">
      <c r="A228">
        <v>1227</v>
      </c>
      <c r="B228" s="1">
        <v>46034</v>
      </c>
      <c r="C228" t="s">
        <v>142</v>
      </c>
      <c r="D228" t="s">
        <v>76</v>
      </c>
      <c r="E228" t="s">
        <v>139</v>
      </c>
      <c r="F228" s="2" t="str">
        <f t="shared" si="6"/>
        <v>2026-01</v>
      </c>
      <c r="G228" s="2" t="str">
        <f t="shared" si="7"/>
        <v>2026-w03</v>
      </c>
      <c r="H228" s="1"/>
    </row>
    <row r="229" spans="1:8">
      <c r="A229">
        <v>1228</v>
      </c>
      <c r="B229" s="1">
        <v>46044</v>
      </c>
      <c r="C229" t="s">
        <v>142</v>
      </c>
      <c r="D229" t="s">
        <v>74</v>
      </c>
      <c r="E229" t="s">
        <v>139</v>
      </c>
      <c r="F229" s="2" t="str">
        <f t="shared" si="6"/>
        <v>2026-01</v>
      </c>
      <c r="G229" s="2" t="str">
        <f t="shared" si="7"/>
        <v>2026-w04</v>
      </c>
      <c r="H229" s="1"/>
    </row>
    <row r="230" spans="1:8">
      <c r="A230">
        <v>1229</v>
      </c>
      <c r="B230" s="1">
        <v>46028</v>
      </c>
      <c r="C230" t="s">
        <v>140</v>
      </c>
      <c r="D230" t="s">
        <v>78</v>
      </c>
      <c r="E230" t="s">
        <v>144</v>
      </c>
      <c r="F230" s="2" t="str">
        <f t="shared" si="6"/>
        <v>2026-01</v>
      </c>
      <c r="G230" s="2" t="str">
        <f t="shared" si="7"/>
        <v>2026-w02</v>
      </c>
      <c r="H230" s="1"/>
    </row>
    <row r="231" spans="1:8">
      <c r="A231">
        <v>1230</v>
      </c>
      <c r="B231" s="1">
        <v>46077</v>
      </c>
      <c r="C231" t="s">
        <v>140</v>
      </c>
      <c r="D231" t="s">
        <v>76</v>
      </c>
      <c r="E231" t="s">
        <v>144</v>
      </c>
      <c r="F231" s="2" t="str">
        <f t="shared" si="6"/>
        <v>2026-02</v>
      </c>
      <c r="G231" s="2" t="str">
        <f t="shared" si="7"/>
        <v>2026-w09</v>
      </c>
      <c r="H231" s="1"/>
    </row>
    <row r="232" spans="1:8">
      <c r="A232">
        <v>1231</v>
      </c>
      <c r="B232" s="1">
        <v>46100</v>
      </c>
      <c r="C232" t="s">
        <v>146</v>
      </c>
      <c r="D232" t="s">
        <v>76</v>
      </c>
      <c r="E232" t="s">
        <v>141</v>
      </c>
      <c r="F232" s="2" t="str">
        <f t="shared" si="6"/>
        <v>2026-03</v>
      </c>
      <c r="G232" s="2" t="str">
        <f t="shared" si="7"/>
        <v>2026-w12</v>
      </c>
      <c r="H232" s="1"/>
    </row>
    <row r="233" spans="1:8">
      <c r="A233">
        <v>1232</v>
      </c>
      <c r="B233" s="1">
        <v>46074</v>
      </c>
      <c r="C233" t="s">
        <v>138</v>
      </c>
      <c r="D233" t="s">
        <v>78</v>
      </c>
      <c r="E233" t="s">
        <v>144</v>
      </c>
      <c r="F233" s="2" t="str">
        <f t="shared" si="6"/>
        <v>2026-02</v>
      </c>
      <c r="G233" s="2" t="str">
        <f t="shared" si="7"/>
        <v>2026-w08</v>
      </c>
      <c r="H233" s="1"/>
    </row>
    <row r="234" spans="1:8">
      <c r="A234">
        <v>1233</v>
      </c>
      <c r="B234" s="1">
        <v>46096</v>
      </c>
      <c r="C234" t="s">
        <v>142</v>
      </c>
      <c r="D234" t="s">
        <v>72</v>
      </c>
      <c r="E234" t="s">
        <v>139</v>
      </c>
      <c r="F234" s="2" t="str">
        <f t="shared" si="6"/>
        <v>2026-03</v>
      </c>
      <c r="G234" s="2" t="str">
        <f t="shared" si="7"/>
        <v>2026-w12</v>
      </c>
      <c r="H234" s="1"/>
    </row>
    <row r="235" spans="1:8">
      <c r="A235">
        <v>1234</v>
      </c>
      <c r="B235" s="1">
        <v>46092</v>
      </c>
      <c r="C235" t="s">
        <v>142</v>
      </c>
      <c r="D235" t="s">
        <v>74</v>
      </c>
      <c r="E235" t="s">
        <v>139</v>
      </c>
      <c r="F235" s="2" t="str">
        <f t="shared" si="6"/>
        <v>2026-03</v>
      </c>
      <c r="G235" s="2" t="str">
        <f t="shared" si="7"/>
        <v>2026-w11</v>
      </c>
      <c r="H235" s="1"/>
    </row>
    <row r="236" spans="1:8">
      <c r="A236">
        <v>1235</v>
      </c>
      <c r="B236" s="1">
        <v>46151</v>
      </c>
      <c r="C236" t="s">
        <v>145</v>
      </c>
      <c r="D236" t="s">
        <v>74</v>
      </c>
      <c r="E236" t="s">
        <v>141</v>
      </c>
      <c r="F236" s="2" t="str">
        <f t="shared" si="6"/>
        <v>2026-05</v>
      </c>
      <c r="G236" s="2" t="str">
        <f t="shared" si="7"/>
        <v>2026-w19</v>
      </c>
      <c r="H236" s="1"/>
    </row>
    <row r="237" spans="1:8">
      <c r="A237">
        <v>1236</v>
      </c>
      <c r="B237" s="1">
        <v>46118</v>
      </c>
      <c r="C237" t="s">
        <v>142</v>
      </c>
      <c r="D237" t="s">
        <v>74</v>
      </c>
      <c r="E237" t="s">
        <v>139</v>
      </c>
      <c r="F237" s="2" t="str">
        <f t="shared" si="6"/>
        <v>2026-04</v>
      </c>
      <c r="G237" s="2" t="str">
        <f t="shared" si="7"/>
        <v>2026-w15</v>
      </c>
      <c r="H237" s="1"/>
    </row>
    <row r="238" spans="1:8">
      <c r="A238">
        <v>1237</v>
      </c>
      <c r="B238" s="1">
        <v>46122</v>
      </c>
      <c r="C238" t="s">
        <v>142</v>
      </c>
      <c r="D238" t="s">
        <v>78</v>
      </c>
      <c r="E238" t="s">
        <v>141</v>
      </c>
      <c r="F238" s="2" t="str">
        <f t="shared" si="6"/>
        <v>2026-04</v>
      </c>
      <c r="G238" s="2" t="str">
        <f t="shared" si="7"/>
        <v>2026-w15</v>
      </c>
      <c r="H238" s="1"/>
    </row>
    <row r="239" spans="1:8">
      <c r="A239">
        <v>1238</v>
      </c>
      <c r="B239" s="1">
        <v>46089</v>
      </c>
      <c r="C239" t="s">
        <v>142</v>
      </c>
      <c r="D239" t="s">
        <v>74</v>
      </c>
      <c r="E239" t="s">
        <v>141</v>
      </c>
      <c r="F239" s="2" t="str">
        <f t="shared" si="6"/>
        <v>2026-03</v>
      </c>
      <c r="G239" s="2" t="str">
        <f t="shared" si="7"/>
        <v>2026-w11</v>
      </c>
      <c r="H239" s="1"/>
    </row>
    <row r="240" spans="1:8">
      <c r="A240">
        <v>1239</v>
      </c>
      <c r="B240" s="1">
        <v>46057</v>
      </c>
      <c r="C240" t="s">
        <v>145</v>
      </c>
      <c r="D240" t="s">
        <v>72</v>
      </c>
      <c r="E240" t="s">
        <v>144</v>
      </c>
      <c r="F240" s="2" t="str">
        <f t="shared" si="6"/>
        <v>2026-02</v>
      </c>
      <c r="G240" s="2" t="str">
        <f t="shared" si="7"/>
        <v>2026-w06</v>
      </c>
      <c r="H240" s="1"/>
    </row>
    <row r="241" spans="1:8">
      <c r="A241">
        <v>1240</v>
      </c>
      <c r="B241" s="1">
        <v>46141</v>
      </c>
      <c r="C241" t="s">
        <v>145</v>
      </c>
      <c r="D241" t="s">
        <v>76</v>
      </c>
      <c r="E241" t="s">
        <v>139</v>
      </c>
      <c r="F241" s="2" t="str">
        <f t="shared" si="6"/>
        <v>2026-04</v>
      </c>
      <c r="G241" s="2" t="str">
        <f t="shared" si="7"/>
        <v>2026-w18</v>
      </c>
      <c r="H241" s="1"/>
    </row>
    <row r="242" spans="1:8">
      <c r="A242">
        <v>1241</v>
      </c>
      <c r="B242" s="1">
        <v>46080</v>
      </c>
      <c r="C242" t="s">
        <v>138</v>
      </c>
      <c r="D242" t="s">
        <v>72</v>
      </c>
      <c r="E242" t="s">
        <v>139</v>
      </c>
      <c r="F242" s="2" t="str">
        <f t="shared" si="6"/>
        <v>2026-02</v>
      </c>
      <c r="G242" s="2" t="str">
        <f t="shared" si="7"/>
        <v>2026-w09</v>
      </c>
      <c r="H242" s="1"/>
    </row>
    <row r="243" spans="1:8">
      <c r="A243">
        <v>1242</v>
      </c>
      <c r="B243" s="1">
        <v>46140</v>
      </c>
      <c r="C243" t="s">
        <v>146</v>
      </c>
      <c r="D243" t="s">
        <v>74</v>
      </c>
      <c r="E243" t="s">
        <v>141</v>
      </c>
      <c r="F243" s="2" t="str">
        <f t="shared" si="6"/>
        <v>2026-04</v>
      </c>
      <c r="G243" s="2" t="str">
        <f t="shared" si="7"/>
        <v>2026-w18</v>
      </c>
      <c r="H243" s="1"/>
    </row>
    <row r="244" spans="1:8">
      <c r="A244">
        <v>1243</v>
      </c>
      <c r="B244" s="1">
        <v>46087</v>
      </c>
      <c r="C244" t="s">
        <v>146</v>
      </c>
      <c r="D244" t="s">
        <v>74</v>
      </c>
      <c r="E244" t="s">
        <v>141</v>
      </c>
      <c r="F244" s="2" t="str">
        <f t="shared" si="6"/>
        <v>2026-03</v>
      </c>
      <c r="G244" s="2" t="str">
        <f t="shared" si="7"/>
        <v>2026-w10</v>
      </c>
      <c r="H244" s="1"/>
    </row>
    <row r="245" spans="1:8">
      <c r="A245">
        <v>1244</v>
      </c>
      <c r="B245" s="1">
        <v>46115</v>
      </c>
      <c r="C245" t="s">
        <v>142</v>
      </c>
      <c r="D245" t="s">
        <v>76</v>
      </c>
      <c r="E245" t="s">
        <v>143</v>
      </c>
      <c r="F245" s="2" t="str">
        <f t="shared" si="6"/>
        <v>2026-04</v>
      </c>
      <c r="G245" s="2" t="str">
        <f t="shared" si="7"/>
        <v>2026-w14</v>
      </c>
      <c r="H245" s="1"/>
    </row>
    <row r="246" spans="1:8">
      <c r="A246">
        <v>1245</v>
      </c>
      <c r="B246" s="1">
        <v>46052</v>
      </c>
      <c r="C246" t="s">
        <v>146</v>
      </c>
      <c r="D246" t="s">
        <v>74</v>
      </c>
      <c r="E246" t="s">
        <v>143</v>
      </c>
      <c r="F246" s="2" t="str">
        <f t="shared" si="6"/>
        <v>2026-01</v>
      </c>
      <c r="G246" s="2" t="str">
        <f t="shared" si="7"/>
        <v>2026-w05</v>
      </c>
      <c r="H246" s="1"/>
    </row>
    <row r="247" spans="1:8">
      <c r="A247">
        <v>1246</v>
      </c>
      <c r="B247" s="1">
        <v>46042</v>
      </c>
      <c r="C247" t="s">
        <v>145</v>
      </c>
      <c r="D247" t="s">
        <v>78</v>
      </c>
      <c r="E247" t="s">
        <v>139</v>
      </c>
      <c r="F247" s="2" t="str">
        <f t="shared" si="6"/>
        <v>2026-01</v>
      </c>
      <c r="G247" s="2" t="str">
        <f t="shared" si="7"/>
        <v>2026-w04</v>
      </c>
      <c r="H247" s="1"/>
    </row>
    <row r="248" spans="1:8">
      <c r="A248">
        <v>1247</v>
      </c>
      <c r="B248" s="1">
        <v>46043</v>
      </c>
      <c r="C248" t="s">
        <v>145</v>
      </c>
      <c r="D248" t="s">
        <v>72</v>
      </c>
      <c r="E248" t="s">
        <v>143</v>
      </c>
      <c r="F248" s="2" t="str">
        <f t="shared" si="6"/>
        <v>2026-01</v>
      </c>
      <c r="G248" s="2" t="str">
        <f t="shared" si="7"/>
        <v>2026-w04</v>
      </c>
      <c r="H248" s="1"/>
    </row>
    <row r="249" spans="1:8">
      <c r="A249">
        <v>1248</v>
      </c>
      <c r="B249" s="1">
        <v>46028</v>
      </c>
      <c r="C249" t="s">
        <v>146</v>
      </c>
      <c r="D249" t="s">
        <v>72</v>
      </c>
      <c r="E249" t="s">
        <v>139</v>
      </c>
      <c r="F249" s="2" t="str">
        <f t="shared" si="6"/>
        <v>2026-01</v>
      </c>
      <c r="G249" s="2" t="str">
        <f t="shared" si="7"/>
        <v>2026-w02</v>
      </c>
      <c r="H249" s="1"/>
    </row>
    <row r="250" spans="1:8">
      <c r="A250">
        <v>1249</v>
      </c>
      <c r="B250" s="1">
        <v>46132</v>
      </c>
      <c r="C250" t="s">
        <v>140</v>
      </c>
      <c r="D250" t="s">
        <v>74</v>
      </c>
      <c r="E250" t="s">
        <v>141</v>
      </c>
      <c r="F250" s="2" t="str">
        <f t="shared" si="6"/>
        <v>2026-04</v>
      </c>
      <c r="G250" s="2" t="str">
        <f t="shared" si="7"/>
        <v>2026-w17</v>
      </c>
      <c r="H250" s="1"/>
    </row>
    <row r="251" spans="1:8">
      <c r="A251">
        <v>1250</v>
      </c>
      <c r="B251" s="1">
        <v>46050</v>
      </c>
      <c r="C251" t="s">
        <v>146</v>
      </c>
      <c r="D251" t="s">
        <v>78</v>
      </c>
      <c r="E251" t="s">
        <v>141</v>
      </c>
      <c r="F251" s="2" t="str">
        <f t="shared" si="6"/>
        <v>2026-01</v>
      </c>
      <c r="G251" s="2" t="str">
        <f t="shared" si="7"/>
        <v>2026-w05</v>
      </c>
      <c r="H251" s="1"/>
    </row>
    <row r="252" spans="1:8">
      <c r="A252">
        <v>1251</v>
      </c>
      <c r="B252" s="1">
        <v>46044</v>
      </c>
      <c r="C252" t="s">
        <v>142</v>
      </c>
      <c r="D252" t="s">
        <v>72</v>
      </c>
      <c r="E252" t="s">
        <v>143</v>
      </c>
      <c r="F252" s="2" t="str">
        <f t="shared" si="6"/>
        <v>2026-01</v>
      </c>
      <c r="G252" s="2" t="str">
        <f t="shared" si="7"/>
        <v>2026-w04</v>
      </c>
      <c r="H252" s="1"/>
    </row>
    <row r="253" spans="1:8">
      <c r="A253">
        <v>1252</v>
      </c>
      <c r="B253" s="1">
        <v>46147</v>
      </c>
      <c r="C253" t="s">
        <v>140</v>
      </c>
      <c r="D253" t="s">
        <v>74</v>
      </c>
      <c r="E253" t="s">
        <v>144</v>
      </c>
      <c r="F253" s="2" t="str">
        <f t="shared" si="6"/>
        <v>2026-05</v>
      </c>
      <c r="G253" s="2" t="str">
        <f t="shared" si="7"/>
        <v>2026-w19</v>
      </c>
      <c r="H253" s="1"/>
    </row>
    <row r="254" spans="1:8">
      <c r="A254">
        <v>1253</v>
      </c>
      <c r="B254" s="1">
        <v>46134</v>
      </c>
      <c r="C254" t="s">
        <v>138</v>
      </c>
      <c r="D254" t="s">
        <v>74</v>
      </c>
      <c r="E254" t="s">
        <v>139</v>
      </c>
      <c r="F254" s="2" t="str">
        <f t="shared" si="6"/>
        <v>2026-04</v>
      </c>
      <c r="G254" s="2" t="str">
        <f t="shared" si="7"/>
        <v>2026-w17</v>
      </c>
      <c r="H254" s="1"/>
    </row>
    <row r="255" spans="1:8">
      <c r="A255">
        <v>1254</v>
      </c>
      <c r="B255" s="1">
        <v>46028</v>
      </c>
      <c r="C255" t="s">
        <v>138</v>
      </c>
      <c r="D255" t="s">
        <v>74</v>
      </c>
      <c r="E255" t="s">
        <v>143</v>
      </c>
      <c r="F255" s="2" t="str">
        <f t="shared" si="6"/>
        <v>2026-01</v>
      </c>
      <c r="G255" s="2" t="str">
        <f t="shared" si="7"/>
        <v>2026-w02</v>
      </c>
      <c r="H255" s="1"/>
    </row>
    <row r="256" spans="1:8">
      <c r="A256">
        <v>1255</v>
      </c>
      <c r="B256" s="1">
        <v>46147</v>
      </c>
      <c r="C256" t="s">
        <v>140</v>
      </c>
      <c r="D256" t="s">
        <v>72</v>
      </c>
      <c r="E256" t="s">
        <v>139</v>
      </c>
      <c r="F256" s="2" t="str">
        <f t="shared" si="6"/>
        <v>2026-05</v>
      </c>
      <c r="G256" s="2" t="str">
        <f t="shared" si="7"/>
        <v>2026-w19</v>
      </c>
      <c r="H256" s="1"/>
    </row>
    <row r="257" spans="1:8">
      <c r="A257">
        <v>1256</v>
      </c>
      <c r="B257" s="1">
        <v>46134</v>
      </c>
      <c r="C257" t="s">
        <v>142</v>
      </c>
      <c r="D257" t="s">
        <v>72</v>
      </c>
      <c r="E257" t="s">
        <v>141</v>
      </c>
      <c r="F257" s="2" t="str">
        <f t="shared" si="6"/>
        <v>2026-04</v>
      </c>
      <c r="G257" s="2" t="str">
        <f t="shared" si="7"/>
        <v>2026-w17</v>
      </c>
      <c r="H257" s="1"/>
    </row>
    <row r="258" spans="1:8">
      <c r="A258">
        <v>1257</v>
      </c>
      <c r="B258" s="1">
        <v>46045</v>
      </c>
      <c r="C258" t="s">
        <v>138</v>
      </c>
      <c r="D258" t="s">
        <v>78</v>
      </c>
      <c r="E258" t="s">
        <v>139</v>
      </c>
      <c r="F258" s="2" t="str">
        <f t="shared" si="6"/>
        <v>2026-01</v>
      </c>
      <c r="G258" s="2" t="str">
        <f t="shared" si="7"/>
        <v>2026-w04</v>
      </c>
      <c r="H258" s="1"/>
    </row>
    <row r="259" spans="1:8">
      <c r="A259">
        <v>1258</v>
      </c>
      <c r="B259" s="1">
        <v>46151</v>
      </c>
      <c r="C259" t="s">
        <v>142</v>
      </c>
      <c r="D259" t="s">
        <v>74</v>
      </c>
      <c r="E259" t="s">
        <v>141</v>
      </c>
      <c r="F259" s="2" t="str">
        <f t="shared" ref="F259:F322" si="8">TEXT(B259,"yyyy-mm")</f>
        <v>2026-05</v>
      </c>
      <c r="G259" s="2" t="str">
        <f t="shared" ref="G259:G322" si="9">YEAR(B259)&amp;"-w"&amp;TEXT(WEEKNUM(B259),"00")</f>
        <v>2026-w19</v>
      </c>
      <c r="H259" s="1"/>
    </row>
    <row r="260" spans="1:8">
      <c r="A260">
        <v>1259</v>
      </c>
      <c r="B260" s="1">
        <v>46049</v>
      </c>
      <c r="C260" t="s">
        <v>140</v>
      </c>
      <c r="D260" t="s">
        <v>72</v>
      </c>
      <c r="E260" t="s">
        <v>139</v>
      </c>
      <c r="F260" s="2" t="str">
        <f t="shared" si="8"/>
        <v>2026-01</v>
      </c>
      <c r="G260" s="2" t="str">
        <f t="shared" si="9"/>
        <v>2026-w05</v>
      </c>
      <c r="H260" s="1"/>
    </row>
    <row r="261" spans="1:8">
      <c r="A261">
        <v>1260</v>
      </c>
      <c r="B261" s="1">
        <v>46024</v>
      </c>
      <c r="C261" t="s">
        <v>142</v>
      </c>
      <c r="D261" t="s">
        <v>78</v>
      </c>
      <c r="E261" t="s">
        <v>139</v>
      </c>
      <c r="F261" s="2" t="str">
        <f t="shared" si="8"/>
        <v>2026-01</v>
      </c>
      <c r="G261" s="2" t="str">
        <f t="shared" si="9"/>
        <v>2026-w01</v>
      </c>
      <c r="H261" s="1"/>
    </row>
    <row r="262" spans="1:8">
      <c r="A262">
        <v>1261</v>
      </c>
      <c r="B262" s="1">
        <v>46136</v>
      </c>
      <c r="C262" t="s">
        <v>145</v>
      </c>
      <c r="D262" t="s">
        <v>74</v>
      </c>
      <c r="E262" t="s">
        <v>139</v>
      </c>
      <c r="F262" s="2" t="str">
        <f t="shared" si="8"/>
        <v>2026-04</v>
      </c>
      <c r="G262" s="2" t="str">
        <f t="shared" si="9"/>
        <v>2026-w17</v>
      </c>
      <c r="H262" s="1"/>
    </row>
    <row r="263" spans="1:8">
      <c r="A263">
        <v>1262</v>
      </c>
      <c r="B263" s="1">
        <v>46037</v>
      </c>
      <c r="C263" t="s">
        <v>145</v>
      </c>
      <c r="D263" t="s">
        <v>72</v>
      </c>
      <c r="E263" t="s">
        <v>139</v>
      </c>
      <c r="F263" s="2" t="str">
        <f t="shared" si="8"/>
        <v>2026-01</v>
      </c>
      <c r="G263" s="2" t="str">
        <f t="shared" si="9"/>
        <v>2026-w03</v>
      </c>
      <c r="H263" s="1"/>
    </row>
    <row r="264" spans="1:8">
      <c r="A264">
        <v>1263</v>
      </c>
      <c r="B264" s="1">
        <v>46073</v>
      </c>
      <c r="C264" t="s">
        <v>140</v>
      </c>
      <c r="D264" t="s">
        <v>74</v>
      </c>
      <c r="E264" t="s">
        <v>144</v>
      </c>
      <c r="F264" s="2" t="str">
        <f t="shared" si="8"/>
        <v>2026-02</v>
      </c>
      <c r="G264" s="2" t="str">
        <f t="shared" si="9"/>
        <v>2026-w08</v>
      </c>
      <c r="H264" s="1"/>
    </row>
    <row r="265" spans="1:8">
      <c r="A265">
        <v>1264</v>
      </c>
      <c r="B265" s="1">
        <v>46051</v>
      </c>
      <c r="C265" t="s">
        <v>142</v>
      </c>
      <c r="D265" t="s">
        <v>74</v>
      </c>
      <c r="E265" t="s">
        <v>139</v>
      </c>
      <c r="F265" s="2" t="str">
        <f t="shared" si="8"/>
        <v>2026-01</v>
      </c>
      <c r="G265" s="2" t="str">
        <f t="shared" si="9"/>
        <v>2026-w05</v>
      </c>
      <c r="H265" s="1"/>
    </row>
    <row r="266" spans="1:8">
      <c r="A266">
        <v>1265</v>
      </c>
      <c r="B266" s="1">
        <v>46086</v>
      </c>
      <c r="C266" t="s">
        <v>140</v>
      </c>
      <c r="D266" t="s">
        <v>76</v>
      </c>
      <c r="E266" t="s">
        <v>141</v>
      </c>
      <c r="F266" s="2" t="str">
        <f t="shared" si="8"/>
        <v>2026-03</v>
      </c>
      <c r="G266" s="2" t="str">
        <f t="shared" si="9"/>
        <v>2026-w10</v>
      </c>
      <c r="H266" s="1"/>
    </row>
    <row r="267" spans="1:8">
      <c r="A267">
        <v>1266</v>
      </c>
      <c r="B267" s="1">
        <v>46124</v>
      </c>
      <c r="C267" t="s">
        <v>146</v>
      </c>
      <c r="D267" t="s">
        <v>74</v>
      </c>
      <c r="E267" t="s">
        <v>144</v>
      </c>
      <c r="F267" s="2" t="str">
        <f t="shared" si="8"/>
        <v>2026-04</v>
      </c>
      <c r="G267" s="2" t="str">
        <f t="shared" si="9"/>
        <v>2026-w16</v>
      </c>
      <c r="H267" s="1"/>
    </row>
    <row r="268" spans="1:8">
      <c r="A268">
        <v>1267</v>
      </c>
      <c r="B268" s="1">
        <v>46117</v>
      </c>
      <c r="C268" t="s">
        <v>146</v>
      </c>
      <c r="D268" t="s">
        <v>74</v>
      </c>
      <c r="E268" t="s">
        <v>141</v>
      </c>
      <c r="F268" s="2" t="str">
        <f t="shared" si="8"/>
        <v>2026-04</v>
      </c>
      <c r="G268" s="2" t="str">
        <f t="shared" si="9"/>
        <v>2026-w15</v>
      </c>
      <c r="H268" s="1"/>
    </row>
    <row r="269" spans="1:8">
      <c r="A269">
        <v>1268</v>
      </c>
      <c r="B269" s="1">
        <v>46030</v>
      </c>
      <c r="C269" t="s">
        <v>140</v>
      </c>
      <c r="D269" t="s">
        <v>72</v>
      </c>
      <c r="E269" t="s">
        <v>139</v>
      </c>
      <c r="F269" s="2" t="str">
        <f t="shared" si="8"/>
        <v>2026-01</v>
      </c>
      <c r="G269" s="2" t="str">
        <f t="shared" si="9"/>
        <v>2026-w02</v>
      </c>
      <c r="H269" s="1"/>
    </row>
    <row r="270" spans="1:8">
      <c r="A270">
        <v>1269</v>
      </c>
      <c r="B270" s="1">
        <v>46137</v>
      </c>
      <c r="C270" t="s">
        <v>142</v>
      </c>
      <c r="D270" t="s">
        <v>72</v>
      </c>
      <c r="E270" t="s">
        <v>139</v>
      </c>
      <c r="F270" s="2" t="str">
        <f t="shared" si="8"/>
        <v>2026-04</v>
      </c>
      <c r="G270" s="2" t="str">
        <f t="shared" si="9"/>
        <v>2026-w17</v>
      </c>
      <c r="H270" s="1"/>
    </row>
    <row r="271" spans="1:8">
      <c r="A271">
        <v>1270</v>
      </c>
      <c r="B271" s="1">
        <v>46065</v>
      </c>
      <c r="C271" t="s">
        <v>140</v>
      </c>
      <c r="D271" t="s">
        <v>74</v>
      </c>
      <c r="E271" t="s">
        <v>139</v>
      </c>
      <c r="F271" s="2" t="str">
        <f t="shared" si="8"/>
        <v>2026-02</v>
      </c>
      <c r="G271" s="2" t="str">
        <f t="shared" si="9"/>
        <v>2026-w07</v>
      </c>
      <c r="H271" s="1"/>
    </row>
    <row r="272" spans="1:8">
      <c r="A272">
        <v>1271</v>
      </c>
      <c r="B272" s="1">
        <v>46105</v>
      </c>
      <c r="C272" t="s">
        <v>140</v>
      </c>
      <c r="D272" t="s">
        <v>74</v>
      </c>
      <c r="E272" t="s">
        <v>143</v>
      </c>
      <c r="F272" s="2" t="str">
        <f t="shared" si="8"/>
        <v>2026-03</v>
      </c>
      <c r="G272" s="2" t="str">
        <f t="shared" si="9"/>
        <v>2026-w13</v>
      </c>
      <c r="H272" s="1"/>
    </row>
    <row r="273" spans="1:8">
      <c r="A273">
        <v>1272</v>
      </c>
      <c r="B273" s="1">
        <v>46037</v>
      </c>
      <c r="C273" t="s">
        <v>140</v>
      </c>
      <c r="D273" t="s">
        <v>78</v>
      </c>
      <c r="E273" t="s">
        <v>144</v>
      </c>
      <c r="F273" s="2" t="str">
        <f t="shared" si="8"/>
        <v>2026-01</v>
      </c>
      <c r="G273" s="2" t="str">
        <f t="shared" si="9"/>
        <v>2026-w03</v>
      </c>
      <c r="H273" s="1"/>
    </row>
    <row r="274" spans="1:8">
      <c r="A274">
        <v>1273</v>
      </c>
      <c r="B274" s="1">
        <v>46091</v>
      </c>
      <c r="C274" t="s">
        <v>146</v>
      </c>
      <c r="D274" t="s">
        <v>76</v>
      </c>
      <c r="E274" t="s">
        <v>141</v>
      </c>
      <c r="F274" s="2" t="str">
        <f t="shared" si="8"/>
        <v>2026-03</v>
      </c>
      <c r="G274" s="2" t="str">
        <f t="shared" si="9"/>
        <v>2026-w11</v>
      </c>
      <c r="H274" s="1"/>
    </row>
    <row r="275" spans="1:8">
      <c r="A275">
        <v>1274</v>
      </c>
      <c r="B275" s="1">
        <v>46138</v>
      </c>
      <c r="C275" t="s">
        <v>146</v>
      </c>
      <c r="D275" t="s">
        <v>74</v>
      </c>
      <c r="E275" t="s">
        <v>141</v>
      </c>
      <c r="F275" s="2" t="str">
        <f t="shared" si="8"/>
        <v>2026-04</v>
      </c>
      <c r="G275" s="2" t="str">
        <f t="shared" si="9"/>
        <v>2026-w18</v>
      </c>
      <c r="H275" s="1"/>
    </row>
    <row r="276" spans="1:8">
      <c r="A276">
        <v>1275</v>
      </c>
      <c r="B276" s="1">
        <v>46094</v>
      </c>
      <c r="C276" t="s">
        <v>140</v>
      </c>
      <c r="D276" t="s">
        <v>72</v>
      </c>
      <c r="E276" t="s">
        <v>143</v>
      </c>
      <c r="F276" s="2" t="str">
        <f t="shared" si="8"/>
        <v>2026-03</v>
      </c>
      <c r="G276" s="2" t="str">
        <f t="shared" si="9"/>
        <v>2026-w11</v>
      </c>
      <c r="H276" s="1"/>
    </row>
    <row r="277" spans="1:8">
      <c r="A277">
        <v>1276</v>
      </c>
      <c r="B277" s="1">
        <v>46148</v>
      </c>
      <c r="C277" t="s">
        <v>140</v>
      </c>
      <c r="D277" t="s">
        <v>74</v>
      </c>
      <c r="E277" t="s">
        <v>143</v>
      </c>
      <c r="F277" s="2" t="str">
        <f t="shared" si="8"/>
        <v>2026-05</v>
      </c>
      <c r="G277" s="2" t="str">
        <f t="shared" si="9"/>
        <v>2026-w19</v>
      </c>
      <c r="H277" s="1"/>
    </row>
    <row r="278" spans="1:8">
      <c r="A278">
        <v>1277</v>
      </c>
      <c r="B278" s="1">
        <v>46068</v>
      </c>
      <c r="C278" t="s">
        <v>140</v>
      </c>
      <c r="D278" t="s">
        <v>74</v>
      </c>
      <c r="E278" t="s">
        <v>139</v>
      </c>
      <c r="F278" s="2" t="str">
        <f t="shared" si="8"/>
        <v>2026-02</v>
      </c>
      <c r="G278" s="2" t="str">
        <f t="shared" si="9"/>
        <v>2026-w08</v>
      </c>
      <c r="H278" s="1"/>
    </row>
    <row r="279" spans="1:8">
      <c r="A279">
        <v>1278</v>
      </c>
      <c r="B279" s="1">
        <v>46124</v>
      </c>
      <c r="C279" t="s">
        <v>140</v>
      </c>
      <c r="D279" t="s">
        <v>76</v>
      </c>
      <c r="E279" t="s">
        <v>141</v>
      </c>
      <c r="F279" s="2" t="str">
        <f t="shared" si="8"/>
        <v>2026-04</v>
      </c>
      <c r="G279" s="2" t="str">
        <f t="shared" si="9"/>
        <v>2026-w16</v>
      </c>
      <c r="H279" s="1"/>
    </row>
    <row r="280" spans="1:8">
      <c r="A280">
        <v>1279</v>
      </c>
      <c r="B280" s="1">
        <v>46133</v>
      </c>
      <c r="C280" t="s">
        <v>140</v>
      </c>
      <c r="D280" t="s">
        <v>76</v>
      </c>
      <c r="E280" t="s">
        <v>143</v>
      </c>
      <c r="F280" s="2" t="str">
        <f t="shared" si="8"/>
        <v>2026-04</v>
      </c>
      <c r="G280" s="2" t="str">
        <f t="shared" si="9"/>
        <v>2026-w17</v>
      </c>
      <c r="H280" s="1"/>
    </row>
    <row r="281" spans="1:8">
      <c r="A281">
        <v>1280</v>
      </c>
      <c r="B281" s="1">
        <v>46102</v>
      </c>
      <c r="C281" t="s">
        <v>145</v>
      </c>
      <c r="D281" t="s">
        <v>72</v>
      </c>
      <c r="E281" t="s">
        <v>141</v>
      </c>
      <c r="F281" s="2" t="str">
        <f t="shared" si="8"/>
        <v>2026-03</v>
      </c>
      <c r="G281" s="2" t="str">
        <f t="shared" si="9"/>
        <v>2026-w12</v>
      </c>
      <c r="H281" s="1"/>
    </row>
    <row r="282" spans="1:8">
      <c r="A282">
        <v>1281</v>
      </c>
      <c r="B282" s="1">
        <v>46036</v>
      </c>
      <c r="C282" t="s">
        <v>138</v>
      </c>
      <c r="D282" t="s">
        <v>74</v>
      </c>
      <c r="E282" t="s">
        <v>144</v>
      </c>
      <c r="F282" s="2" t="str">
        <f t="shared" si="8"/>
        <v>2026-01</v>
      </c>
      <c r="G282" s="2" t="str">
        <f t="shared" si="9"/>
        <v>2026-w03</v>
      </c>
      <c r="H282" s="1"/>
    </row>
    <row r="283" spans="1:8">
      <c r="A283">
        <v>1282</v>
      </c>
      <c r="B283" s="1">
        <v>46136</v>
      </c>
      <c r="C283" t="s">
        <v>140</v>
      </c>
      <c r="D283" t="s">
        <v>76</v>
      </c>
      <c r="E283" t="s">
        <v>141</v>
      </c>
      <c r="F283" s="2" t="str">
        <f t="shared" si="8"/>
        <v>2026-04</v>
      </c>
      <c r="G283" s="2" t="str">
        <f t="shared" si="9"/>
        <v>2026-w17</v>
      </c>
      <c r="H283" s="1"/>
    </row>
    <row r="284" spans="1:8">
      <c r="A284">
        <v>1283</v>
      </c>
      <c r="B284" s="1">
        <v>46072</v>
      </c>
      <c r="C284" t="s">
        <v>145</v>
      </c>
      <c r="D284" t="s">
        <v>72</v>
      </c>
      <c r="E284" t="s">
        <v>141</v>
      </c>
      <c r="F284" s="2" t="str">
        <f t="shared" si="8"/>
        <v>2026-02</v>
      </c>
      <c r="G284" s="2" t="str">
        <f t="shared" si="9"/>
        <v>2026-w08</v>
      </c>
      <c r="H284" s="1"/>
    </row>
    <row r="285" spans="1:8">
      <c r="A285">
        <v>1284</v>
      </c>
      <c r="B285" s="1">
        <v>46102</v>
      </c>
      <c r="C285" t="s">
        <v>142</v>
      </c>
      <c r="D285" t="s">
        <v>76</v>
      </c>
      <c r="E285" t="s">
        <v>141</v>
      </c>
      <c r="F285" s="2" t="str">
        <f t="shared" si="8"/>
        <v>2026-03</v>
      </c>
      <c r="G285" s="2" t="str">
        <f t="shared" si="9"/>
        <v>2026-w12</v>
      </c>
      <c r="H285" s="1"/>
    </row>
    <row r="286" spans="1:8">
      <c r="A286">
        <v>1285</v>
      </c>
      <c r="B286" s="1">
        <v>46107</v>
      </c>
      <c r="C286" t="s">
        <v>146</v>
      </c>
      <c r="D286" t="s">
        <v>74</v>
      </c>
      <c r="E286" t="s">
        <v>139</v>
      </c>
      <c r="F286" s="2" t="str">
        <f t="shared" si="8"/>
        <v>2026-03</v>
      </c>
      <c r="G286" s="2" t="str">
        <f t="shared" si="9"/>
        <v>2026-w13</v>
      </c>
      <c r="H286" s="1"/>
    </row>
    <row r="287" spans="1:8">
      <c r="A287">
        <v>1286</v>
      </c>
      <c r="B287" s="1">
        <v>46125</v>
      </c>
      <c r="C287" t="s">
        <v>142</v>
      </c>
      <c r="D287" t="s">
        <v>74</v>
      </c>
      <c r="E287" t="s">
        <v>139</v>
      </c>
      <c r="F287" s="2" t="str">
        <f t="shared" si="8"/>
        <v>2026-04</v>
      </c>
      <c r="G287" s="2" t="str">
        <f t="shared" si="9"/>
        <v>2026-w16</v>
      </c>
      <c r="H287" s="1"/>
    </row>
    <row r="288" spans="1:8">
      <c r="A288">
        <v>1287</v>
      </c>
      <c r="B288" s="1">
        <v>46073</v>
      </c>
      <c r="C288" t="s">
        <v>138</v>
      </c>
      <c r="D288" t="s">
        <v>76</v>
      </c>
      <c r="E288" t="s">
        <v>139</v>
      </c>
      <c r="F288" s="2" t="str">
        <f t="shared" si="8"/>
        <v>2026-02</v>
      </c>
      <c r="G288" s="2" t="str">
        <f t="shared" si="9"/>
        <v>2026-w08</v>
      </c>
      <c r="H288" s="1"/>
    </row>
    <row r="289" spans="1:8">
      <c r="A289">
        <v>1288</v>
      </c>
      <c r="B289" s="1">
        <v>46101</v>
      </c>
      <c r="C289" t="s">
        <v>142</v>
      </c>
      <c r="D289" t="s">
        <v>72</v>
      </c>
      <c r="E289" t="s">
        <v>143</v>
      </c>
      <c r="F289" s="2" t="str">
        <f t="shared" si="8"/>
        <v>2026-03</v>
      </c>
      <c r="G289" s="2" t="str">
        <f t="shared" si="9"/>
        <v>2026-w12</v>
      </c>
      <c r="H289" s="1"/>
    </row>
    <row r="290" spans="1:8">
      <c r="A290">
        <v>1289</v>
      </c>
      <c r="B290" s="1">
        <v>46098</v>
      </c>
      <c r="C290" t="s">
        <v>138</v>
      </c>
      <c r="D290" t="s">
        <v>76</v>
      </c>
      <c r="E290" t="s">
        <v>139</v>
      </c>
      <c r="F290" s="2" t="str">
        <f t="shared" si="8"/>
        <v>2026-03</v>
      </c>
      <c r="G290" s="2" t="str">
        <f t="shared" si="9"/>
        <v>2026-w12</v>
      </c>
      <c r="H290" s="1"/>
    </row>
    <row r="291" spans="1:8">
      <c r="A291">
        <v>1290</v>
      </c>
      <c r="B291" s="1">
        <v>46153</v>
      </c>
      <c r="C291" t="s">
        <v>140</v>
      </c>
      <c r="D291" t="s">
        <v>72</v>
      </c>
      <c r="E291" t="s">
        <v>143</v>
      </c>
      <c r="F291" s="2" t="str">
        <f t="shared" si="8"/>
        <v>2026-05</v>
      </c>
      <c r="G291" s="2" t="str">
        <f t="shared" si="9"/>
        <v>2026-w20</v>
      </c>
      <c r="H291" s="1"/>
    </row>
    <row r="292" spans="1:8">
      <c r="A292">
        <v>1291</v>
      </c>
      <c r="B292" s="1">
        <v>46119</v>
      </c>
      <c r="C292" t="s">
        <v>142</v>
      </c>
      <c r="D292" t="s">
        <v>72</v>
      </c>
      <c r="E292" t="s">
        <v>141</v>
      </c>
      <c r="F292" s="2" t="str">
        <f t="shared" si="8"/>
        <v>2026-04</v>
      </c>
      <c r="G292" s="2" t="str">
        <f t="shared" si="9"/>
        <v>2026-w15</v>
      </c>
      <c r="H292" s="1"/>
    </row>
    <row r="293" spans="1:8">
      <c r="A293">
        <v>1292</v>
      </c>
      <c r="B293" s="1">
        <v>46120</v>
      </c>
      <c r="C293" t="s">
        <v>146</v>
      </c>
      <c r="D293" t="s">
        <v>72</v>
      </c>
      <c r="E293" t="s">
        <v>141</v>
      </c>
      <c r="F293" s="2" t="str">
        <f t="shared" si="8"/>
        <v>2026-04</v>
      </c>
      <c r="G293" s="2" t="str">
        <f t="shared" si="9"/>
        <v>2026-w15</v>
      </c>
      <c r="H293" s="1"/>
    </row>
    <row r="294" spans="1:8">
      <c r="A294">
        <v>1293</v>
      </c>
      <c r="B294" s="1">
        <v>46087</v>
      </c>
      <c r="C294" t="s">
        <v>145</v>
      </c>
      <c r="D294" t="s">
        <v>72</v>
      </c>
      <c r="E294" t="s">
        <v>144</v>
      </c>
      <c r="F294" s="2" t="str">
        <f t="shared" si="8"/>
        <v>2026-03</v>
      </c>
      <c r="G294" s="2" t="str">
        <f t="shared" si="9"/>
        <v>2026-w10</v>
      </c>
      <c r="H294" s="1"/>
    </row>
    <row r="295" spans="1:8">
      <c r="A295">
        <v>1294</v>
      </c>
      <c r="B295" s="1">
        <v>46061</v>
      </c>
      <c r="C295" t="s">
        <v>138</v>
      </c>
      <c r="D295" t="s">
        <v>72</v>
      </c>
      <c r="E295" t="s">
        <v>143</v>
      </c>
      <c r="F295" s="2" t="str">
        <f t="shared" si="8"/>
        <v>2026-02</v>
      </c>
      <c r="G295" s="2" t="str">
        <f t="shared" si="9"/>
        <v>2026-w07</v>
      </c>
      <c r="H295" s="1"/>
    </row>
    <row r="296" spans="1:8">
      <c r="A296">
        <v>1295</v>
      </c>
      <c r="B296" s="1">
        <v>46058</v>
      </c>
      <c r="C296" t="s">
        <v>142</v>
      </c>
      <c r="D296" t="s">
        <v>72</v>
      </c>
      <c r="E296" t="s">
        <v>141</v>
      </c>
      <c r="F296" s="2" t="str">
        <f t="shared" si="8"/>
        <v>2026-02</v>
      </c>
      <c r="G296" s="2" t="str">
        <f t="shared" si="9"/>
        <v>2026-w06</v>
      </c>
      <c r="H296" s="1"/>
    </row>
    <row r="297" spans="1:8">
      <c r="A297">
        <v>1296</v>
      </c>
      <c r="B297" s="1">
        <v>46028</v>
      </c>
      <c r="C297" t="s">
        <v>138</v>
      </c>
      <c r="D297" t="s">
        <v>74</v>
      </c>
      <c r="E297" t="s">
        <v>141</v>
      </c>
      <c r="F297" s="2" t="str">
        <f t="shared" si="8"/>
        <v>2026-01</v>
      </c>
      <c r="G297" s="2" t="str">
        <f t="shared" si="9"/>
        <v>2026-w02</v>
      </c>
      <c r="H297" s="1"/>
    </row>
    <row r="298" spans="1:8">
      <c r="A298">
        <v>1297</v>
      </c>
      <c r="B298" s="1">
        <v>46049</v>
      </c>
      <c r="C298" t="s">
        <v>138</v>
      </c>
      <c r="D298" t="s">
        <v>74</v>
      </c>
      <c r="E298" t="s">
        <v>139</v>
      </c>
      <c r="F298" s="2" t="str">
        <f t="shared" si="8"/>
        <v>2026-01</v>
      </c>
      <c r="G298" s="2" t="str">
        <f t="shared" si="9"/>
        <v>2026-w05</v>
      </c>
      <c r="H298" s="1"/>
    </row>
    <row r="299" spans="1:8">
      <c r="A299">
        <v>1298</v>
      </c>
      <c r="B299" s="1">
        <v>46117</v>
      </c>
      <c r="C299" t="s">
        <v>138</v>
      </c>
      <c r="D299" t="s">
        <v>74</v>
      </c>
      <c r="E299" t="s">
        <v>141</v>
      </c>
      <c r="F299" s="2" t="str">
        <f t="shared" si="8"/>
        <v>2026-04</v>
      </c>
      <c r="G299" s="2" t="str">
        <f t="shared" si="9"/>
        <v>2026-w15</v>
      </c>
      <c r="H299" s="1"/>
    </row>
    <row r="300" spans="1:8">
      <c r="A300">
        <v>1299</v>
      </c>
      <c r="B300" s="1">
        <v>46140</v>
      </c>
      <c r="C300" t="s">
        <v>140</v>
      </c>
      <c r="D300" t="s">
        <v>72</v>
      </c>
      <c r="E300" t="s">
        <v>144</v>
      </c>
      <c r="F300" s="2" t="str">
        <f t="shared" si="8"/>
        <v>2026-04</v>
      </c>
      <c r="G300" s="2" t="str">
        <f t="shared" si="9"/>
        <v>2026-w18</v>
      </c>
      <c r="H300" s="1"/>
    </row>
    <row r="301" spans="1:8">
      <c r="A301">
        <v>1300</v>
      </c>
      <c r="B301" s="1">
        <v>46033</v>
      </c>
      <c r="C301" t="s">
        <v>142</v>
      </c>
      <c r="D301" t="s">
        <v>74</v>
      </c>
      <c r="E301" t="s">
        <v>139</v>
      </c>
      <c r="F301" s="2" t="str">
        <f t="shared" si="8"/>
        <v>2026-01</v>
      </c>
      <c r="G301" s="2" t="str">
        <f t="shared" si="9"/>
        <v>2026-w03</v>
      </c>
      <c r="H301" s="1"/>
    </row>
    <row r="302" spans="1:8">
      <c r="A302">
        <v>1301</v>
      </c>
      <c r="B302" s="1">
        <v>46128</v>
      </c>
      <c r="C302" t="s">
        <v>142</v>
      </c>
      <c r="D302" t="s">
        <v>74</v>
      </c>
      <c r="E302" t="s">
        <v>141</v>
      </c>
      <c r="F302" s="2" t="str">
        <f t="shared" si="8"/>
        <v>2026-04</v>
      </c>
      <c r="G302" s="2" t="str">
        <f t="shared" si="9"/>
        <v>2026-w16</v>
      </c>
      <c r="H302" s="1"/>
    </row>
    <row r="303" spans="1:8">
      <c r="A303">
        <v>1302</v>
      </c>
      <c r="B303" s="1">
        <v>46110</v>
      </c>
      <c r="C303" t="s">
        <v>138</v>
      </c>
      <c r="D303" t="s">
        <v>78</v>
      </c>
      <c r="E303" t="s">
        <v>139</v>
      </c>
      <c r="F303" s="2" t="str">
        <f t="shared" si="8"/>
        <v>2026-03</v>
      </c>
      <c r="G303" s="2" t="str">
        <f t="shared" si="9"/>
        <v>2026-w14</v>
      </c>
      <c r="H303" s="1"/>
    </row>
    <row r="304" spans="1:8">
      <c r="A304">
        <v>1303</v>
      </c>
      <c r="B304" s="1">
        <v>46042</v>
      </c>
      <c r="C304" t="s">
        <v>145</v>
      </c>
      <c r="D304" t="s">
        <v>74</v>
      </c>
      <c r="E304" t="s">
        <v>139</v>
      </c>
      <c r="F304" s="2" t="str">
        <f t="shared" si="8"/>
        <v>2026-01</v>
      </c>
      <c r="G304" s="2" t="str">
        <f t="shared" si="9"/>
        <v>2026-w04</v>
      </c>
      <c r="H304" s="1"/>
    </row>
    <row r="305" spans="1:8">
      <c r="A305">
        <v>1304</v>
      </c>
      <c r="B305" s="1">
        <v>46084</v>
      </c>
      <c r="C305" t="s">
        <v>140</v>
      </c>
      <c r="D305" t="s">
        <v>74</v>
      </c>
      <c r="E305" t="s">
        <v>139</v>
      </c>
      <c r="F305" s="2" t="str">
        <f t="shared" si="8"/>
        <v>2026-03</v>
      </c>
      <c r="G305" s="2" t="str">
        <f t="shared" si="9"/>
        <v>2026-w10</v>
      </c>
      <c r="H305" s="1"/>
    </row>
    <row r="306" spans="1:8">
      <c r="A306">
        <v>1305</v>
      </c>
      <c r="B306" s="1">
        <v>46114</v>
      </c>
      <c r="C306" t="s">
        <v>140</v>
      </c>
      <c r="D306" t="s">
        <v>72</v>
      </c>
      <c r="E306" t="s">
        <v>144</v>
      </c>
      <c r="F306" s="2" t="str">
        <f t="shared" si="8"/>
        <v>2026-04</v>
      </c>
      <c r="G306" s="2" t="str">
        <f t="shared" si="9"/>
        <v>2026-w14</v>
      </c>
      <c r="H306" s="1"/>
    </row>
    <row r="307" spans="1:8">
      <c r="A307">
        <v>1306</v>
      </c>
      <c r="B307" s="1">
        <v>46049</v>
      </c>
      <c r="C307" t="s">
        <v>140</v>
      </c>
      <c r="D307" t="s">
        <v>74</v>
      </c>
      <c r="E307" t="s">
        <v>139</v>
      </c>
      <c r="F307" s="2" t="str">
        <f t="shared" si="8"/>
        <v>2026-01</v>
      </c>
      <c r="G307" s="2" t="str">
        <f t="shared" si="9"/>
        <v>2026-w05</v>
      </c>
      <c r="H307" s="1"/>
    </row>
    <row r="308" spans="1:8">
      <c r="A308">
        <v>1307</v>
      </c>
      <c r="B308" s="1">
        <v>46153</v>
      </c>
      <c r="C308" t="s">
        <v>138</v>
      </c>
      <c r="D308" t="s">
        <v>72</v>
      </c>
      <c r="E308" t="s">
        <v>139</v>
      </c>
      <c r="F308" s="2" t="str">
        <f t="shared" si="8"/>
        <v>2026-05</v>
      </c>
      <c r="G308" s="2" t="str">
        <f t="shared" si="9"/>
        <v>2026-w20</v>
      </c>
      <c r="H308" s="1"/>
    </row>
    <row r="309" spans="1:8">
      <c r="A309">
        <v>1308</v>
      </c>
      <c r="B309" s="1">
        <v>46150</v>
      </c>
      <c r="C309" t="s">
        <v>138</v>
      </c>
      <c r="D309" t="s">
        <v>72</v>
      </c>
      <c r="E309" t="s">
        <v>144</v>
      </c>
      <c r="F309" s="2" t="str">
        <f t="shared" si="8"/>
        <v>2026-05</v>
      </c>
      <c r="G309" s="2" t="str">
        <f t="shared" si="9"/>
        <v>2026-w19</v>
      </c>
      <c r="H309" s="1"/>
    </row>
    <row r="310" spans="1:8">
      <c r="A310">
        <v>1309</v>
      </c>
      <c r="B310" s="1">
        <v>46075</v>
      </c>
      <c r="C310" t="s">
        <v>145</v>
      </c>
      <c r="D310" t="s">
        <v>74</v>
      </c>
      <c r="E310" t="s">
        <v>141</v>
      </c>
      <c r="F310" s="2" t="str">
        <f t="shared" si="8"/>
        <v>2026-02</v>
      </c>
      <c r="G310" s="2" t="str">
        <f t="shared" si="9"/>
        <v>2026-w09</v>
      </c>
      <c r="H310" s="1"/>
    </row>
    <row r="311" spans="1:8">
      <c r="A311">
        <v>1310</v>
      </c>
      <c r="B311" s="1">
        <v>46067</v>
      </c>
      <c r="C311" t="s">
        <v>138</v>
      </c>
      <c r="D311" t="s">
        <v>74</v>
      </c>
      <c r="E311" t="s">
        <v>141</v>
      </c>
      <c r="F311" s="2" t="str">
        <f t="shared" si="8"/>
        <v>2026-02</v>
      </c>
      <c r="G311" s="2" t="str">
        <f t="shared" si="9"/>
        <v>2026-w07</v>
      </c>
      <c r="H311" s="1"/>
    </row>
    <row r="312" spans="1:8">
      <c r="A312">
        <v>1311</v>
      </c>
      <c r="B312" s="1">
        <v>46146</v>
      </c>
      <c r="C312" t="s">
        <v>146</v>
      </c>
      <c r="D312" t="s">
        <v>76</v>
      </c>
      <c r="E312" t="s">
        <v>141</v>
      </c>
      <c r="F312" s="2" t="str">
        <f t="shared" si="8"/>
        <v>2026-05</v>
      </c>
      <c r="G312" s="2" t="str">
        <f t="shared" si="9"/>
        <v>2026-w19</v>
      </c>
      <c r="H312" s="1"/>
    </row>
    <row r="313" spans="1:8">
      <c r="A313">
        <v>1312</v>
      </c>
      <c r="B313" s="1">
        <v>46108</v>
      </c>
      <c r="C313" t="s">
        <v>146</v>
      </c>
      <c r="D313" t="s">
        <v>72</v>
      </c>
      <c r="E313" t="s">
        <v>139</v>
      </c>
      <c r="F313" s="2" t="str">
        <f t="shared" si="8"/>
        <v>2026-03</v>
      </c>
      <c r="G313" s="2" t="str">
        <f t="shared" si="9"/>
        <v>2026-w13</v>
      </c>
      <c r="H313" s="1"/>
    </row>
    <row r="314" spans="1:8">
      <c r="A314">
        <v>1313</v>
      </c>
      <c r="B314" s="1">
        <v>46054</v>
      </c>
      <c r="C314" t="s">
        <v>138</v>
      </c>
      <c r="D314" t="s">
        <v>74</v>
      </c>
      <c r="E314" t="s">
        <v>143</v>
      </c>
      <c r="F314" s="2" t="str">
        <f t="shared" si="8"/>
        <v>2026-02</v>
      </c>
      <c r="G314" s="2" t="str">
        <f t="shared" si="9"/>
        <v>2026-w06</v>
      </c>
      <c r="H314" s="1"/>
    </row>
    <row r="315" spans="1:8">
      <c r="A315">
        <v>1314</v>
      </c>
      <c r="B315" s="1">
        <v>46115</v>
      </c>
      <c r="C315" t="s">
        <v>145</v>
      </c>
      <c r="D315" t="s">
        <v>72</v>
      </c>
      <c r="E315" t="s">
        <v>139</v>
      </c>
      <c r="F315" s="2" t="str">
        <f t="shared" si="8"/>
        <v>2026-04</v>
      </c>
      <c r="G315" s="2" t="str">
        <f t="shared" si="9"/>
        <v>2026-w14</v>
      </c>
      <c r="H315" s="1"/>
    </row>
    <row r="316" spans="1:8">
      <c r="A316">
        <v>1315</v>
      </c>
      <c r="B316" s="1">
        <v>46046</v>
      </c>
      <c r="C316" t="s">
        <v>146</v>
      </c>
      <c r="D316" t="s">
        <v>72</v>
      </c>
      <c r="E316" t="s">
        <v>139</v>
      </c>
      <c r="F316" s="2" t="str">
        <f t="shared" si="8"/>
        <v>2026-01</v>
      </c>
      <c r="G316" s="2" t="str">
        <f t="shared" si="9"/>
        <v>2026-w04</v>
      </c>
      <c r="H316" s="1"/>
    </row>
    <row r="317" spans="1:8">
      <c r="A317">
        <v>1316</v>
      </c>
      <c r="B317" s="1">
        <v>46040</v>
      </c>
      <c r="C317" t="s">
        <v>140</v>
      </c>
      <c r="D317" t="s">
        <v>78</v>
      </c>
      <c r="E317" t="s">
        <v>139</v>
      </c>
      <c r="F317" s="2" t="str">
        <f t="shared" si="8"/>
        <v>2026-01</v>
      </c>
      <c r="G317" s="2" t="str">
        <f t="shared" si="9"/>
        <v>2026-w04</v>
      </c>
      <c r="H317" s="1"/>
    </row>
    <row r="318" spans="1:8">
      <c r="A318">
        <v>1317</v>
      </c>
      <c r="B318" s="1">
        <v>46098</v>
      </c>
      <c r="C318" t="s">
        <v>140</v>
      </c>
      <c r="D318" t="s">
        <v>78</v>
      </c>
      <c r="E318" t="s">
        <v>141</v>
      </c>
      <c r="F318" s="2" t="str">
        <f t="shared" si="8"/>
        <v>2026-03</v>
      </c>
      <c r="G318" s="2" t="str">
        <f t="shared" si="9"/>
        <v>2026-w12</v>
      </c>
      <c r="H318" s="1"/>
    </row>
    <row r="319" spans="1:8">
      <c r="A319">
        <v>1318</v>
      </c>
      <c r="B319" s="1">
        <v>46091</v>
      </c>
      <c r="C319" t="s">
        <v>142</v>
      </c>
      <c r="D319" t="s">
        <v>78</v>
      </c>
      <c r="E319" t="s">
        <v>143</v>
      </c>
      <c r="F319" s="2" t="str">
        <f t="shared" si="8"/>
        <v>2026-03</v>
      </c>
      <c r="G319" s="2" t="str">
        <f t="shared" si="9"/>
        <v>2026-w11</v>
      </c>
      <c r="H319" s="1"/>
    </row>
    <row r="320" spans="1:8">
      <c r="A320">
        <v>1319</v>
      </c>
      <c r="B320" s="1">
        <v>46138</v>
      </c>
      <c r="C320" t="s">
        <v>145</v>
      </c>
      <c r="D320" t="s">
        <v>72</v>
      </c>
      <c r="E320" t="s">
        <v>141</v>
      </c>
      <c r="F320" s="2" t="str">
        <f t="shared" si="8"/>
        <v>2026-04</v>
      </c>
      <c r="G320" s="2" t="str">
        <f t="shared" si="9"/>
        <v>2026-w18</v>
      </c>
      <c r="H320" s="1"/>
    </row>
    <row r="321" spans="1:8">
      <c r="A321">
        <v>1320</v>
      </c>
      <c r="B321" s="1">
        <v>46152</v>
      </c>
      <c r="C321" t="s">
        <v>146</v>
      </c>
      <c r="D321" t="s">
        <v>72</v>
      </c>
      <c r="E321" t="s">
        <v>141</v>
      </c>
      <c r="F321" s="2" t="str">
        <f t="shared" si="8"/>
        <v>2026-05</v>
      </c>
      <c r="G321" s="2" t="str">
        <f t="shared" si="9"/>
        <v>2026-w20</v>
      </c>
      <c r="H321" s="1"/>
    </row>
    <row r="322" spans="1:8">
      <c r="A322">
        <v>1321</v>
      </c>
      <c r="B322" s="1">
        <v>46134</v>
      </c>
      <c r="C322" t="s">
        <v>138</v>
      </c>
      <c r="D322" t="s">
        <v>74</v>
      </c>
      <c r="E322" t="s">
        <v>139</v>
      </c>
      <c r="F322" s="2" t="str">
        <f t="shared" si="8"/>
        <v>2026-04</v>
      </c>
      <c r="G322" s="2" t="str">
        <f t="shared" si="9"/>
        <v>2026-w17</v>
      </c>
      <c r="H322" s="1"/>
    </row>
    <row r="323" spans="1:8">
      <c r="A323">
        <v>1322</v>
      </c>
      <c r="B323" s="1">
        <v>46134</v>
      </c>
      <c r="C323" t="s">
        <v>142</v>
      </c>
      <c r="D323" t="s">
        <v>72</v>
      </c>
      <c r="E323" t="s">
        <v>139</v>
      </c>
      <c r="F323" s="2" t="str">
        <f t="shared" ref="F323:F386" si="10">TEXT(B323,"yyyy-mm")</f>
        <v>2026-04</v>
      </c>
      <c r="G323" s="2" t="str">
        <f t="shared" ref="G323:G386" si="11">YEAR(B323)&amp;"-w"&amp;TEXT(WEEKNUM(B323),"00")</f>
        <v>2026-w17</v>
      </c>
      <c r="H323" s="1"/>
    </row>
    <row r="324" spans="1:8">
      <c r="A324">
        <v>1323</v>
      </c>
      <c r="B324" s="1">
        <v>46023</v>
      </c>
      <c r="C324" t="s">
        <v>140</v>
      </c>
      <c r="D324" t="s">
        <v>74</v>
      </c>
      <c r="E324" t="s">
        <v>144</v>
      </c>
      <c r="F324" s="2" t="str">
        <f t="shared" si="10"/>
        <v>2026-01</v>
      </c>
      <c r="G324" s="2" t="str">
        <f t="shared" si="11"/>
        <v>2026-w01</v>
      </c>
      <c r="H324" s="1"/>
    </row>
    <row r="325" spans="1:8">
      <c r="A325">
        <v>1324</v>
      </c>
      <c r="B325" s="1">
        <v>46140</v>
      </c>
      <c r="C325" t="s">
        <v>142</v>
      </c>
      <c r="D325" t="s">
        <v>72</v>
      </c>
      <c r="E325" t="s">
        <v>144</v>
      </c>
      <c r="F325" s="2" t="str">
        <f t="shared" si="10"/>
        <v>2026-04</v>
      </c>
      <c r="G325" s="2" t="str">
        <f t="shared" si="11"/>
        <v>2026-w18</v>
      </c>
      <c r="H325" s="1"/>
    </row>
    <row r="326" spans="1:8">
      <c r="A326">
        <v>1325</v>
      </c>
      <c r="B326" s="1">
        <v>46054</v>
      </c>
      <c r="C326" t="s">
        <v>140</v>
      </c>
      <c r="D326" t="s">
        <v>72</v>
      </c>
      <c r="E326" t="s">
        <v>144</v>
      </c>
      <c r="F326" s="2" t="str">
        <f t="shared" si="10"/>
        <v>2026-02</v>
      </c>
      <c r="G326" s="2" t="str">
        <f t="shared" si="11"/>
        <v>2026-w06</v>
      </c>
      <c r="H326" s="1"/>
    </row>
    <row r="327" spans="1:8">
      <c r="A327">
        <v>1326</v>
      </c>
      <c r="B327" s="1">
        <v>46123</v>
      </c>
      <c r="C327" t="s">
        <v>145</v>
      </c>
      <c r="D327" t="s">
        <v>78</v>
      </c>
      <c r="E327" t="s">
        <v>144</v>
      </c>
      <c r="F327" s="2" t="str">
        <f t="shared" si="10"/>
        <v>2026-04</v>
      </c>
      <c r="G327" s="2" t="str">
        <f t="shared" si="11"/>
        <v>2026-w15</v>
      </c>
      <c r="H327" s="1"/>
    </row>
    <row r="328" spans="1:8">
      <c r="A328">
        <v>1327</v>
      </c>
      <c r="B328" s="1">
        <v>46146</v>
      </c>
      <c r="C328" t="s">
        <v>138</v>
      </c>
      <c r="D328" t="s">
        <v>72</v>
      </c>
      <c r="E328" t="s">
        <v>144</v>
      </c>
      <c r="F328" s="2" t="str">
        <f t="shared" si="10"/>
        <v>2026-05</v>
      </c>
      <c r="G328" s="2" t="str">
        <f t="shared" si="11"/>
        <v>2026-w19</v>
      </c>
      <c r="H328" s="1"/>
    </row>
    <row r="329" spans="1:8">
      <c r="A329">
        <v>1328</v>
      </c>
      <c r="B329" s="1">
        <v>46066</v>
      </c>
      <c r="C329" t="s">
        <v>142</v>
      </c>
      <c r="D329" t="s">
        <v>74</v>
      </c>
      <c r="E329" t="s">
        <v>141</v>
      </c>
      <c r="F329" s="2" t="str">
        <f t="shared" si="10"/>
        <v>2026-02</v>
      </c>
      <c r="G329" s="2" t="str">
        <f t="shared" si="11"/>
        <v>2026-w07</v>
      </c>
      <c r="H329" s="1"/>
    </row>
    <row r="330" spans="1:8">
      <c r="A330">
        <v>1329</v>
      </c>
      <c r="B330" s="1">
        <v>46120</v>
      </c>
      <c r="C330" t="s">
        <v>145</v>
      </c>
      <c r="D330" t="s">
        <v>72</v>
      </c>
      <c r="E330" t="s">
        <v>144</v>
      </c>
      <c r="F330" s="2" t="str">
        <f t="shared" si="10"/>
        <v>2026-04</v>
      </c>
      <c r="G330" s="2" t="str">
        <f t="shared" si="11"/>
        <v>2026-w15</v>
      </c>
      <c r="H330" s="1"/>
    </row>
    <row r="331" spans="1:8">
      <c r="A331">
        <v>1330</v>
      </c>
      <c r="B331" s="1">
        <v>46055</v>
      </c>
      <c r="C331" t="s">
        <v>140</v>
      </c>
      <c r="D331" t="s">
        <v>76</v>
      </c>
      <c r="E331" t="s">
        <v>141</v>
      </c>
      <c r="F331" s="2" t="str">
        <f t="shared" si="10"/>
        <v>2026-02</v>
      </c>
      <c r="G331" s="2" t="str">
        <f t="shared" si="11"/>
        <v>2026-w06</v>
      </c>
      <c r="H331" s="1"/>
    </row>
    <row r="332" spans="1:8">
      <c r="A332">
        <v>1331</v>
      </c>
      <c r="B332" s="1">
        <v>46054</v>
      </c>
      <c r="C332" t="s">
        <v>140</v>
      </c>
      <c r="D332" t="s">
        <v>72</v>
      </c>
      <c r="E332" t="s">
        <v>141</v>
      </c>
      <c r="F332" s="2" t="str">
        <f t="shared" si="10"/>
        <v>2026-02</v>
      </c>
      <c r="G332" s="2" t="str">
        <f t="shared" si="11"/>
        <v>2026-w06</v>
      </c>
      <c r="H332" s="1"/>
    </row>
    <row r="333" spans="1:8">
      <c r="A333">
        <v>1332</v>
      </c>
      <c r="B333" s="1">
        <v>46098</v>
      </c>
      <c r="C333" t="s">
        <v>146</v>
      </c>
      <c r="D333" t="s">
        <v>74</v>
      </c>
      <c r="E333" t="s">
        <v>139</v>
      </c>
      <c r="F333" s="2" t="str">
        <f t="shared" si="10"/>
        <v>2026-03</v>
      </c>
      <c r="G333" s="2" t="str">
        <f t="shared" si="11"/>
        <v>2026-w12</v>
      </c>
      <c r="H333" s="1"/>
    </row>
    <row r="334" spans="1:8">
      <c r="A334">
        <v>1333</v>
      </c>
      <c r="B334" s="1">
        <v>46078</v>
      </c>
      <c r="C334" t="s">
        <v>142</v>
      </c>
      <c r="D334" t="s">
        <v>76</v>
      </c>
      <c r="E334" t="s">
        <v>141</v>
      </c>
      <c r="F334" s="2" t="str">
        <f t="shared" si="10"/>
        <v>2026-02</v>
      </c>
      <c r="G334" s="2" t="str">
        <f t="shared" si="11"/>
        <v>2026-w09</v>
      </c>
      <c r="H334" s="1"/>
    </row>
    <row r="335" spans="1:8">
      <c r="A335">
        <v>1334</v>
      </c>
      <c r="B335" s="1">
        <v>46072</v>
      </c>
      <c r="C335" t="s">
        <v>140</v>
      </c>
      <c r="D335" t="s">
        <v>76</v>
      </c>
      <c r="E335" t="s">
        <v>139</v>
      </c>
      <c r="F335" s="2" t="str">
        <f t="shared" si="10"/>
        <v>2026-02</v>
      </c>
      <c r="G335" s="2" t="str">
        <f t="shared" si="11"/>
        <v>2026-w08</v>
      </c>
      <c r="H335" s="1"/>
    </row>
    <row r="336" spans="1:8">
      <c r="A336">
        <v>1335</v>
      </c>
      <c r="B336" s="1">
        <v>46045</v>
      </c>
      <c r="C336" t="s">
        <v>142</v>
      </c>
      <c r="D336" t="s">
        <v>76</v>
      </c>
      <c r="E336" t="s">
        <v>144</v>
      </c>
      <c r="F336" s="2" t="str">
        <f t="shared" si="10"/>
        <v>2026-01</v>
      </c>
      <c r="G336" s="2" t="str">
        <f t="shared" si="11"/>
        <v>2026-w04</v>
      </c>
      <c r="H336" s="1"/>
    </row>
    <row r="337" spans="1:8">
      <c r="A337">
        <v>1336</v>
      </c>
      <c r="B337" s="1">
        <v>46092</v>
      </c>
      <c r="C337" t="s">
        <v>140</v>
      </c>
      <c r="D337" t="s">
        <v>74</v>
      </c>
      <c r="E337" t="s">
        <v>141</v>
      </c>
      <c r="F337" s="2" t="str">
        <f t="shared" si="10"/>
        <v>2026-03</v>
      </c>
      <c r="G337" s="2" t="str">
        <f t="shared" si="11"/>
        <v>2026-w11</v>
      </c>
      <c r="H337" s="1"/>
    </row>
    <row r="338" spans="1:8">
      <c r="A338">
        <v>1337</v>
      </c>
      <c r="B338" s="1">
        <v>46130</v>
      </c>
      <c r="C338" t="s">
        <v>138</v>
      </c>
      <c r="D338" t="s">
        <v>78</v>
      </c>
      <c r="E338" t="s">
        <v>139</v>
      </c>
      <c r="F338" s="2" t="str">
        <f t="shared" si="10"/>
        <v>2026-04</v>
      </c>
      <c r="G338" s="2" t="str">
        <f t="shared" si="11"/>
        <v>2026-w16</v>
      </c>
      <c r="H338" s="1"/>
    </row>
    <row r="339" spans="1:8">
      <c r="A339">
        <v>1338</v>
      </c>
      <c r="B339" s="1">
        <v>46153</v>
      </c>
      <c r="C339" t="s">
        <v>146</v>
      </c>
      <c r="D339" t="s">
        <v>72</v>
      </c>
      <c r="E339" t="s">
        <v>139</v>
      </c>
      <c r="F339" s="2" t="str">
        <f t="shared" si="10"/>
        <v>2026-05</v>
      </c>
      <c r="G339" s="2" t="str">
        <f t="shared" si="11"/>
        <v>2026-w20</v>
      </c>
      <c r="H339" s="1"/>
    </row>
    <row r="340" spans="1:8">
      <c r="A340">
        <v>1339</v>
      </c>
      <c r="B340" s="1">
        <v>46051</v>
      </c>
      <c r="C340" t="s">
        <v>138</v>
      </c>
      <c r="D340" t="s">
        <v>72</v>
      </c>
      <c r="E340" t="s">
        <v>144</v>
      </c>
      <c r="F340" s="2" t="str">
        <f t="shared" si="10"/>
        <v>2026-01</v>
      </c>
      <c r="G340" s="2" t="str">
        <f t="shared" si="11"/>
        <v>2026-w05</v>
      </c>
      <c r="H340" s="1"/>
    </row>
    <row r="341" spans="1:8">
      <c r="A341">
        <v>1340</v>
      </c>
      <c r="B341" s="1">
        <v>46123</v>
      </c>
      <c r="C341" t="s">
        <v>145</v>
      </c>
      <c r="D341" t="s">
        <v>76</v>
      </c>
      <c r="E341" t="s">
        <v>139</v>
      </c>
      <c r="F341" s="2" t="str">
        <f t="shared" si="10"/>
        <v>2026-04</v>
      </c>
      <c r="G341" s="2" t="str">
        <f t="shared" si="11"/>
        <v>2026-w15</v>
      </c>
      <c r="H341" s="1"/>
    </row>
    <row r="342" spans="1:8">
      <c r="A342">
        <v>1341</v>
      </c>
      <c r="B342" s="1">
        <v>46113</v>
      </c>
      <c r="C342" t="s">
        <v>146</v>
      </c>
      <c r="D342" t="s">
        <v>74</v>
      </c>
      <c r="E342" t="s">
        <v>141</v>
      </c>
      <c r="F342" s="2" t="str">
        <f t="shared" si="10"/>
        <v>2026-04</v>
      </c>
      <c r="G342" s="2" t="str">
        <f t="shared" si="11"/>
        <v>2026-w14</v>
      </c>
      <c r="H342" s="1"/>
    </row>
    <row r="343" spans="1:8">
      <c r="A343">
        <v>1342</v>
      </c>
      <c r="B343" s="1">
        <v>46113</v>
      </c>
      <c r="C343" t="s">
        <v>140</v>
      </c>
      <c r="D343" t="s">
        <v>78</v>
      </c>
      <c r="E343" t="s">
        <v>139</v>
      </c>
      <c r="F343" s="2" t="str">
        <f t="shared" si="10"/>
        <v>2026-04</v>
      </c>
      <c r="G343" s="2" t="str">
        <f t="shared" si="11"/>
        <v>2026-w14</v>
      </c>
      <c r="H343" s="1"/>
    </row>
    <row r="344" spans="1:8">
      <c r="A344">
        <v>1343</v>
      </c>
      <c r="B344" s="1">
        <v>46125</v>
      </c>
      <c r="C344" t="s">
        <v>145</v>
      </c>
      <c r="D344" t="s">
        <v>72</v>
      </c>
      <c r="E344" t="s">
        <v>141</v>
      </c>
      <c r="F344" s="2" t="str">
        <f t="shared" si="10"/>
        <v>2026-04</v>
      </c>
      <c r="G344" s="2" t="str">
        <f t="shared" si="11"/>
        <v>2026-w16</v>
      </c>
      <c r="H344" s="1"/>
    </row>
    <row r="345" spans="1:8">
      <c r="A345">
        <v>1344</v>
      </c>
      <c r="B345" s="1">
        <v>46094</v>
      </c>
      <c r="C345" t="s">
        <v>145</v>
      </c>
      <c r="D345" t="s">
        <v>76</v>
      </c>
      <c r="E345" t="s">
        <v>141</v>
      </c>
      <c r="F345" s="2" t="str">
        <f t="shared" si="10"/>
        <v>2026-03</v>
      </c>
      <c r="G345" s="2" t="str">
        <f t="shared" si="11"/>
        <v>2026-w11</v>
      </c>
      <c r="H345" s="1"/>
    </row>
    <row r="346" spans="1:8">
      <c r="A346">
        <v>1345</v>
      </c>
      <c r="B346" s="1">
        <v>46027</v>
      </c>
      <c r="C346" t="s">
        <v>140</v>
      </c>
      <c r="D346" t="s">
        <v>72</v>
      </c>
      <c r="E346" t="s">
        <v>141</v>
      </c>
      <c r="F346" s="2" t="str">
        <f t="shared" si="10"/>
        <v>2026-01</v>
      </c>
      <c r="G346" s="2" t="str">
        <f t="shared" si="11"/>
        <v>2026-w02</v>
      </c>
      <c r="H346" s="1"/>
    </row>
    <row r="347" spans="1:8">
      <c r="A347">
        <v>1346</v>
      </c>
      <c r="B347" s="1">
        <v>46051</v>
      </c>
      <c r="C347" t="s">
        <v>142</v>
      </c>
      <c r="D347" t="s">
        <v>76</v>
      </c>
      <c r="E347" t="s">
        <v>144</v>
      </c>
      <c r="F347" s="2" t="str">
        <f t="shared" si="10"/>
        <v>2026-01</v>
      </c>
      <c r="G347" s="2" t="str">
        <f t="shared" si="11"/>
        <v>2026-w05</v>
      </c>
      <c r="H347" s="1"/>
    </row>
    <row r="348" spans="1:8">
      <c r="A348">
        <v>1347</v>
      </c>
      <c r="B348" s="1">
        <v>46087</v>
      </c>
      <c r="C348" t="s">
        <v>142</v>
      </c>
      <c r="D348" t="s">
        <v>76</v>
      </c>
      <c r="E348" t="s">
        <v>143</v>
      </c>
      <c r="F348" s="2" t="str">
        <f t="shared" si="10"/>
        <v>2026-03</v>
      </c>
      <c r="G348" s="2" t="str">
        <f t="shared" si="11"/>
        <v>2026-w10</v>
      </c>
      <c r="H348" s="1"/>
    </row>
    <row r="349" spans="1:8">
      <c r="A349">
        <v>1348</v>
      </c>
      <c r="B349" s="1">
        <v>46071</v>
      </c>
      <c r="C349" t="s">
        <v>146</v>
      </c>
      <c r="D349" t="s">
        <v>72</v>
      </c>
      <c r="E349" t="s">
        <v>139</v>
      </c>
      <c r="F349" s="2" t="str">
        <f t="shared" si="10"/>
        <v>2026-02</v>
      </c>
      <c r="G349" s="2" t="str">
        <f t="shared" si="11"/>
        <v>2026-w08</v>
      </c>
      <c r="H349" s="1"/>
    </row>
    <row r="350" spans="1:8">
      <c r="A350">
        <v>1349</v>
      </c>
      <c r="B350" s="1">
        <v>46111</v>
      </c>
      <c r="C350" t="s">
        <v>145</v>
      </c>
      <c r="D350" t="s">
        <v>78</v>
      </c>
      <c r="E350" t="s">
        <v>144</v>
      </c>
      <c r="F350" s="2" t="str">
        <f t="shared" si="10"/>
        <v>2026-03</v>
      </c>
      <c r="G350" s="2" t="str">
        <f t="shared" si="11"/>
        <v>2026-w14</v>
      </c>
      <c r="H350" s="1"/>
    </row>
    <row r="351" spans="1:8">
      <c r="A351">
        <v>1350</v>
      </c>
      <c r="B351" s="1">
        <v>46149</v>
      </c>
      <c r="C351" t="s">
        <v>140</v>
      </c>
      <c r="D351" t="s">
        <v>74</v>
      </c>
      <c r="E351" t="s">
        <v>139</v>
      </c>
      <c r="F351" s="2" t="str">
        <f t="shared" si="10"/>
        <v>2026-05</v>
      </c>
      <c r="G351" s="2" t="str">
        <f t="shared" si="11"/>
        <v>2026-w19</v>
      </c>
      <c r="H351" s="1"/>
    </row>
    <row r="352" spans="1:8">
      <c r="A352">
        <v>1351</v>
      </c>
      <c r="B352" s="1">
        <v>46078</v>
      </c>
      <c r="C352" t="s">
        <v>140</v>
      </c>
      <c r="D352" t="s">
        <v>72</v>
      </c>
      <c r="E352" t="s">
        <v>141</v>
      </c>
      <c r="F352" s="2" t="str">
        <f t="shared" si="10"/>
        <v>2026-02</v>
      </c>
      <c r="G352" s="2" t="str">
        <f t="shared" si="11"/>
        <v>2026-w09</v>
      </c>
      <c r="H352" s="1"/>
    </row>
    <row r="353" spans="1:8">
      <c r="A353">
        <v>1352</v>
      </c>
      <c r="B353" s="1">
        <v>46111</v>
      </c>
      <c r="C353" t="s">
        <v>142</v>
      </c>
      <c r="D353" t="s">
        <v>74</v>
      </c>
      <c r="E353" t="s">
        <v>139</v>
      </c>
      <c r="F353" s="2" t="str">
        <f t="shared" si="10"/>
        <v>2026-03</v>
      </c>
      <c r="G353" s="2" t="str">
        <f t="shared" si="11"/>
        <v>2026-w14</v>
      </c>
      <c r="H353" s="1"/>
    </row>
    <row r="354" spans="1:8">
      <c r="A354">
        <v>1353</v>
      </c>
      <c r="B354" s="1">
        <v>46088</v>
      </c>
      <c r="C354" t="s">
        <v>140</v>
      </c>
      <c r="D354" t="s">
        <v>72</v>
      </c>
      <c r="E354" t="s">
        <v>139</v>
      </c>
      <c r="F354" s="2" t="str">
        <f t="shared" si="10"/>
        <v>2026-03</v>
      </c>
      <c r="G354" s="2" t="str">
        <f t="shared" si="11"/>
        <v>2026-w10</v>
      </c>
      <c r="H354" s="1"/>
    </row>
    <row r="355" spans="1:8">
      <c r="A355">
        <v>1354</v>
      </c>
      <c r="B355" s="1">
        <v>46068</v>
      </c>
      <c r="C355" t="s">
        <v>146</v>
      </c>
      <c r="D355" t="s">
        <v>74</v>
      </c>
      <c r="E355" t="s">
        <v>139</v>
      </c>
      <c r="F355" s="2" t="str">
        <f t="shared" si="10"/>
        <v>2026-02</v>
      </c>
      <c r="G355" s="2" t="str">
        <f t="shared" si="11"/>
        <v>2026-w08</v>
      </c>
      <c r="H355" s="1"/>
    </row>
    <row r="356" spans="1:8">
      <c r="A356">
        <v>1355</v>
      </c>
      <c r="B356" s="1">
        <v>46048</v>
      </c>
      <c r="C356" t="s">
        <v>140</v>
      </c>
      <c r="D356" t="s">
        <v>78</v>
      </c>
      <c r="E356" t="s">
        <v>143</v>
      </c>
      <c r="F356" s="2" t="str">
        <f t="shared" si="10"/>
        <v>2026-01</v>
      </c>
      <c r="G356" s="2" t="str">
        <f t="shared" si="11"/>
        <v>2026-w05</v>
      </c>
      <c r="H356" s="1"/>
    </row>
    <row r="357" spans="1:8">
      <c r="A357">
        <v>1356</v>
      </c>
      <c r="B357" s="1">
        <v>46074</v>
      </c>
      <c r="C357" t="s">
        <v>140</v>
      </c>
      <c r="D357" t="s">
        <v>78</v>
      </c>
      <c r="E357" t="s">
        <v>139</v>
      </c>
      <c r="F357" s="2" t="str">
        <f t="shared" si="10"/>
        <v>2026-02</v>
      </c>
      <c r="G357" s="2" t="str">
        <f t="shared" si="11"/>
        <v>2026-w08</v>
      </c>
      <c r="H357" s="1"/>
    </row>
    <row r="358" spans="1:8">
      <c r="A358">
        <v>1357</v>
      </c>
      <c r="B358" s="1">
        <v>46080</v>
      </c>
      <c r="C358" t="s">
        <v>145</v>
      </c>
      <c r="D358" t="s">
        <v>78</v>
      </c>
      <c r="E358" t="s">
        <v>139</v>
      </c>
      <c r="F358" s="2" t="str">
        <f t="shared" si="10"/>
        <v>2026-02</v>
      </c>
      <c r="G358" s="2" t="str">
        <f t="shared" si="11"/>
        <v>2026-w09</v>
      </c>
      <c r="H358" s="1"/>
    </row>
    <row r="359" spans="1:8">
      <c r="A359">
        <v>1358</v>
      </c>
      <c r="B359" s="1">
        <v>46061</v>
      </c>
      <c r="C359" t="s">
        <v>140</v>
      </c>
      <c r="D359" t="s">
        <v>78</v>
      </c>
      <c r="E359" t="s">
        <v>139</v>
      </c>
      <c r="F359" s="2" t="str">
        <f t="shared" si="10"/>
        <v>2026-02</v>
      </c>
      <c r="G359" s="2" t="str">
        <f t="shared" si="11"/>
        <v>2026-w07</v>
      </c>
      <c r="H359" s="1"/>
    </row>
    <row r="360" spans="1:8">
      <c r="A360">
        <v>1359</v>
      </c>
      <c r="B360" s="1">
        <v>46051</v>
      </c>
      <c r="C360" t="s">
        <v>145</v>
      </c>
      <c r="D360" t="s">
        <v>78</v>
      </c>
      <c r="E360" t="s">
        <v>141</v>
      </c>
      <c r="F360" s="2" t="str">
        <f t="shared" si="10"/>
        <v>2026-01</v>
      </c>
      <c r="G360" s="2" t="str">
        <f t="shared" si="11"/>
        <v>2026-w05</v>
      </c>
      <c r="H360" s="1"/>
    </row>
    <row r="361" spans="1:8">
      <c r="A361">
        <v>1360</v>
      </c>
      <c r="B361" s="1">
        <v>46150</v>
      </c>
      <c r="C361" t="s">
        <v>146</v>
      </c>
      <c r="D361" t="s">
        <v>74</v>
      </c>
      <c r="E361" t="s">
        <v>141</v>
      </c>
      <c r="F361" s="2" t="str">
        <f t="shared" si="10"/>
        <v>2026-05</v>
      </c>
      <c r="G361" s="2" t="str">
        <f t="shared" si="11"/>
        <v>2026-w19</v>
      </c>
      <c r="H361" s="1"/>
    </row>
    <row r="362" spans="1:8">
      <c r="A362">
        <v>1361</v>
      </c>
      <c r="B362" s="1">
        <v>46112</v>
      </c>
      <c r="C362" t="s">
        <v>142</v>
      </c>
      <c r="D362" t="s">
        <v>72</v>
      </c>
      <c r="E362" t="s">
        <v>144</v>
      </c>
      <c r="F362" s="2" t="str">
        <f t="shared" si="10"/>
        <v>2026-03</v>
      </c>
      <c r="G362" s="2" t="str">
        <f t="shared" si="11"/>
        <v>2026-w14</v>
      </c>
      <c r="H362" s="1"/>
    </row>
    <row r="363" spans="1:8">
      <c r="A363">
        <v>1362</v>
      </c>
      <c r="B363" s="1">
        <v>46063</v>
      </c>
      <c r="C363" t="s">
        <v>142</v>
      </c>
      <c r="D363" t="s">
        <v>72</v>
      </c>
      <c r="E363" t="s">
        <v>141</v>
      </c>
      <c r="F363" s="2" t="str">
        <f t="shared" si="10"/>
        <v>2026-02</v>
      </c>
      <c r="G363" s="2" t="str">
        <f t="shared" si="11"/>
        <v>2026-w07</v>
      </c>
      <c r="H363" s="1"/>
    </row>
    <row r="364" spans="1:8">
      <c r="A364">
        <v>1363</v>
      </c>
      <c r="B364" s="1">
        <v>46051</v>
      </c>
      <c r="C364" t="s">
        <v>145</v>
      </c>
      <c r="D364" t="s">
        <v>74</v>
      </c>
      <c r="E364" t="s">
        <v>139</v>
      </c>
      <c r="F364" s="2" t="str">
        <f t="shared" si="10"/>
        <v>2026-01</v>
      </c>
      <c r="G364" s="2" t="str">
        <f t="shared" si="11"/>
        <v>2026-w05</v>
      </c>
      <c r="H364" s="1"/>
    </row>
    <row r="365" spans="1:8">
      <c r="A365">
        <v>1364</v>
      </c>
      <c r="B365" s="1">
        <v>46131</v>
      </c>
      <c r="C365" t="s">
        <v>140</v>
      </c>
      <c r="D365" t="s">
        <v>76</v>
      </c>
      <c r="E365" t="s">
        <v>139</v>
      </c>
      <c r="F365" s="2" t="str">
        <f t="shared" si="10"/>
        <v>2026-04</v>
      </c>
      <c r="G365" s="2" t="str">
        <f t="shared" si="11"/>
        <v>2026-w17</v>
      </c>
      <c r="H365" s="1"/>
    </row>
    <row r="366" spans="1:8">
      <c r="A366">
        <v>1365</v>
      </c>
      <c r="B366" s="1">
        <v>46084</v>
      </c>
      <c r="C366" t="s">
        <v>140</v>
      </c>
      <c r="D366" t="s">
        <v>72</v>
      </c>
      <c r="E366" t="s">
        <v>144</v>
      </c>
      <c r="F366" s="2" t="str">
        <f t="shared" si="10"/>
        <v>2026-03</v>
      </c>
      <c r="G366" s="2" t="str">
        <f t="shared" si="11"/>
        <v>2026-w10</v>
      </c>
      <c r="H366" s="1"/>
    </row>
    <row r="367" spans="1:8">
      <c r="A367">
        <v>1366</v>
      </c>
      <c r="B367" s="1">
        <v>46146</v>
      </c>
      <c r="C367" t="s">
        <v>142</v>
      </c>
      <c r="D367" t="s">
        <v>74</v>
      </c>
      <c r="E367" t="s">
        <v>141</v>
      </c>
      <c r="F367" s="2" t="str">
        <f t="shared" si="10"/>
        <v>2026-05</v>
      </c>
      <c r="G367" s="2" t="str">
        <f t="shared" si="11"/>
        <v>2026-w19</v>
      </c>
      <c r="H367" s="1"/>
    </row>
    <row r="368" spans="1:8">
      <c r="A368">
        <v>1367</v>
      </c>
      <c r="B368" s="1">
        <v>46107</v>
      </c>
      <c r="C368" t="s">
        <v>140</v>
      </c>
      <c r="D368" t="s">
        <v>72</v>
      </c>
      <c r="E368" t="s">
        <v>143</v>
      </c>
      <c r="F368" s="2" t="str">
        <f t="shared" si="10"/>
        <v>2026-03</v>
      </c>
      <c r="G368" s="2" t="str">
        <f t="shared" si="11"/>
        <v>2026-w13</v>
      </c>
      <c r="H368" s="1"/>
    </row>
    <row r="369" spans="1:8">
      <c r="A369">
        <v>1368</v>
      </c>
      <c r="B369" s="1">
        <v>46082</v>
      </c>
      <c r="C369" t="s">
        <v>145</v>
      </c>
      <c r="D369" t="s">
        <v>72</v>
      </c>
      <c r="E369" t="s">
        <v>139</v>
      </c>
      <c r="F369" s="2" t="str">
        <f t="shared" si="10"/>
        <v>2026-03</v>
      </c>
      <c r="G369" s="2" t="str">
        <f t="shared" si="11"/>
        <v>2026-w10</v>
      </c>
      <c r="H369" s="1"/>
    </row>
    <row r="370" spans="1:8">
      <c r="A370">
        <v>1369</v>
      </c>
      <c r="B370" s="1">
        <v>46150</v>
      </c>
      <c r="C370" t="s">
        <v>138</v>
      </c>
      <c r="D370" t="s">
        <v>74</v>
      </c>
      <c r="E370" t="s">
        <v>141</v>
      </c>
      <c r="F370" s="2" t="str">
        <f t="shared" si="10"/>
        <v>2026-05</v>
      </c>
      <c r="G370" s="2" t="str">
        <f t="shared" si="11"/>
        <v>2026-w19</v>
      </c>
      <c r="H370" s="1"/>
    </row>
    <row r="371" spans="1:8">
      <c r="A371">
        <v>1370</v>
      </c>
      <c r="B371" s="1">
        <v>46058</v>
      </c>
      <c r="C371" t="s">
        <v>146</v>
      </c>
      <c r="D371" t="s">
        <v>74</v>
      </c>
      <c r="E371" t="s">
        <v>141</v>
      </c>
      <c r="F371" s="2" t="str">
        <f t="shared" si="10"/>
        <v>2026-02</v>
      </c>
      <c r="G371" s="2" t="str">
        <f t="shared" si="11"/>
        <v>2026-w06</v>
      </c>
      <c r="H371" s="1"/>
    </row>
    <row r="372" spans="1:8">
      <c r="A372">
        <v>1371</v>
      </c>
      <c r="B372" s="1">
        <v>46152</v>
      </c>
      <c r="C372" t="s">
        <v>145</v>
      </c>
      <c r="D372" t="s">
        <v>76</v>
      </c>
      <c r="E372" t="s">
        <v>143</v>
      </c>
      <c r="F372" s="2" t="str">
        <f t="shared" si="10"/>
        <v>2026-05</v>
      </c>
      <c r="G372" s="2" t="str">
        <f t="shared" si="11"/>
        <v>2026-w20</v>
      </c>
      <c r="H372" s="1"/>
    </row>
    <row r="373" spans="1:8">
      <c r="A373">
        <v>1372</v>
      </c>
      <c r="B373" s="1">
        <v>46141</v>
      </c>
      <c r="C373" t="s">
        <v>142</v>
      </c>
      <c r="D373" t="s">
        <v>74</v>
      </c>
      <c r="E373" t="s">
        <v>139</v>
      </c>
      <c r="F373" s="2" t="str">
        <f t="shared" si="10"/>
        <v>2026-04</v>
      </c>
      <c r="G373" s="2" t="str">
        <f t="shared" si="11"/>
        <v>2026-w18</v>
      </c>
      <c r="H373" s="1"/>
    </row>
    <row r="374" spans="1:8">
      <c r="A374">
        <v>1373</v>
      </c>
      <c r="B374" s="1">
        <v>46104</v>
      </c>
      <c r="C374" t="s">
        <v>140</v>
      </c>
      <c r="D374" t="s">
        <v>74</v>
      </c>
      <c r="E374" t="s">
        <v>141</v>
      </c>
      <c r="F374" s="2" t="str">
        <f t="shared" si="10"/>
        <v>2026-03</v>
      </c>
      <c r="G374" s="2" t="str">
        <f t="shared" si="11"/>
        <v>2026-w13</v>
      </c>
      <c r="H374" s="1"/>
    </row>
    <row r="375" spans="1:8">
      <c r="A375">
        <v>1374</v>
      </c>
      <c r="B375" s="1">
        <v>46036</v>
      </c>
      <c r="C375" t="s">
        <v>142</v>
      </c>
      <c r="D375" t="s">
        <v>78</v>
      </c>
      <c r="E375" t="s">
        <v>141</v>
      </c>
      <c r="F375" s="2" t="str">
        <f t="shared" si="10"/>
        <v>2026-01</v>
      </c>
      <c r="G375" s="2" t="str">
        <f t="shared" si="11"/>
        <v>2026-w03</v>
      </c>
      <c r="H375" s="1"/>
    </row>
    <row r="376" spans="1:8">
      <c r="A376">
        <v>1375</v>
      </c>
      <c r="B376" s="1">
        <v>46104</v>
      </c>
      <c r="C376" t="s">
        <v>146</v>
      </c>
      <c r="D376" t="s">
        <v>72</v>
      </c>
      <c r="E376" t="s">
        <v>141</v>
      </c>
      <c r="F376" s="2" t="str">
        <f t="shared" si="10"/>
        <v>2026-03</v>
      </c>
      <c r="G376" s="2" t="str">
        <f t="shared" si="11"/>
        <v>2026-w13</v>
      </c>
      <c r="H376" s="1"/>
    </row>
    <row r="377" spans="1:8">
      <c r="A377">
        <v>1376</v>
      </c>
      <c r="B377" s="1">
        <v>46065</v>
      </c>
      <c r="C377" t="s">
        <v>138</v>
      </c>
      <c r="D377" t="s">
        <v>78</v>
      </c>
      <c r="E377" t="s">
        <v>141</v>
      </c>
      <c r="F377" s="2" t="str">
        <f t="shared" si="10"/>
        <v>2026-02</v>
      </c>
      <c r="G377" s="2" t="str">
        <f t="shared" si="11"/>
        <v>2026-w07</v>
      </c>
      <c r="H377" s="1"/>
    </row>
    <row r="378" spans="1:8">
      <c r="A378">
        <v>1377</v>
      </c>
      <c r="B378" s="1">
        <v>46068</v>
      </c>
      <c r="C378" t="s">
        <v>142</v>
      </c>
      <c r="D378" t="s">
        <v>78</v>
      </c>
      <c r="E378" t="s">
        <v>143</v>
      </c>
      <c r="F378" s="2" t="str">
        <f t="shared" si="10"/>
        <v>2026-02</v>
      </c>
      <c r="G378" s="2" t="str">
        <f t="shared" si="11"/>
        <v>2026-w08</v>
      </c>
      <c r="H378" s="1"/>
    </row>
    <row r="379" spans="1:8">
      <c r="A379">
        <v>1378</v>
      </c>
      <c r="B379" s="1">
        <v>46048</v>
      </c>
      <c r="C379" t="s">
        <v>140</v>
      </c>
      <c r="D379" t="s">
        <v>78</v>
      </c>
      <c r="E379" t="s">
        <v>139</v>
      </c>
      <c r="F379" s="2" t="str">
        <f t="shared" si="10"/>
        <v>2026-01</v>
      </c>
      <c r="G379" s="2" t="str">
        <f t="shared" si="11"/>
        <v>2026-w05</v>
      </c>
      <c r="H379" s="1"/>
    </row>
    <row r="380" spans="1:8">
      <c r="A380">
        <v>1379</v>
      </c>
      <c r="B380" s="1">
        <v>46128</v>
      </c>
      <c r="C380" t="s">
        <v>145</v>
      </c>
      <c r="D380" t="s">
        <v>72</v>
      </c>
      <c r="E380" t="s">
        <v>139</v>
      </c>
      <c r="F380" s="2" t="str">
        <f t="shared" si="10"/>
        <v>2026-04</v>
      </c>
      <c r="G380" s="2" t="str">
        <f t="shared" si="11"/>
        <v>2026-w16</v>
      </c>
      <c r="H380" s="1"/>
    </row>
    <row r="381" spans="1:8">
      <c r="A381">
        <v>1380</v>
      </c>
      <c r="B381" s="1">
        <v>46123</v>
      </c>
      <c r="C381" t="s">
        <v>145</v>
      </c>
      <c r="D381" t="s">
        <v>74</v>
      </c>
      <c r="E381" t="s">
        <v>139</v>
      </c>
      <c r="F381" s="2" t="str">
        <f t="shared" si="10"/>
        <v>2026-04</v>
      </c>
      <c r="G381" s="2" t="str">
        <f t="shared" si="11"/>
        <v>2026-w15</v>
      </c>
      <c r="H381" s="1"/>
    </row>
    <row r="382" spans="1:8">
      <c r="A382">
        <v>1381</v>
      </c>
      <c r="B382" s="1">
        <v>46134</v>
      </c>
      <c r="C382" t="s">
        <v>140</v>
      </c>
      <c r="D382" t="s">
        <v>72</v>
      </c>
      <c r="E382" t="s">
        <v>141</v>
      </c>
      <c r="F382" s="2" t="str">
        <f t="shared" si="10"/>
        <v>2026-04</v>
      </c>
      <c r="G382" s="2" t="str">
        <f t="shared" si="11"/>
        <v>2026-w17</v>
      </c>
      <c r="H382" s="1"/>
    </row>
    <row r="383" spans="1:8">
      <c r="A383">
        <v>1382</v>
      </c>
      <c r="B383" s="1">
        <v>46036</v>
      </c>
      <c r="C383" t="s">
        <v>138</v>
      </c>
      <c r="D383" t="s">
        <v>74</v>
      </c>
      <c r="E383" t="s">
        <v>144</v>
      </c>
      <c r="F383" s="2" t="str">
        <f t="shared" si="10"/>
        <v>2026-01</v>
      </c>
      <c r="G383" s="2" t="str">
        <f t="shared" si="11"/>
        <v>2026-w03</v>
      </c>
      <c r="H383" s="1"/>
    </row>
    <row r="384" spans="1:8">
      <c r="A384">
        <v>1383</v>
      </c>
      <c r="B384" s="1">
        <v>46048</v>
      </c>
      <c r="C384" t="s">
        <v>146</v>
      </c>
      <c r="D384" t="s">
        <v>74</v>
      </c>
      <c r="E384" t="s">
        <v>143</v>
      </c>
      <c r="F384" s="2" t="str">
        <f t="shared" si="10"/>
        <v>2026-01</v>
      </c>
      <c r="G384" s="2" t="str">
        <f t="shared" si="11"/>
        <v>2026-w05</v>
      </c>
      <c r="H384" s="1"/>
    </row>
    <row r="385" spans="1:8">
      <c r="A385">
        <v>1384</v>
      </c>
      <c r="B385" s="1">
        <v>46031</v>
      </c>
      <c r="C385" t="s">
        <v>142</v>
      </c>
      <c r="D385" t="s">
        <v>76</v>
      </c>
      <c r="E385" t="s">
        <v>141</v>
      </c>
      <c r="F385" s="2" t="str">
        <f t="shared" si="10"/>
        <v>2026-01</v>
      </c>
      <c r="G385" s="2" t="str">
        <f t="shared" si="11"/>
        <v>2026-w02</v>
      </c>
      <c r="H385" s="1"/>
    </row>
    <row r="386" spans="1:8">
      <c r="A386">
        <v>1385</v>
      </c>
      <c r="B386" s="1">
        <v>46098</v>
      </c>
      <c r="C386" t="s">
        <v>146</v>
      </c>
      <c r="D386" t="s">
        <v>72</v>
      </c>
      <c r="E386" t="s">
        <v>143</v>
      </c>
      <c r="F386" s="2" t="str">
        <f t="shared" si="10"/>
        <v>2026-03</v>
      </c>
      <c r="G386" s="2" t="str">
        <f t="shared" si="11"/>
        <v>2026-w12</v>
      </c>
      <c r="H386" s="1"/>
    </row>
    <row r="387" spans="1:8">
      <c r="A387">
        <v>1386</v>
      </c>
      <c r="B387" s="1">
        <v>46121</v>
      </c>
      <c r="C387" t="s">
        <v>140</v>
      </c>
      <c r="D387" t="s">
        <v>72</v>
      </c>
      <c r="E387" t="s">
        <v>143</v>
      </c>
      <c r="F387" s="2" t="str">
        <f t="shared" ref="F387:F450" si="12">TEXT(B387,"yyyy-mm")</f>
        <v>2026-04</v>
      </c>
      <c r="G387" s="2" t="str">
        <f t="shared" ref="G387:G450" si="13">YEAR(B387)&amp;"-w"&amp;TEXT(WEEKNUM(B387),"00")</f>
        <v>2026-w15</v>
      </c>
      <c r="H387" s="1"/>
    </row>
    <row r="388" spans="1:8">
      <c r="A388">
        <v>1387</v>
      </c>
      <c r="B388" s="1">
        <v>46118</v>
      </c>
      <c r="C388" t="s">
        <v>140</v>
      </c>
      <c r="D388" t="s">
        <v>76</v>
      </c>
      <c r="E388" t="s">
        <v>139</v>
      </c>
      <c r="F388" s="2" t="str">
        <f t="shared" si="12"/>
        <v>2026-04</v>
      </c>
      <c r="G388" s="2" t="str">
        <f t="shared" si="13"/>
        <v>2026-w15</v>
      </c>
      <c r="H388" s="1"/>
    </row>
    <row r="389" spans="1:8">
      <c r="A389">
        <v>1388</v>
      </c>
      <c r="B389" s="1">
        <v>46077</v>
      </c>
      <c r="C389" t="s">
        <v>140</v>
      </c>
      <c r="D389" t="s">
        <v>72</v>
      </c>
      <c r="E389" t="s">
        <v>141</v>
      </c>
      <c r="F389" s="2" t="str">
        <f t="shared" si="12"/>
        <v>2026-02</v>
      </c>
      <c r="G389" s="2" t="str">
        <f t="shared" si="13"/>
        <v>2026-w09</v>
      </c>
      <c r="H389" s="1"/>
    </row>
    <row r="390" spans="1:8">
      <c r="A390">
        <v>1389</v>
      </c>
      <c r="B390" s="1">
        <v>46028</v>
      </c>
      <c r="C390" t="s">
        <v>145</v>
      </c>
      <c r="D390" t="s">
        <v>74</v>
      </c>
      <c r="E390" t="s">
        <v>144</v>
      </c>
      <c r="F390" s="2" t="str">
        <f t="shared" si="12"/>
        <v>2026-01</v>
      </c>
      <c r="G390" s="2" t="str">
        <f t="shared" si="13"/>
        <v>2026-w02</v>
      </c>
      <c r="H390" s="1"/>
    </row>
    <row r="391" spans="1:8">
      <c r="A391">
        <v>1390</v>
      </c>
      <c r="B391" s="1">
        <v>46104</v>
      </c>
      <c r="C391" t="s">
        <v>140</v>
      </c>
      <c r="D391" t="s">
        <v>78</v>
      </c>
      <c r="E391" t="s">
        <v>144</v>
      </c>
      <c r="F391" s="2" t="str">
        <f t="shared" si="12"/>
        <v>2026-03</v>
      </c>
      <c r="G391" s="2" t="str">
        <f t="shared" si="13"/>
        <v>2026-w13</v>
      </c>
      <c r="H391" s="1"/>
    </row>
    <row r="392" spans="1:8">
      <c r="A392">
        <v>1391</v>
      </c>
      <c r="B392" s="1">
        <v>46024</v>
      </c>
      <c r="C392" t="s">
        <v>142</v>
      </c>
      <c r="D392" t="s">
        <v>74</v>
      </c>
      <c r="E392" t="s">
        <v>139</v>
      </c>
      <c r="F392" s="2" t="str">
        <f t="shared" si="12"/>
        <v>2026-01</v>
      </c>
      <c r="G392" s="2" t="str">
        <f t="shared" si="13"/>
        <v>2026-w01</v>
      </c>
      <c r="H392" s="1"/>
    </row>
    <row r="393" spans="1:8">
      <c r="A393">
        <v>1392</v>
      </c>
      <c r="B393" s="1">
        <v>46140</v>
      </c>
      <c r="C393" t="s">
        <v>142</v>
      </c>
      <c r="D393" t="s">
        <v>72</v>
      </c>
      <c r="E393" t="s">
        <v>141</v>
      </c>
      <c r="F393" s="2" t="str">
        <f t="shared" si="12"/>
        <v>2026-04</v>
      </c>
      <c r="G393" s="2" t="str">
        <f t="shared" si="13"/>
        <v>2026-w18</v>
      </c>
      <c r="H393" s="1"/>
    </row>
    <row r="394" spans="1:8">
      <c r="A394">
        <v>1393</v>
      </c>
      <c r="B394" s="1">
        <v>46085</v>
      </c>
      <c r="C394" t="s">
        <v>145</v>
      </c>
      <c r="D394" t="s">
        <v>72</v>
      </c>
      <c r="E394" t="s">
        <v>139</v>
      </c>
      <c r="F394" s="2" t="str">
        <f t="shared" si="12"/>
        <v>2026-03</v>
      </c>
      <c r="G394" s="2" t="str">
        <f t="shared" si="13"/>
        <v>2026-w10</v>
      </c>
      <c r="H394" s="1"/>
    </row>
    <row r="395" spans="1:8">
      <c r="A395">
        <v>1394</v>
      </c>
      <c r="B395" s="1">
        <v>46139</v>
      </c>
      <c r="C395" t="s">
        <v>140</v>
      </c>
      <c r="D395" t="s">
        <v>72</v>
      </c>
      <c r="E395" t="s">
        <v>139</v>
      </c>
      <c r="F395" s="2" t="str">
        <f t="shared" si="12"/>
        <v>2026-04</v>
      </c>
      <c r="G395" s="2" t="str">
        <f t="shared" si="13"/>
        <v>2026-w18</v>
      </c>
      <c r="H395" s="1"/>
    </row>
    <row r="396" spans="1:8">
      <c r="A396">
        <v>1395</v>
      </c>
      <c r="B396" s="1">
        <v>46065</v>
      </c>
      <c r="C396" t="s">
        <v>140</v>
      </c>
      <c r="D396" t="s">
        <v>76</v>
      </c>
      <c r="E396" t="s">
        <v>139</v>
      </c>
      <c r="F396" s="2" t="str">
        <f t="shared" si="12"/>
        <v>2026-02</v>
      </c>
      <c r="G396" s="2" t="str">
        <f t="shared" si="13"/>
        <v>2026-w07</v>
      </c>
      <c r="H396" s="1"/>
    </row>
    <row r="397" spans="1:8">
      <c r="A397">
        <v>1396</v>
      </c>
      <c r="B397" s="1">
        <v>46090</v>
      </c>
      <c r="C397" t="s">
        <v>140</v>
      </c>
      <c r="D397" t="s">
        <v>74</v>
      </c>
      <c r="E397" t="s">
        <v>141</v>
      </c>
      <c r="F397" s="2" t="str">
        <f t="shared" si="12"/>
        <v>2026-03</v>
      </c>
      <c r="G397" s="2" t="str">
        <f t="shared" si="13"/>
        <v>2026-w11</v>
      </c>
      <c r="H397" s="1"/>
    </row>
    <row r="398" spans="1:8">
      <c r="A398">
        <v>1397</v>
      </c>
      <c r="B398" s="1">
        <v>46133</v>
      </c>
      <c r="C398" t="s">
        <v>140</v>
      </c>
      <c r="D398" t="s">
        <v>72</v>
      </c>
      <c r="E398" t="s">
        <v>141</v>
      </c>
      <c r="F398" s="2" t="str">
        <f t="shared" si="12"/>
        <v>2026-04</v>
      </c>
      <c r="G398" s="2" t="str">
        <f t="shared" si="13"/>
        <v>2026-w17</v>
      </c>
      <c r="H398" s="1"/>
    </row>
    <row r="399" spans="1:8">
      <c r="A399">
        <v>1398</v>
      </c>
      <c r="B399" s="1">
        <v>46091</v>
      </c>
      <c r="C399" t="s">
        <v>138</v>
      </c>
      <c r="D399" t="s">
        <v>72</v>
      </c>
      <c r="E399" t="s">
        <v>143</v>
      </c>
      <c r="F399" s="2" t="str">
        <f t="shared" si="12"/>
        <v>2026-03</v>
      </c>
      <c r="G399" s="2" t="str">
        <f t="shared" si="13"/>
        <v>2026-w11</v>
      </c>
      <c r="H399" s="1"/>
    </row>
    <row r="400" spans="1:8">
      <c r="A400">
        <v>1399</v>
      </c>
      <c r="B400" s="1">
        <v>46139</v>
      </c>
      <c r="C400" t="s">
        <v>145</v>
      </c>
      <c r="D400" t="s">
        <v>74</v>
      </c>
      <c r="E400" t="s">
        <v>139</v>
      </c>
      <c r="F400" s="2" t="str">
        <f t="shared" si="12"/>
        <v>2026-04</v>
      </c>
      <c r="G400" s="2" t="str">
        <f t="shared" si="13"/>
        <v>2026-w18</v>
      </c>
      <c r="H400" s="1"/>
    </row>
    <row r="401" spans="1:8">
      <c r="A401">
        <v>1400</v>
      </c>
      <c r="B401" s="1">
        <v>46048</v>
      </c>
      <c r="C401" t="s">
        <v>142</v>
      </c>
      <c r="D401" t="s">
        <v>72</v>
      </c>
      <c r="E401" t="s">
        <v>144</v>
      </c>
      <c r="F401" s="2" t="str">
        <f t="shared" si="12"/>
        <v>2026-01</v>
      </c>
      <c r="G401" s="2" t="str">
        <f t="shared" si="13"/>
        <v>2026-w05</v>
      </c>
      <c r="H401" s="1"/>
    </row>
    <row r="402" spans="1:8">
      <c r="A402">
        <v>1401</v>
      </c>
      <c r="B402" s="1">
        <v>46075</v>
      </c>
      <c r="C402" t="s">
        <v>138</v>
      </c>
      <c r="D402" t="s">
        <v>74</v>
      </c>
      <c r="E402" t="s">
        <v>139</v>
      </c>
      <c r="F402" s="2" t="str">
        <f t="shared" si="12"/>
        <v>2026-02</v>
      </c>
      <c r="G402" s="2" t="str">
        <f t="shared" si="13"/>
        <v>2026-w09</v>
      </c>
      <c r="H402" s="1"/>
    </row>
    <row r="403" spans="1:8">
      <c r="A403">
        <v>1402</v>
      </c>
      <c r="B403" s="1">
        <v>46025</v>
      </c>
      <c r="C403" t="s">
        <v>138</v>
      </c>
      <c r="D403" t="s">
        <v>72</v>
      </c>
      <c r="E403" t="s">
        <v>143</v>
      </c>
      <c r="F403" s="2" t="str">
        <f t="shared" si="12"/>
        <v>2026-01</v>
      </c>
      <c r="G403" s="2" t="str">
        <f t="shared" si="13"/>
        <v>2026-w01</v>
      </c>
      <c r="H403" s="1"/>
    </row>
    <row r="404" spans="1:8">
      <c r="A404">
        <v>1403</v>
      </c>
      <c r="B404" s="1">
        <v>46092</v>
      </c>
      <c r="C404" t="s">
        <v>138</v>
      </c>
      <c r="D404" t="s">
        <v>72</v>
      </c>
      <c r="E404" t="s">
        <v>139</v>
      </c>
      <c r="F404" s="2" t="str">
        <f t="shared" si="12"/>
        <v>2026-03</v>
      </c>
      <c r="G404" s="2" t="str">
        <f t="shared" si="13"/>
        <v>2026-w11</v>
      </c>
      <c r="H404" s="1"/>
    </row>
    <row r="405" spans="1:8">
      <c r="A405">
        <v>1404</v>
      </c>
      <c r="B405" s="1">
        <v>46129</v>
      </c>
      <c r="C405" t="s">
        <v>142</v>
      </c>
      <c r="D405" t="s">
        <v>72</v>
      </c>
      <c r="E405" t="s">
        <v>141</v>
      </c>
      <c r="F405" s="2" t="str">
        <f t="shared" si="12"/>
        <v>2026-04</v>
      </c>
      <c r="G405" s="2" t="str">
        <f t="shared" si="13"/>
        <v>2026-w16</v>
      </c>
      <c r="H405" s="1"/>
    </row>
    <row r="406" spans="1:8">
      <c r="A406">
        <v>1405</v>
      </c>
      <c r="B406" s="1">
        <v>46030</v>
      </c>
      <c r="C406" t="s">
        <v>146</v>
      </c>
      <c r="D406" t="s">
        <v>74</v>
      </c>
      <c r="E406" t="s">
        <v>141</v>
      </c>
      <c r="F406" s="2" t="str">
        <f t="shared" si="12"/>
        <v>2026-01</v>
      </c>
      <c r="G406" s="2" t="str">
        <f t="shared" si="13"/>
        <v>2026-w02</v>
      </c>
      <c r="H406" s="1"/>
    </row>
    <row r="407" spans="1:8">
      <c r="A407">
        <v>1406</v>
      </c>
      <c r="B407" s="1">
        <v>46126</v>
      </c>
      <c r="C407" t="s">
        <v>146</v>
      </c>
      <c r="D407" t="s">
        <v>74</v>
      </c>
      <c r="E407" t="s">
        <v>139</v>
      </c>
      <c r="F407" s="2" t="str">
        <f t="shared" si="12"/>
        <v>2026-04</v>
      </c>
      <c r="G407" s="2" t="str">
        <f t="shared" si="13"/>
        <v>2026-w16</v>
      </c>
      <c r="H407" s="1"/>
    </row>
    <row r="408" spans="1:8">
      <c r="A408">
        <v>1407</v>
      </c>
      <c r="B408" s="1">
        <v>46074</v>
      </c>
      <c r="C408" t="s">
        <v>140</v>
      </c>
      <c r="D408" t="s">
        <v>74</v>
      </c>
      <c r="E408" t="s">
        <v>141</v>
      </c>
      <c r="F408" s="2" t="str">
        <f t="shared" si="12"/>
        <v>2026-02</v>
      </c>
      <c r="G408" s="2" t="str">
        <f t="shared" si="13"/>
        <v>2026-w08</v>
      </c>
      <c r="H408" s="1"/>
    </row>
    <row r="409" spans="1:8">
      <c r="A409">
        <v>1408</v>
      </c>
      <c r="B409" s="1">
        <v>46089</v>
      </c>
      <c r="C409" t="s">
        <v>146</v>
      </c>
      <c r="D409" t="s">
        <v>72</v>
      </c>
      <c r="E409" t="s">
        <v>141</v>
      </c>
      <c r="F409" s="2" t="str">
        <f t="shared" si="12"/>
        <v>2026-03</v>
      </c>
      <c r="G409" s="2" t="str">
        <f t="shared" si="13"/>
        <v>2026-w11</v>
      </c>
      <c r="H409" s="1"/>
    </row>
    <row r="410" spans="1:8">
      <c r="A410">
        <v>1409</v>
      </c>
      <c r="B410" s="1">
        <v>46145</v>
      </c>
      <c r="C410" t="s">
        <v>145</v>
      </c>
      <c r="D410" t="s">
        <v>76</v>
      </c>
      <c r="E410" t="s">
        <v>144</v>
      </c>
      <c r="F410" s="2" t="str">
        <f t="shared" si="12"/>
        <v>2026-05</v>
      </c>
      <c r="G410" s="2" t="str">
        <f t="shared" si="13"/>
        <v>2026-w19</v>
      </c>
      <c r="H410" s="1"/>
    </row>
    <row r="411" spans="1:8">
      <c r="A411">
        <v>1410</v>
      </c>
      <c r="B411" s="1">
        <v>46050</v>
      </c>
      <c r="C411" t="s">
        <v>146</v>
      </c>
      <c r="D411" t="s">
        <v>78</v>
      </c>
      <c r="E411" t="s">
        <v>143</v>
      </c>
      <c r="F411" s="2" t="str">
        <f t="shared" si="12"/>
        <v>2026-01</v>
      </c>
      <c r="G411" s="2" t="str">
        <f t="shared" si="13"/>
        <v>2026-w05</v>
      </c>
      <c r="H411" s="1"/>
    </row>
    <row r="412" spans="1:8">
      <c r="A412">
        <v>1411</v>
      </c>
      <c r="B412" s="1">
        <v>46114</v>
      </c>
      <c r="C412" t="s">
        <v>138</v>
      </c>
      <c r="D412" t="s">
        <v>74</v>
      </c>
      <c r="E412" t="s">
        <v>141</v>
      </c>
      <c r="F412" s="2" t="str">
        <f t="shared" si="12"/>
        <v>2026-04</v>
      </c>
      <c r="G412" s="2" t="str">
        <f t="shared" si="13"/>
        <v>2026-w14</v>
      </c>
      <c r="H412" s="1"/>
    </row>
    <row r="413" spans="1:8">
      <c r="A413">
        <v>1412</v>
      </c>
      <c r="B413" s="1">
        <v>46152</v>
      </c>
      <c r="C413" t="s">
        <v>142</v>
      </c>
      <c r="D413" t="s">
        <v>74</v>
      </c>
      <c r="E413" t="s">
        <v>139</v>
      </c>
      <c r="F413" s="2" t="str">
        <f t="shared" si="12"/>
        <v>2026-05</v>
      </c>
      <c r="G413" s="2" t="str">
        <f t="shared" si="13"/>
        <v>2026-w20</v>
      </c>
      <c r="H413" s="1"/>
    </row>
    <row r="414" spans="1:8">
      <c r="A414">
        <v>1413</v>
      </c>
      <c r="B414" s="1">
        <v>46049</v>
      </c>
      <c r="C414" t="s">
        <v>146</v>
      </c>
      <c r="D414" t="s">
        <v>72</v>
      </c>
      <c r="E414" t="s">
        <v>139</v>
      </c>
      <c r="F414" s="2" t="str">
        <f t="shared" si="12"/>
        <v>2026-01</v>
      </c>
      <c r="G414" s="2" t="str">
        <f t="shared" si="13"/>
        <v>2026-w05</v>
      </c>
      <c r="H414" s="1"/>
    </row>
    <row r="415" spans="1:8">
      <c r="A415">
        <v>1414</v>
      </c>
      <c r="B415" s="1">
        <v>46072</v>
      </c>
      <c r="C415" t="s">
        <v>140</v>
      </c>
      <c r="D415" t="s">
        <v>74</v>
      </c>
      <c r="E415" t="s">
        <v>141</v>
      </c>
      <c r="F415" s="2" t="str">
        <f t="shared" si="12"/>
        <v>2026-02</v>
      </c>
      <c r="G415" s="2" t="str">
        <f t="shared" si="13"/>
        <v>2026-w08</v>
      </c>
      <c r="H415" s="1"/>
    </row>
    <row r="416" spans="1:8">
      <c r="A416">
        <v>1415</v>
      </c>
      <c r="B416" s="1">
        <v>46076</v>
      </c>
      <c r="C416" t="s">
        <v>140</v>
      </c>
      <c r="D416" t="s">
        <v>78</v>
      </c>
      <c r="E416" t="s">
        <v>141</v>
      </c>
      <c r="F416" s="2" t="str">
        <f t="shared" si="12"/>
        <v>2026-02</v>
      </c>
      <c r="G416" s="2" t="str">
        <f t="shared" si="13"/>
        <v>2026-w09</v>
      </c>
      <c r="H416" s="1"/>
    </row>
    <row r="417" spans="1:8">
      <c r="A417">
        <v>1416</v>
      </c>
      <c r="B417" s="1">
        <v>46114</v>
      </c>
      <c r="C417" t="s">
        <v>142</v>
      </c>
      <c r="D417" t="s">
        <v>72</v>
      </c>
      <c r="E417" t="s">
        <v>141</v>
      </c>
      <c r="F417" s="2" t="str">
        <f t="shared" si="12"/>
        <v>2026-04</v>
      </c>
      <c r="G417" s="2" t="str">
        <f t="shared" si="13"/>
        <v>2026-w14</v>
      </c>
      <c r="H417" s="1"/>
    </row>
    <row r="418" spans="1:8">
      <c r="A418">
        <v>1417</v>
      </c>
      <c r="B418" s="1">
        <v>46030</v>
      </c>
      <c r="C418" t="s">
        <v>146</v>
      </c>
      <c r="D418" t="s">
        <v>76</v>
      </c>
      <c r="E418" t="s">
        <v>141</v>
      </c>
      <c r="F418" s="2" t="str">
        <f t="shared" si="12"/>
        <v>2026-01</v>
      </c>
      <c r="G418" s="2" t="str">
        <f t="shared" si="13"/>
        <v>2026-w02</v>
      </c>
      <c r="H418" s="1"/>
    </row>
    <row r="419" spans="1:8">
      <c r="A419">
        <v>1418</v>
      </c>
      <c r="B419" s="1">
        <v>46092</v>
      </c>
      <c r="C419" t="s">
        <v>140</v>
      </c>
      <c r="D419" t="s">
        <v>74</v>
      </c>
      <c r="E419" t="s">
        <v>139</v>
      </c>
      <c r="F419" s="2" t="str">
        <f t="shared" si="12"/>
        <v>2026-03</v>
      </c>
      <c r="G419" s="2" t="str">
        <f t="shared" si="13"/>
        <v>2026-w11</v>
      </c>
      <c r="H419" s="1"/>
    </row>
    <row r="420" spans="1:8">
      <c r="A420">
        <v>1419</v>
      </c>
      <c r="B420" s="1">
        <v>46146</v>
      </c>
      <c r="C420" t="s">
        <v>146</v>
      </c>
      <c r="D420" t="s">
        <v>78</v>
      </c>
      <c r="E420" t="s">
        <v>141</v>
      </c>
      <c r="F420" s="2" t="str">
        <f t="shared" si="12"/>
        <v>2026-05</v>
      </c>
      <c r="G420" s="2" t="str">
        <f t="shared" si="13"/>
        <v>2026-w19</v>
      </c>
      <c r="H420" s="1"/>
    </row>
    <row r="421" spans="1:8">
      <c r="A421">
        <v>1420</v>
      </c>
      <c r="B421" s="1">
        <v>46025</v>
      </c>
      <c r="C421" t="s">
        <v>145</v>
      </c>
      <c r="D421" t="s">
        <v>78</v>
      </c>
      <c r="E421" t="s">
        <v>139</v>
      </c>
      <c r="F421" s="2" t="str">
        <f t="shared" si="12"/>
        <v>2026-01</v>
      </c>
      <c r="G421" s="2" t="str">
        <f t="shared" si="13"/>
        <v>2026-w01</v>
      </c>
      <c r="H421" s="1"/>
    </row>
    <row r="422" spans="1:8">
      <c r="A422">
        <v>1421</v>
      </c>
      <c r="B422" s="1">
        <v>46056</v>
      </c>
      <c r="C422" t="s">
        <v>146</v>
      </c>
      <c r="D422" t="s">
        <v>78</v>
      </c>
      <c r="E422" t="s">
        <v>141</v>
      </c>
      <c r="F422" s="2" t="str">
        <f t="shared" si="12"/>
        <v>2026-02</v>
      </c>
      <c r="G422" s="2" t="str">
        <f t="shared" si="13"/>
        <v>2026-w06</v>
      </c>
      <c r="H422" s="1"/>
    </row>
    <row r="423" spans="1:8">
      <c r="A423">
        <v>1422</v>
      </c>
      <c r="B423" s="1">
        <v>46097</v>
      </c>
      <c r="C423" t="s">
        <v>140</v>
      </c>
      <c r="D423" t="s">
        <v>72</v>
      </c>
      <c r="E423" t="s">
        <v>139</v>
      </c>
      <c r="F423" s="2" t="str">
        <f t="shared" si="12"/>
        <v>2026-03</v>
      </c>
      <c r="G423" s="2" t="str">
        <f t="shared" si="13"/>
        <v>2026-w12</v>
      </c>
      <c r="H423" s="1"/>
    </row>
    <row r="424" spans="1:8">
      <c r="A424">
        <v>1423</v>
      </c>
      <c r="B424" s="1">
        <v>46028</v>
      </c>
      <c r="C424" t="s">
        <v>142</v>
      </c>
      <c r="D424" t="s">
        <v>74</v>
      </c>
      <c r="E424" t="s">
        <v>143</v>
      </c>
      <c r="F424" s="2" t="str">
        <f t="shared" si="12"/>
        <v>2026-01</v>
      </c>
      <c r="G424" s="2" t="str">
        <f t="shared" si="13"/>
        <v>2026-w02</v>
      </c>
      <c r="H424" s="1"/>
    </row>
    <row r="425" spans="1:8">
      <c r="A425">
        <v>1424</v>
      </c>
      <c r="B425" s="1">
        <v>46031</v>
      </c>
      <c r="C425" t="s">
        <v>140</v>
      </c>
      <c r="D425" t="s">
        <v>76</v>
      </c>
      <c r="E425" t="s">
        <v>141</v>
      </c>
      <c r="F425" s="2" t="str">
        <f t="shared" si="12"/>
        <v>2026-01</v>
      </c>
      <c r="G425" s="2" t="str">
        <f t="shared" si="13"/>
        <v>2026-w02</v>
      </c>
      <c r="H425" s="1"/>
    </row>
    <row r="426" spans="1:8">
      <c r="A426">
        <v>1425</v>
      </c>
      <c r="B426" s="1">
        <v>46120</v>
      </c>
      <c r="C426" t="s">
        <v>138</v>
      </c>
      <c r="D426" t="s">
        <v>72</v>
      </c>
      <c r="E426" t="s">
        <v>143</v>
      </c>
      <c r="F426" s="2" t="str">
        <f t="shared" si="12"/>
        <v>2026-04</v>
      </c>
      <c r="G426" s="2" t="str">
        <f t="shared" si="13"/>
        <v>2026-w15</v>
      </c>
      <c r="H426" s="1"/>
    </row>
    <row r="427" spans="1:8">
      <c r="A427">
        <v>1426</v>
      </c>
      <c r="B427" s="1">
        <v>46026</v>
      </c>
      <c r="C427" t="s">
        <v>140</v>
      </c>
      <c r="D427" t="s">
        <v>76</v>
      </c>
      <c r="E427" t="s">
        <v>141</v>
      </c>
      <c r="F427" s="2" t="str">
        <f t="shared" si="12"/>
        <v>2026-01</v>
      </c>
      <c r="G427" s="2" t="str">
        <f t="shared" si="13"/>
        <v>2026-w02</v>
      </c>
      <c r="H427" s="1"/>
    </row>
    <row r="428" spans="1:8">
      <c r="A428">
        <v>1427</v>
      </c>
      <c r="B428" s="1">
        <v>46089</v>
      </c>
      <c r="C428" t="s">
        <v>138</v>
      </c>
      <c r="D428" t="s">
        <v>72</v>
      </c>
      <c r="E428" t="s">
        <v>143</v>
      </c>
      <c r="F428" s="2" t="str">
        <f t="shared" si="12"/>
        <v>2026-03</v>
      </c>
      <c r="G428" s="2" t="str">
        <f t="shared" si="13"/>
        <v>2026-w11</v>
      </c>
      <c r="H428" s="1"/>
    </row>
    <row r="429" spans="1:8">
      <c r="A429">
        <v>1428</v>
      </c>
      <c r="B429" s="1">
        <v>46113</v>
      </c>
      <c r="C429" t="s">
        <v>140</v>
      </c>
      <c r="D429" t="s">
        <v>72</v>
      </c>
      <c r="E429" t="s">
        <v>141</v>
      </c>
      <c r="F429" s="2" t="str">
        <f t="shared" si="12"/>
        <v>2026-04</v>
      </c>
      <c r="G429" s="2" t="str">
        <f t="shared" si="13"/>
        <v>2026-w14</v>
      </c>
      <c r="H429" s="1"/>
    </row>
    <row r="430" spans="1:8">
      <c r="A430">
        <v>1429</v>
      </c>
      <c r="B430" s="1">
        <v>46106</v>
      </c>
      <c r="C430" t="s">
        <v>142</v>
      </c>
      <c r="D430" t="s">
        <v>76</v>
      </c>
      <c r="E430" t="s">
        <v>141</v>
      </c>
      <c r="F430" s="2" t="str">
        <f t="shared" si="12"/>
        <v>2026-03</v>
      </c>
      <c r="G430" s="2" t="str">
        <f t="shared" si="13"/>
        <v>2026-w13</v>
      </c>
      <c r="H430" s="1"/>
    </row>
    <row r="431" spans="1:8">
      <c r="A431">
        <v>1430</v>
      </c>
      <c r="B431" s="1">
        <v>46151</v>
      </c>
      <c r="C431" t="s">
        <v>140</v>
      </c>
      <c r="D431" t="s">
        <v>72</v>
      </c>
      <c r="E431" t="s">
        <v>141</v>
      </c>
      <c r="F431" s="2" t="str">
        <f t="shared" si="12"/>
        <v>2026-05</v>
      </c>
      <c r="G431" s="2" t="str">
        <f t="shared" si="13"/>
        <v>2026-w19</v>
      </c>
      <c r="H431" s="1"/>
    </row>
    <row r="432" spans="1:8">
      <c r="A432">
        <v>1431</v>
      </c>
      <c r="B432" s="1">
        <v>46113</v>
      </c>
      <c r="C432" t="s">
        <v>140</v>
      </c>
      <c r="D432" t="s">
        <v>74</v>
      </c>
      <c r="E432" t="s">
        <v>141</v>
      </c>
      <c r="F432" s="2" t="str">
        <f t="shared" si="12"/>
        <v>2026-04</v>
      </c>
      <c r="G432" s="2" t="str">
        <f t="shared" si="13"/>
        <v>2026-w14</v>
      </c>
      <c r="H432" s="1"/>
    </row>
    <row r="433" spans="1:8">
      <c r="A433">
        <v>1432</v>
      </c>
      <c r="B433" s="1">
        <v>46069</v>
      </c>
      <c r="C433" t="s">
        <v>138</v>
      </c>
      <c r="D433" t="s">
        <v>74</v>
      </c>
      <c r="E433" t="s">
        <v>143</v>
      </c>
      <c r="F433" s="2" t="str">
        <f t="shared" si="12"/>
        <v>2026-02</v>
      </c>
      <c r="G433" s="2" t="str">
        <f t="shared" si="13"/>
        <v>2026-w08</v>
      </c>
      <c r="H433" s="1"/>
    </row>
    <row r="434" spans="1:8">
      <c r="A434">
        <v>1433</v>
      </c>
      <c r="B434" s="1">
        <v>46122</v>
      </c>
      <c r="C434" t="s">
        <v>138</v>
      </c>
      <c r="D434" t="s">
        <v>76</v>
      </c>
      <c r="E434" t="s">
        <v>143</v>
      </c>
      <c r="F434" s="2" t="str">
        <f t="shared" si="12"/>
        <v>2026-04</v>
      </c>
      <c r="G434" s="2" t="str">
        <f t="shared" si="13"/>
        <v>2026-w15</v>
      </c>
      <c r="H434" s="1"/>
    </row>
    <row r="435" spans="1:8">
      <c r="A435">
        <v>1434</v>
      </c>
      <c r="B435" s="1">
        <v>46024</v>
      </c>
      <c r="C435" t="s">
        <v>142</v>
      </c>
      <c r="D435" t="s">
        <v>74</v>
      </c>
      <c r="E435" t="s">
        <v>141</v>
      </c>
      <c r="F435" s="2" t="str">
        <f t="shared" si="12"/>
        <v>2026-01</v>
      </c>
      <c r="G435" s="2" t="str">
        <f t="shared" si="13"/>
        <v>2026-w01</v>
      </c>
      <c r="H435" s="1"/>
    </row>
    <row r="436" spans="1:8">
      <c r="A436">
        <v>1435</v>
      </c>
      <c r="B436" s="1">
        <v>46095</v>
      </c>
      <c r="C436" t="s">
        <v>142</v>
      </c>
      <c r="D436" t="s">
        <v>74</v>
      </c>
      <c r="E436" t="s">
        <v>139</v>
      </c>
      <c r="F436" s="2" t="str">
        <f t="shared" si="12"/>
        <v>2026-03</v>
      </c>
      <c r="G436" s="2" t="str">
        <f t="shared" si="13"/>
        <v>2026-w11</v>
      </c>
      <c r="H436" s="1"/>
    </row>
    <row r="437" spans="1:8">
      <c r="A437">
        <v>1436</v>
      </c>
      <c r="B437" s="1">
        <v>46148</v>
      </c>
      <c r="C437" t="s">
        <v>138</v>
      </c>
      <c r="D437" t="s">
        <v>76</v>
      </c>
      <c r="E437" t="s">
        <v>141</v>
      </c>
      <c r="F437" s="2" t="str">
        <f t="shared" si="12"/>
        <v>2026-05</v>
      </c>
      <c r="G437" s="2" t="str">
        <f t="shared" si="13"/>
        <v>2026-w19</v>
      </c>
      <c r="H437" s="1"/>
    </row>
    <row r="438" spans="1:8">
      <c r="A438">
        <v>1437</v>
      </c>
      <c r="B438" s="1">
        <v>46106</v>
      </c>
      <c r="C438" t="s">
        <v>142</v>
      </c>
      <c r="D438" t="s">
        <v>74</v>
      </c>
      <c r="E438" t="s">
        <v>139</v>
      </c>
      <c r="F438" s="2" t="str">
        <f t="shared" si="12"/>
        <v>2026-03</v>
      </c>
      <c r="G438" s="2" t="str">
        <f t="shared" si="13"/>
        <v>2026-w13</v>
      </c>
      <c r="H438" s="1"/>
    </row>
    <row r="439" spans="1:8">
      <c r="A439">
        <v>1438</v>
      </c>
      <c r="B439" s="1">
        <v>46143</v>
      </c>
      <c r="C439" t="s">
        <v>138</v>
      </c>
      <c r="D439" t="s">
        <v>78</v>
      </c>
      <c r="E439" t="s">
        <v>139</v>
      </c>
      <c r="F439" s="2" t="str">
        <f t="shared" si="12"/>
        <v>2026-05</v>
      </c>
      <c r="G439" s="2" t="str">
        <f t="shared" si="13"/>
        <v>2026-w18</v>
      </c>
      <c r="H439" s="1"/>
    </row>
    <row r="440" spans="1:8">
      <c r="A440">
        <v>1439</v>
      </c>
      <c r="B440" s="1">
        <v>46147</v>
      </c>
      <c r="C440" t="s">
        <v>146</v>
      </c>
      <c r="D440" t="s">
        <v>72</v>
      </c>
      <c r="E440" t="s">
        <v>143</v>
      </c>
      <c r="F440" s="2" t="str">
        <f t="shared" si="12"/>
        <v>2026-05</v>
      </c>
      <c r="G440" s="2" t="str">
        <f t="shared" si="13"/>
        <v>2026-w19</v>
      </c>
      <c r="H440" s="1"/>
    </row>
    <row r="441" spans="1:8">
      <c r="A441">
        <v>1440</v>
      </c>
      <c r="B441" s="1">
        <v>46148</v>
      </c>
      <c r="C441" t="s">
        <v>145</v>
      </c>
      <c r="D441" t="s">
        <v>78</v>
      </c>
      <c r="E441" t="s">
        <v>141</v>
      </c>
      <c r="F441" s="2" t="str">
        <f t="shared" si="12"/>
        <v>2026-05</v>
      </c>
      <c r="G441" s="2" t="str">
        <f t="shared" si="13"/>
        <v>2026-w19</v>
      </c>
      <c r="H441" s="1"/>
    </row>
    <row r="442" spans="1:8">
      <c r="A442">
        <v>1441</v>
      </c>
      <c r="B442" s="1">
        <v>46036</v>
      </c>
      <c r="C442" t="s">
        <v>145</v>
      </c>
      <c r="D442" t="s">
        <v>78</v>
      </c>
      <c r="E442" t="s">
        <v>144</v>
      </c>
      <c r="F442" s="2" t="str">
        <f t="shared" si="12"/>
        <v>2026-01</v>
      </c>
      <c r="G442" s="2" t="str">
        <f t="shared" si="13"/>
        <v>2026-w03</v>
      </c>
      <c r="H442" s="1"/>
    </row>
    <row r="443" spans="1:8">
      <c r="A443">
        <v>1442</v>
      </c>
      <c r="B443" s="1">
        <v>46107</v>
      </c>
      <c r="C443" t="s">
        <v>140</v>
      </c>
      <c r="D443" t="s">
        <v>74</v>
      </c>
      <c r="E443" t="s">
        <v>139</v>
      </c>
      <c r="F443" s="2" t="str">
        <f t="shared" si="12"/>
        <v>2026-03</v>
      </c>
      <c r="G443" s="2" t="str">
        <f t="shared" si="13"/>
        <v>2026-w13</v>
      </c>
      <c r="H443" s="1"/>
    </row>
    <row r="444" spans="1:8">
      <c r="A444">
        <v>1443</v>
      </c>
      <c r="B444" s="1">
        <v>46124</v>
      </c>
      <c r="C444" t="s">
        <v>142</v>
      </c>
      <c r="D444" t="s">
        <v>72</v>
      </c>
      <c r="E444" t="s">
        <v>139</v>
      </c>
      <c r="F444" s="2" t="str">
        <f t="shared" si="12"/>
        <v>2026-04</v>
      </c>
      <c r="G444" s="2" t="str">
        <f t="shared" si="13"/>
        <v>2026-w16</v>
      </c>
      <c r="H444" s="1"/>
    </row>
    <row r="445" spans="1:8">
      <c r="A445">
        <v>1444</v>
      </c>
      <c r="B445" s="1">
        <v>46031</v>
      </c>
      <c r="C445" t="s">
        <v>140</v>
      </c>
      <c r="D445" t="s">
        <v>72</v>
      </c>
      <c r="E445" t="s">
        <v>144</v>
      </c>
      <c r="F445" s="2" t="str">
        <f t="shared" si="12"/>
        <v>2026-01</v>
      </c>
      <c r="G445" s="2" t="str">
        <f t="shared" si="13"/>
        <v>2026-w02</v>
      </c>
      <c r="H445" s="1"/>
    </row>
    <row r="446" spans="1:8">
      <c r="A446">
        <v>1445</v>
      </c>
      <c r="B446" s="1">
        <v>46131</v>
      </c>
      <c r="C446" t="s">
        <v>140</v>
      </c>
      <c r="D446" t="s">
        <v>72</v>
      </c>
      <c r="E446" t="s">
        <v>141</v>
      </c>
      <c r="F446" s="2" t="str">
        <f t="shared" si="12"/>
        <v>2026-04</v>
      </c>
      <c r="G446" s="2" t="str">
        <f t="shared" si="13"/>
        <v>2026-w17</v>
      </c>
      <c r="H446" s="1"/>
    </row>
    <row r="447" spans="1:8">
      <c r="A447">
        <v>1446</v>
      </c>
      <c r="B447" s="1">
        <v>46050</v>
      </c>
      <c r="C447" t="s">
        <v>140</v>
      </c>
      <c r="D447" t="s">
        <v>72</v>
      </c>
      <c r="E447" t="s">
        <v>143</v>
      </c>
      <c r="F447" s="2" t="str">
        <f t="shared" si="12"/>
        <v>2026-01</v>
      </c>
      <c r="G447" s="2" t="str">
        <f t="shared" si="13"/>
        <v>2026-w05</v>
      </c>
      <c r="H447" s="1"/>
    </row>
    <row r="448" spans="1:8">
      <c r="A448">
        <v>1447</v>
      </c>
      <c r="B448" s="1">
        <v>46066</v>
      </c>
      <c r="C448" t="s">
        <v>140</v>
      </c>
      <c r="D448" t="s">
        <v>78</v>
      </c>
      <c r="E448" t="s">
        <v>139</v>
      </c>
      <c r="F448" s="2" t="str">
        <f t="shared" si="12"/>
        <v>2026-02</v>
      </c>
      <c r="G448" s="2" t="str">
        <f t="shared" si="13"/>
        <v>2026-w07</v>
      </c>
      <c r="H448" s="1"/>
    </row>
    <row r="449" spans="1:8">
      <c r="A449">
        <v>1448</v>
      </c>
      <c r="B449" s="1">
        <v>46127</v>
      </c>
      <c r="C449" t="s">
        <v>145</v>
      </c>
      <c r="D449" t="s">
        <v>76</v>
      </c>
      <c r="E449" t="s">
        <v>141</v>
      </c>
      <c r="F449" s="2" t="str">
        <f t="shared" si="12"/>
        <v>2026-04</v>
      </c>
      <c r="G449" s="2" t="str">
        <f t="shared" si="13"/>
        <v>2026-w16</v>
      </c>
      <c r="H449" s="1"/>
    </row>
    <row r="450" spans="1:8">
      <c r="A450">
        <v>1449</v>
      </c>
      <c r="B450" s="1">
        <v>46026</v>
      </c>
      <c r="C450" t="s">
        <v>145</v>
      </c>
      <c r="D450" t="s">
        <v>74</v>
      </c>
      <c r="E450" t="s">
        <v>139</v>
      </c>
      <c r="F450" s="2" t="str">
        <f t="shared" si="12"/>
        <v>2026-01</v>
      </c>
      <c r="G450" s="2" t="str">
        <f t="shared" si="13"/>
        <v>2026-w02</v>
      </c>
      <c r="H450" s="1"/>
    </row>
    <row r="451" spans="1:8">
      <c r="A451">
        <v>1450</v>
      </c>
      <c r="B451" s="1">
        <v>46130</v>
      </c>
      <c r="C451" t="s">
        <v>142</v>
      </c>
      <c r="D451" t="s">
        <v>74</v>
      </c>
      <c r="E451" t="s">
        <v>143</v>
      </c>
      <c r="F451" s="2" t="str">
        <f t="shared" ref="F451" si="14">TEXT(B451,"yyyy-mm")</f>
        <v>2026-04</v>
      </c>
      <c r="G451" s="2" t="str">
        <f t="shared" ref="G451" si="15">YEAR(B451)&amp;"-w"&amp;TEXT(WEEKNUM(B451),"00")</f>
        <v>2026-w16</v>
      </c>
      <c r="H451" s="1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FE05-37BD-429C-AAD5-5B4BDC34A2AA}">
  <dimension ref="A1:S1109"/>
  <sheetViews>
    <sheetView workbookViewId="0">
      <selection activeCell="D3" sqref="D3:D5"/>
    </sheetView>
  </sheetViews>
  <sheetFormatPr defaultRowHeight="15"/>
  <cols>
    <col min="1" max="1" width="15.7109375" bestFit="1" customWidth="1"/>
    <col min="2" max="2" width="10.7109375" bestFit="1" customWidth="1"/>
    <col min="3" max="3" width="12.7109375" bestFit="1" customWidth="1"/>
    <col min="4" max="4" width="10.42578125" bestFit="1" customWidth="1"/>
    <col min="5" max="5" width="12" bestFit="1" customWidth="1"/>
    <col min="6" max="6" width="18.5703125" bestFit="1" customWidth="1"/>
    <col min="7" max="7" width="10.28515625" bestFit="1" customWidth="1"/>
    <col min="8" max="8" width="9.140625" bestFit="1" customWidth="1"/>
    <col min="9" max="9" width="9.28515625" bestFit="1" customWidth="1"/>
    <col min="10" max="10" width="12.42578125" customWidth="1"/>
    <col min="11" max="11" width="13.5703125" bestFit="1" customWidth="1"/>
    <col min="12" max="12" width="12.7109375" bestFit="1" customWidth="1"/>
    <col min="13" max="13" width="17.28515625" bestFit="1" customWidth="1"/>
    <col min="14" max="14" width="13.42578125" customWidth="1"/>
    <col min="15" max="15" width="16.7109375" bestFit="1" customWidth="1"/>
    <col min="16" max="16" width="14.42578125" bestFit="1" customWidth="1"/>
    <col min="17" max="17" width="10.7109375" bestFit="1" customWidth="1"/>
    <col min="18" max="18" width="13.140625" bestFit="1" customWidth="1"/>
    <col min="19" max="19" width="11.42578125" customWidth="1"/>
    <col min="20" max="48" width="9.42578125" bestFit="1" customWidth="1"/>
    <col min="49" max="49" width="8.7109375" bestFit="1" customWidth="1"/>
    <col min="50" max="85" width="9.42578125" bestFit="1" customWidth="1"/>
    <col min="86" max="86" width="8.7109375" bestFit="1" customWidth="1"/>
    <col min="87" max="122" width="9.42578125" bestFit="1" customWidth="1"/>
    <col min="123" max="123" width="8.7109375" bestFit="1" customWidth="1"/>
    <col min="124" max="159" width="9.42578125" bestFit="1" customWidth="1"/>
    <col min="160" max="160" width="8.7109375" bestFit="1" customWidth="1"/>
    <col min="161" max="162" width="9.42578125" bestFit="1" customWidth="1"/>
    <col min="163" max="163" width="11.42578125" bestFit="1" customWidth="1"/>
    <col min="164" max="165" width="5.85546875" bestFit="1" customWidth="1"/>
    <col min="166" max="181" width="6.85546875" bestFit="1" customWidth="1"/>
    <col min="182" max="182" width="4.140625" bestFit="1" customWidth="1"/>
    <col min="183" max="183" width="5.85546875" bestFit="1" customWidth="1"/>
    <col min="184" max="185" width="6.85546875" bestFit="1" customWidth="1"/>
    <col min="186" max="186" width="4.140625" bestFit="1" customWidth="1"/>
    <col min="187" max="187" width="6.85546875" bestFit="1" customWidth="1"/>
    <col min="188" max="188" width="5.85546875" bestFit="1" customWidth="1"/>
    <col min="189" max="197" width="6.85546875" bestFit="1" customWidth="1"/>
    <col min="198" max="198" width="5.85546875" bestFit="1" customWidth="1"/>
    <col min="199" max="199" width="4.140625" bestFit="1" customWidth="1"/>
    <col min="200" max="202" width="6.85546875" bestFit="1" customWidth="1"/>
    <col min="203" max="203" width="5.85546875" bestFit="1" customWidth="1"/>
    <col min="204" max="209" width="6.85546875" bestFit="1" customWidth="1"/>
    <col min="210" max="210" width="4.140625" bestFit="1" customWidth="1"/>
    <col min="211" max="217" width="6.85546875" bestFit="1" customWidth="1"/>
    <col min="218" max="218" width="5.85546875" bestFit="1" customWidth="1"/>
    <col min="219" max="226" width="6.85546875" bestFit="1" customWidth="1"/>
    <col min="227" max="227" width="5.85546875" bestFit="1" customWidth="1"/>
    <col min="228" max="228" width="6.85546875" bestFit="1" customWidth="1"/>
    <col min="229" max="229" width="5.85546875" bestFit="1" customWidth="1"/>
    <col min="230" max="232" width="6.85546875" bestFit="1" customWidth="1"/>
    <col min="233" max="234" width="5.85546875" bestFit="1" customWidth="1"/>
    <col min="235" max="241" width="6.85546875" bestFit="1" customWidth="1"/>
    <col min="242" max="242" width="5.85546875" bestFit="1" customWidth="1"/>
    <col min="243" max="250" width="6.85546875" bestFit="1" customWidth="1"/>
    <col min="251" max="252" width="5.85546875" bestFit="1" customWidth="1"/>
    <col min="253" max="262" width="6.85546875" bestFit="1" customWidth="1"/>
    <col min="263" max="263" width="5.85546875" bestFit="1" customWidth="1"/>
    <col min="264" max="264" width="6.85546875" bestFit="1" customWidth="1"/>
    <col min="265" max="265" width="5.85546875" bestFit="1" customWidth="1"/>
    <col min="266" max="279" width="6.85546875" bestFit="1" customWidth="1"/>
    <col min="280" max="280" width="5.85546875" bestFit="1" customWidth="1"/>
    <col min="281" max="286" width="6.85546875" bestFit="1" customWidth="1"/>
    <col min="287" max="287" width="5.85546875" bestFit="1" customWidth="1"/>
    <col min="288" max="289" width="6.85546875" bestFit="1" customWidth="1"/>
    <col min="290" max="290" width="5.85546875" bestFit="1" customWidth="1"/>
    <col min="291" max="303" width="6.85546875" bestFit="1" customWidth="1"/>
    <col min="304" max="304" width="5.85546875" bestFit="1" customWidth="1"/>
    <col min="305" max="307" width="6.85546875" bestFit="1" customWidth="1"/>
    <col min="308" max="308" width="5.85546875" bestFit="1" customWidth="1"/>
    <col min="309" max="310" width="6.85546875" bestFit="1" customWidth="1"/>
    <col min="311" max="311" width="4.140625" bestFit="1" customWidth="1"/>
    <col min="312" max="312" width="6.85546875" bestFit="1" customWidth="1"/>
    <col min="313" max="313" width="5.85546875" bestFit="1" customWidth="1"/>
    <col min="314" max="320" width="6.85546875" bestFit="1" customWidth="1"/>
    <col min="321" max="321" width="5.85546875" bestFit="1" customWidth="1"/>
    <col min="322" max="327" width="6.85546875" bestFit="1" customWidth="1"/>
    <col min="328" max="328" width="5.85546875" bestFit="1" customWidth="1"/>
    <col min="329" max="330" width="6.85546875" bestFit="1" customWidth="1"/>
    <col min="331" max="332" width="5.85546875" bestFit="1" customWidth="1"/>
    <col min="333" max="341" width="6.85546875" bestFit="1" customWidth="1"/>
    <col min="342" max="342" width="4.140625" bestFit="1" customWidth="1"/>
    <col min="343" max="343" width="5.85546875" bestFit="1" customWidth="1"/>
    <col min="344" max="345" width="6.85546875" bestFit="1" customWidth="1"/>
    <col min="346" max="346" width="5.85546875" bestFit="1" customWidth="1"/>
    <col min="347" max="348" width="6.85546875" bestFit="1" customWidth="1"/>
    <col min="349" max="349" width="5.85546875" bestFit="1" customWidth="1"/>
    <col min="350" max="355" width="6.85546875" bestFit="1" customWidth="1"/>
    <col min="356" max="356" width="5.85546875" bestFit="1" customWidth="1"/>
    <col min="357" max="358" width="6.85546875" bestFit="1" customWidth="1"/>
    <col min="359" max="359" width="5.85546875" bestFit="1" customWidth="1"/>
    <col min="360" max="371" width="6.85546875" bestFit="1" customWidth="1"/>
    <col min="372" max="372" width="4.140625" bestFit="1" customWidth="1"/>
    <col min="373" max="378" width="6.85546875" bestFit="1" customWidth="1"/>
    <col min="379" max="379" width="5.85546875" bestFit="1" customWidth="1"/>
    <col min="380" max="385" width="6.85546875" bestFit="1" customWidth="1"/>
    <col min="386" max="386" width="4.140625" bestFit="1" customWidth="1"/>
    <col min="387" max="390" width="6.85546875" bestFit="1" customWidth="1"/>
    <col min="391" max="392" width="5.85546875" bestFit="1" customWidth="1"/>
    <col min="393" max="393" width="6.85546875" bestFit="1" customWidth="1"/>
    <col min="394" max="394" width="4.140625" bestFit="1" customWidth="1"/>
    <col min="395" max="395" width="6.85546875" bestFit="1" customWidth="1"/>
    <col min="396" max="396" width="5.85546875" bestFit="1" customWidth="1"/>
    <col min="397" max="401" width="6.85546875" bestFit="1" customWidth="1"/>
    <col min="402" max="402" width="5.85546875" bestFit="1" customWidth="1"/>
    <col min="403" max="406" width="6.85546875" bestFit="1" customWidth="1"/>
    <col min="407" max="407" width="5.85546875" bestFit="1" customWidth="1"/>
    <col min="408" max="408" width="6.85546875" bestFit="1" customWidth="1"/>
    <col min="409" max="409" width="5.85546875" bestFit="1" customWidth="1"/>
    <col min="410" max="411" width="6.85546875" bestFit="1" customWidth="1"/>
    <col min="412" max="412" width="5.85546875" bestFit="1" customWidth="1"/>
    <col min="413" max="413" width="6.85546875" bestFit="1" customWidth="1"/>
    <col min="414" max="414" width="5.85546875" bestFit="1" customWidth="1"/>
    <col min="415" max="419" width="6.85546875" bestFit="1" customWidth="1"/>
    <col min="420" max="420" width="5.85546875" bestFit="1" customWidth="1"/>
    <col min="421" max="427" width="6.85546875" bestFit="1" customWidth="1"/>
    <col min="428" max="428" width="5.85546875" bestFit="1" customWidth="1"/>
    <col min="429" max="437" width="6.85546875" bestFit="1" customWidth="1"/>
    <col min="438" max="438" width="5.85546875" bestFit="1" customWidth="1"/>
    <col min="439" max="439" width="6.85546875" bestFit="1" customWidth="1"/>
    <col min="440" max="440" width="5.85546875" bestFit="1" customWidth="1"/>
    <col min="441" max="441" width="6.85546875" bestFit="1" customWidth="1"/>
    <col min="442" max="442" width="5.85546875" bestFit="1" customWidth="1"/>
    <col min="443" max="446" width="6.85546875" bestFit="1" customWidth="1"/>
    <col min="447" max="447" width="4.140625" bestFit="1" customWidth="1"/>
    <col min="448" max="448" width="6.85546875" bestFit="1" customWidth="1"/>
    <col min="449" max="449" width="5.85546875" bestFit="1" customWidth="1"/>
    <col min="450" max="454" width="6.85546875" bestFit="1" customWidth="1"/>
    <col min="455" max="455" width="5.85546875" bestFit="1" customWidth="1"/>
    <col min="456" max="456" width="6.85546875" bestFit="1" customWidth="1"/>
    <col min="457" max="457" width="5.85546875" bestFit="1" customWidth="1"/>
    <col min="458" max="461" width="6.85546875" bestFit="1" customWidth="1"/>
    <col min="462" max="462" width="5.85546875" bestFit="1" customWidth="1"/>
    <col min="463" max="472" width="6.85546875" bestFit="1" customWidth="1"/>
    <col min="473" max="473" width="4.140625" bestFit="1" customWidth="1"/>
    <col min="474" max="476" width="6.85546875" bestFit="1" customWidth="1"/>
    <col min="477" max="477" width="4.140625" bestFit="1" customWidth="1"/>
    <col min="478" max="486" width="6.85546875" bestFit="1" customWidth="1"/>
    <col min="487" max="487" width="5.85546875" bestFit="1" customWidth="1"/>
    <col min="488" max="490" width="6.85546875" bestFit="1" customWidth="1"/>
    <col min="491" max="492" width="5.85546875" bestFit="1" customWidth="1"/>
    <col min="493" max="494" width="6.85546875" bestFit="1" customWidth="1"/>
    <col min="495" max="495" width="5.85546875" bestFit="1" customWidth="1"/>
    <col min="496" max="499" width="6.85546875" bestFit="1" customWidth="1"/>
    <col min="500" max="500" width="5.85546875" bestFit="1" customWidth="1"/>
    <col min="501" max="504" width="6.85546875" bestFit="1" customWidth="1"/>
    <col min="505" max="505" width="4.140625" bestFit="1" customWidth="1"/>
    <col min="506" max="507" width="6.85546875" bestFit="1" customWidth="1"/>
    <col min="508" max="508" width="5.85546875" bestFit="1" customWidth="1"/>
    <col min="509" max="509" width="6.85546875" bestFit="1" customWidth="1"/>
    <col min="510" max="510" width="4.140625" bestFit="1" customWidth="1"/>
    <col min="511" max="512" width="6.85546875" bestFit="1" customWidth="1"/>
    <col min="513" max="513" width="5.85546875" bestFit="1" customWidth="1"/>
    <col min="514" max="520" width="6.85546875" bestFit="1" customWidth="1"/>
    <col min="521" max="521" width="4.140625" bestFit="1" customWidth="1"/>
    <col min="522" max="529" width="6.85546875" bestFit="1" customWidth="1"/>
    <col min="530" max="531" width="5.85546875" bestFit="1" customWidth="1"/>
    <col min="532" max="537" width="6.85546875" bestFit="1" customWidth="1"/>
    <col min="538" max="538" width="5.85546875" bestFit="1" customWidth="1"/>
    <col min="539" max="540" width="6.85546875" bestFit="1" customWidth="1"/>
    <col min="541" max="542" width="5.85546875" bestFit="1" customWidth="1"/>
    <col min="543" max="548" width="6.85546875" bestFit="1" customWidth="1"/>
    <col min="549" max="549" width="5.85546875" bestFit="1" customWidth="1"/>
    <col min="550" max="555" width="6.85546875" bestFit="1" customWidth="1"/>
    <col min="556" max="556" width="5.85546875" bestFit="1" customWidth="1"/>
    <col min="557" max="560" width="6.85546875" bestFit="1" customWidth="1"/>
    <col min="561" max="561" width="4.140625" bestFit="1" customWidth="1"/>
    <col min="562" max="562" width="6.85546875" bestFit="1" customWidth="1"/>
    <col min="563" max="564" width="5.85546875" bestFit="1" customWidth="1"/>
    <col min="565" max="568" width="6.85546875" bestFit="1" customWidth="1"/>
    <col min="569" max="570" width="5.85546875" bestFit="1" customWidth="1"/>
    <col min="571" max="572" width="6.85546875" bestFit="1" customWidth="1"/>
    <col min="573" max="573" width="4.140625" bestFit="1" customWidth="1"/>
    <col min="574" max="577" width="6.85546875" bestFit="1" customWidth="1"/>
    <col min="578" max="578" width="5.85546875" bestFit="1" customWidth="1"/>
    <col min="579" max="580" width="6.85546875" bestFit="1" customWidth="1"/>
    <col min="581" max="582" width="5.85546875" bestFit="1" customWidth="1"/>
    <col min="583" max="583" width="6.85546875" bestFit="1" customWidth="1"/>
    <col min="584" max="584" width="5.85546875" bestFit="1" customWidth="1"/>
    <col min="585" max="585" width="4.140625" bestFit="1" customWidth="1"/>
    <col min="586" max="588" width="6.85546875" bestFit="1" customWidth="1"/>
    <col min="589" max="589" width="5.85546875" bestFit="1" customWidth="1"/>
    <col min="590" max="595" width="6.85546875" bestFit="1" customWidth="1"/>
    <col min="596" max="597" width="5.85546875" bestFit="1" customWidth="1"/>
    <col min="598" max="602" width="6.85546875" bestFit="1" customWidth="1"/>
    <col min="603" max="603" width="4.140625" bestFit="1" customWidth="1"/>
    <col min="604" max="608" width="6.85546875" bestFit="1" customWidth="1"/>
    <col min="609" max="609" width="5.85546875" bestFit="1" customWidth="1"/>
    <col min="610" max="615" width="6.85546875" bestFit="1" customWidth="1"/>
    <col min="616" max="616" width="5.85546875" bestFit="1" customWidth="1"/>
    <col min="617" max="627" width="6.85546875" bestFit="1" customWidth="1"/>
    <col min="628" max="628" width="5.85546875" bestFit="1" customWidth="1"/>
    <col min="629" max="629" width="6.85546875" bestFit="1" customWidth="1"/>
    <col min="630" max="630" width="5.85546875" bestFit="1" customWidth="1"/>
    <col min="631" max="632" width="6.85546875" bestFit="1" customWidth="1"/>
    <col min="633" max="633" width="5.85546875" bestFit="1" customWidth="1"/>
    <col min="634" max="634" width="6.85546875" bestFit="1" customWidth="1"/>
    <col min="635" max="635" width="5.85546875" bestFit="1" customWidth="1"/>
    <col min="636" max="637" width="6.85546875" bestFit="1" customWidth="1"/>
    <col min="638" max="638" width="5.85546875" bestFit="1" customWidth="1"/>
    <col min="639" max="639" width="6.85546875" bestFit="1" customWidth="1"/>
    <col min="640" max="640" width="5.85546875" bestFit="1" customWidth="1"/>
    <col min="641" max="653" width="6.85546875" bestFit="1" customWidth="1"/>
    <col min="654" max="654" width="5.85546875" bestFit="1" customWidth="1"/>
    <col min="655" max="656" width="6.85546875" bestFit="1" customWidth="1"/>
    <col min="657" max="657" width="5.85546875" bestFit="1" customWidth="1"/>
    <col min="658" max="666" width="6.85546875" bestFit="1" customWidth="1"/>
    <col min="667" max="677" width="8" bestFit="1" customWidth="1"/>
    <col min="678" max="678" width="6.85546875" bestFit="1" customWidth="1"/>
    <col min="679" max="688" width="8" bestFit="1" customWidth="1"/>
    <col min="689" max="689" width="6.85546875" bestFit="1" customWidth="1"/>
    <col min="690" max="696" width="8" bestFit="1" customWidth="1"/>
    <col min="697" max="697" width="6.85546875" bestFit="1" customWidth="1"/>
    <col min="698" max="717" width="8" bestFit="1" customWidth="1"/>
    <col min="718" max="718" width="6.85546875" bestFit="1" customWidth="1"/>
    <col min="719" max="719" width="8" bestFit="1" customWidth="1"/>
    <col min="720" max="720" width="6.85546875" bestFit="1" customWidth="1"/>
    <col min="721" max="725" width="8" bestFit="1" customWidth="1"/>
    <col min="726" max="726" width="6.85546875" bestFit="1" customWidth="1"/>
    <col min="727" max="732" width="8" bestFit="1" customWidth="1"/>
    <col min="733" max="734" width="6.85546875" bestFit="1" customWidth="1"/>
    <col min="735" max="736" width="8" bestFit="1" customWidth="1"/>
    <col min="737" max="737" width="5.140625" bestFit="1" customWidth="1"/>
    <col min="738" max="740" width="8" bestFit="1" customWidth="1"/>
    <col min="741" max="742" width="6.85546875" bestFit="1" customWidth="1"/>
    <col min="743" max="743" width="8" bestFit="1" customWidth="1"/>
    <col min="744" max="744" width="6.85546875" bestFit="1" customWidth="1"/>
    <col min="745" max="745" width="8" bestFit="1" customWidth="1"/>
    <col min="746" max="747" width="6.85546875" bestFit="1" customWidth="1"/>
    <col min="748" max="749" width="8" bestFit="1" customWidth="1"/>
    <col min="750" max="750" width="6.85546875" bestFit="1" customWidth="1"/>
    <col min="751" max="758" width="8" bestFit="1" customWidth="1"/>
    <col min="759" max="759" width="6.85546875" bestFit="1" customWidth="1"/>
    <col min="760" max="762" width="8" bestFit="1" customWidth="1"/>
    <col min="763" max="763" width="6.85546875" bestFit="1" customWidth="1"/>
    <col min="764" max="772" width="8" bestFit="1" customWidth="1"/>
    <col min="773" max="773" width="6.85546875" bestFit="1" customWidth="1"/>
    <col min="774" max="774" width="8" bestFit="1" customWidth="1"/>
    <col min="775" max="775" width="6.85546875" bestFit="1" customWidth="1"/>
    <col min="776" max="782" width="8" bestFit="1" customWidth="1"/>
    <col min="783" max="785" width="6.85546875" bestFit="1" customWidth="1"/>
    <col min="786" max="786" width="8" bestFit="1" customWidth="1"/>
    <col min="787" max="787" width="6.85546875" bestFit="1" customWidth="1"/>
    <col min="788" max="794" width="8" bestFit="1" customWidth="1"/>
    <col min="795" max="795" width="6.85546875" bestFit="1" customWidth="1"/>
    <col min="796" max="796" width="8" bestFit="1" customWidth="1"/>
    <col min="797" max="797" width="6.85546875" bestFit="1" customWidth="1"/>
    <col min="798" max="802" width="8" bestFit="1" customWidth="1"/>
    <col min="803" max="803" width="6.85546875" bestFit="1" customWidth="1"/>
    <col min="804" max="810" width="8" bestFit="1" customWidth="1"/>
    <col min="811" max="811" width="6.85546875" bestFit="1" customWidth="1"/>
    <col min="812" max="813" width="8" bestFit="1" customWidth="1"/>
    <col min="814" max="814" width="6.85546875" bestFit="1" customWidth="1"/>
    <col min="815" max="821" width="8" bestFit="1" customWidth="1"/>
    <col min="822" max="822" width="6.85546875" bestFit="1" customWidth="1"/>
    <col min="823" max="833" width="8" bestFit="1" customWidth="1"/>
    <col min="834" max="834" width="6.85546875" bestFit="1" customWidth="1"/>
    <col min="835" max="842" width="8" bestFit="1" customWidth="1"/>
    <col min="843" max="843" width="6.85546875" bestFit="1" customWidth="1"/>
    <col min="844" max="849" width="8" bestFit="1" customWidth="1"/>
    <col min="850" max="850" width="6.85546875" bestFit="1" customWidth="1"/>
    <col min="851" max="859" width="8" bestFit="1" customWidth="1"/>
    <col min="860" max="860" width="6.85546875" bestFit="1" customWidth="1"/>
    <col min="861" max="864" width="8" bestFit="1" customWidth="1"/>
    <col min="865" max="865" width="6.85546875" bestFit="1" customWidth="1"/>
    <col min="866" max="885" width="8" bestFit="1" customWidth="1"/>
    <col min="886" max="886" width="6.85546875" bestFit="1" customWidth="1"/>
    <col min="887" max="887" width="8" bestFit="1" customWidth="1"/>
    <col min="888" max="888" width="11.42578125" bestFit="1" customWidth="1"/>
  </cols>
  <sheetData>
    <row r="1" spans="1:19" ht="19.5" customHeight="1">
      <c r="A1" t="s">
        <v>147</v>
      </c>
      <c r="B1" t="s">
        <v>133</v>
      </c>
      <c r="C1" t="s">
        <v>125</v>
      </c>
      <c r="D1" t="s">
        <v>148</v>
      </c>
      <c r="E1" t="s">
        <v>149</v>
      </c>
      <c r="F1" t="s">
        <v>150</v>
      </c>
      <c r="G1" t="s">
        <v>106</v>
      </c>
      <c r="H1" t="s">
        <v>137</v>
      </c>
      <c r="I1" t="s">
        <v>71</v>
      </c>
      <c r="J1" t="s">
        <v>48</v>
      </c>
      <c r="K1" t="s">
        <v>116</v>
      </c>
      <c r="L1" s="2" t="s">
        <v>151</v>
      </c>
      <c r="M1" s="2" t="s">
        <v>70</v>
      </c>
      <c r="N1" t="s">
        <v>115</v>
      </c>
      <c r="O1" t="s">
        <v>152</v>
      </c>
      <c r="P1" t="s">
        <v>153</v>
      </c>
      <c r="Q1" t="s">
        <v>96</v>
      </c>
    </row>
    <row r="2" spans="1:19">
      <c r="A2">
        <v>1</v>
      </c>
      <c r="B2">
        <v>1001</v>
      </c>
      <c r="C2">
        <v>45</v>
      </c>
      <c r="D2">
        <v>7</v>
      </c>
      <c r="E2">
        <v>184.44</v>
      </c>
      <c r="F2">
        <v>0</v>
      </c>
      <c r="G2">
        <f>E2*D2-F2</f>
        <v>1291.08</v>
      </c>
      <c r="H2" t="str">
        <f>_xlfn.XLOOKUP(B2,customer_orders!A:A,customer_orders!F:F)</f>
        <v>2026-01</v>
      </c>
      <c r="I2" t="str">
        <f>_xlfn.XLOOKUP(C2,products!A:A,products!B:B)</f>
        <v>SKU-0045</v>
      </c>
      <c r="J2" t="str">
        <f>_xlfn.XLOOKUP(B2,customer_orders!A:A,customer_orders!G:G)</f>
        <v>2026-w04</v>
      </c>
      <c r="K2">
        <f>IFERROR(_xlfn.XLOOKUP(B2,shipments!B:B,shipments!H:H),0)</f>
        <v>25.61</v>
      </c>
      <c r="L2">
        <f>ROUND(K2/G2,2)</f>
        <v>0.02</v>
      </c>
      <c r="M2" t="str">
        <f>_xlfn.XLOOKUP(B2,customer_orders!A:A,customer_orders!D:D)</f>
        <v>Amazon</v>
      </c>
      <c r="N2" t="str">
        <f>_xlfn.XLOOKUP(C2,inventory!B:B,inventory!C:C)</f>
        <v>Draper</v>
      </c>
      <c r="O2">
        <f>IF(_xlfn.XLOOKUP(C2,products!A:A,products!E:E)="NULL",0,_xlfn.XLOOKUP(C2,products!A:A,products!E:E))</f>
        <v>48.09</v>
      </c>
      <c r="P2">
        <f>G2-O2</f>
        <v>1242.99</v>
      </c>
      <c r="Q2" s="2" t="str">
        <f>_xlfn.XLOOKUP(I2,products!B:B,products!D:D)</f>
        <v>Home</v>
      </c>
      <c r="S2" s="2"/>
    </row>
    <row r="3" spans="1:19">
      <c r="A3">
        <v>2</v>
      </c>
      <c r="B3">
        <v>1002</v>
      </c>
      <c r="C3">
        <v>73</v>
      </c>
      <c r="D3">
        <v>8</v>
      </c>
      <c r="E3">
        <v>134.83000000000001</v>
      </c>
      <c r="F3">
        <v>14.85</v>
      </c>
      <c r="G3">
        <f t="shared" ref="G3:G66" si="0">E3*D3-F3</f>
        <v>1063.7900000000002</v>
      </c>
      <c r="H3" t="str">
        <f>_xlfn.XLOOKUP(B3,customer_orders!A:A,customer_orders!F:F)</f>
        <v>2026-03</v>
      </c>
      <c r="I3" t="str">
        <f>_xlfn.XLOOKUP(C3,products!A:A,products!B:B)</f>
        <v>SKU-0073</v>
      </c>
      <c r="J3" t="str">
        <f>_xlfn.XLOOKUP(B3,customer_orders!A:A,customer_orders!G:G)</f>
        <v>2026-w12</v>
      </c>
      <c r="K3">
        <f>IFERROR(_xlfn.XLOOKUP(B3,shipments!B:B,shipments!H:H),0)</f>
        <v>95.73</v>
      </c>
      <c r="L3">
        <f t="shared" ref="L3:L66" si="1">ROUND(K3/G3,2)</f>
        <v>0.09</v>
      </c>
      <c r="M3" t="str">
        <f>_xlfn.XLOOKUP(B3,customer_orders!A:A,customer_orders!D:D)</f>
        <v>Amazon</v>
      </c>
      <c r="N3" t="str">
        <f>_xlfn.XLOOKUP(C3,inventory!B:B,inventory!C:C)</f>
        <v>Draper</v>
      </c>
      <c r="O3">
        <f>IF(_xlfn.XLOOKUP(C3,products!A:A,products!E:E)="NULL",0,_xlfn.XLOOKUP(C3,products!A:A,products!E:E))</f>
        <v>27.28</v>
      </c>
      <c r="P3">
        <f t="shared" ref="P3:P66" si="2">G3-O3</f>
        <v>1036.5100000000002</v>
      </c>
      <c r="Q3" s="2" t="str">
        <f>_xlfn.XLOOKUP(I3,products!B:B,products!D:D)</f>
        <v>Sports</v>
      </c>
      <c r="S3" s="2"/>
    </row>
    <row r="4" spans="1:19">
      <c r="A4">
        <v>3</v>
      </c>
      <c r="B4">
        <v>1002</v>
      </c>
      <c r="C4">
        <v>35</v>
      </c>
      <c r="D4">
        <v>8</v>
      </c>
      <c r="E4">
        <v>46.14</v>
      </c>
      <c r="F4">
        <v>0</v>
      </c>
      <c r="G4">
        <f t="shared" si="0"/>
        <v>369.12</v>
      </c>
      <c r="H4" t="str">
        <f>_xlfn.XLOOKUP(B4,customer_orders!A:A,customer_orders!F:F)</f>
        <v>2026-03</v>
      </c>
      <c r="I4" t="str">
        <f>_xlfn.XLOOKUP(C4,products!A:A,products!B:B)</f>
        <v>SKU-0035</v>
      </c>
      <c r="J4" t="str">
        <f>_xlfn.XLOOKUP(B4,customer_orders!A:A,customer_orders!G:G)</f>
        <v>2026-w12</v>
      </c>
      <c r="K4">
        <f>IFERROR(_xlfn.XLOOKUP(B4,shipments!B:B,shipments!H:H),0)</f>
        <v>95.73</v>
      </c>
      <c r="L4">
        <f t="shared" si="1"/>
        <v>0.26</v>
      </c>
      <c r="M4" t="str">
        <f>_xlfn.XLOOKUP(B4,customer_orders!A:A,customer_orders!D:D)</f>
        <v>Amazon</v>
      </c>
      <c r="N4" t="str">
        <f>_xlfn.XLOOKUP(C4,inventory!B:B,inventory!C:C)</f>
        <v>Salt Lake City</v>
      </c>
      <c r="O4">
        <f>IF(_xlfn.XLOOKUP(C4,products!A:A,products!E:E)="NULL",0,_xlfn.XLOOKUP(C4,products!A:A,products!E:E))</f>
        <v>145.1</v>
      </c>
      <c r="P4">
        <f t="shared" si="2"/>
        <v>224.02</v>
      </c>
      <c r="Q4" s="2" t="str">
        <f>_xlfn.XLOOKUP(I4,products!B:B,products!D:D)</f>
        <v>Office</v>
      </c>
      <c r="S4" s="2"/>
    </row>
    <row r="5" spans="1:19">
      <c r="A5">
        <v>4</v>
      </c>
      <c r="B5">
        <v>1002</v>
      </c>
      <c r="C5">
        <v>85</v>
      </c>
      <c r="D5">
        <v>3</v>
      </c>
      <c r="E5">
        <v>163.57</v>
      </c>
      <c r="F5">
        <v>0</v>
      </c>
      <c r="G5">
        <f t="shared" si="0"/>
        <v>490.71</v>
      </c>
      <c r="H5" t="str">
        <f>_xlfn.XLOOKUP(B5,customer_orders!A:A,customer_orders!F:F)</f>
        <v>2026-03</v>
      </c>
      <c r="I5" t="str">
        <f>_xlfn.XLOOKUP(C5,products!A:A,products!B:B)</f>
        <v>SKU-0085</v>
      </c>
      <c r="J5" t="str">
        <f>_xlfn.XLOOKUP(B5,customer_orders!A:A,customer_orders!G:G)</f>
        <v>2026-w12</v>
      </c>
      <c r="K5">
        <f>IFERROR(_xlfn.XLOOKUP(B5,shipments!B:B,shipments!H:H),0)</f>
        <v>95.73</v>
      </c>
      <c r="L5">
        <f t="shared" si="1"/>
        <v>0.2</v>
      </c>
      <c r="M5" t="str">
        <f>_xlfn.XLOOKUP(B5,customer_orders!A:A,customer_orders!D:D)</f>
        <v>Amazon</v>
      </c>
      <c r="N5" t="str">
        <f>_xlfn.XLOOKUP(C5,inventory!B:B,inventory!C:C)</f>
        <v>Draper</v>
      </c>
      <c r="O5">
        <f>IF(_xlfn.XLOOKUP(C5,products!A:A,products!E:E)="NULL",0,_xlfn.XLOOKUP(C5,products!A:A,products!E:E))</f>
        <v>139.02000000000001</v>
      </c>
      <c r="P5">
        <f t="shared" si="2"/>
        <v>351.68999999999994</v>
      </c>
      <c r="Q5" s="2" t="str">
        <f>_xlfn.XLOOKUP(I5,products!B:B,products!D:D)</f>
        <v>Beauty</v>
      </c>
      <c r="S5" s="2"/>
    </row>
    <row r="6" spans="1:19">
      <c r="A6">
        <v>5</v>
      </c>
      <c r="B6">
        <v>1003</v>
      </c>
      <c r="C6">
        <v>103</v>
      </c>
      <c r="D6">
        <v>2</v>
      </c>
      <c r="E6">
        <v>241.92</v>
      </c>
      <c r="F6">
        <v>0</v>
      </c>
      <c r="G6">
        <f t="shared" si="0"/>
        <v>483.84</v>
      </c>
      <c r="H6" t="str">
        <f>_xlfn.XLOOKUP(B6,customer_orders!A:A,customer_orders!F:F)</f>
        <v>2026-04</v>
      </c>
      <c r="I6" t="str">
        <f>_xlfn.XLOOKUP(C6,products!A:A,products!B:B)</f>
        <v>SKU-0103</v>
      </c>
      <c r="J6" t="str">
        <f>_xlfn.XLOOKUP(B6,customer_orders!A:A,customer_orders!G:G)</f>
        <v>2026-w16</v>
      </c>
      <c r="K6">
        <f>IFERROR(_xlfn.XLOOKUP(B6,shipments!B:B,shipments!H:H),0)</f>
        <v>4.79</v>
      </c>
      <c r="L6">
        <f t="shared" si="1"/>
        <v>0.01</v>
      </c>
      <c r="M6" t="str">
        <f>_xlfn.XLOOKUP(B6,customer_orders!A:A,customer_orders!D:D)</f>
        <v>Amazon</v>
      </c>
      <c r="N6" t="str">
        <f>_xlfn.XLOOKUP(C6,inventory!B:B,inventory!C:C)</f>
        <v>Draper</v>
      </c>
      <c r="O6">
        <f>IF(_xlfn.XLOOKUP(C6,products!A:A,products!E:E)="NULL",0,_xlfn.XLOOKUP(C6,products!A:A,products!E:E))</f>
        <v>145.97</v>
      </c>
      <c r="P6">
        <f t="shared" si="2"/>
        <v>337.87</v>
      </c>
      <c r="Q6" s="2" t="str">
        <f>_xlfn.XLOOKUP(I6,products!B:B,products!D:D)</f>
        <v>Sports</v>
      </c>
      <c r="S6" s="2"/>
    </row>
    <row r="7" spans="1:19">
      <c r="A7">
        <v>6</v>
      </c>
      <c r="B7">
        <v>1004</v>
      </c>
      <c r="C7">
        <v>67</v>
      </c>
      <c r="D7">
        <v>6</v>
      </c>
      <c r="E7">
        <v>291.56</v>
      </c>
      <c r="F7">
        <v>0</v>
      </c>
      <c r="G7">
        <f t="shared" si="0"/>
        <v>1749.3600000000001</v>
      </c>
      <c r="H7" t="str">
        <f>_xlfn.XLOOKUP(B7,customer_orders!A:A,customer_orders!F:F)</f>
        <v>2026-03</v>
      </c>
      <c r="I7" t="str">
        <f>_xlfn.XLOOKUP(C7,products!A:A,products!B:B)</f>
        <v>SKU-0067</v>
      </c>
      <c r="J7" t="str">
        <f>_xlfn.XLOOKUP(B7,customer_orders!A:A,customer_orders!G:G)</f>
        <v>2026-w12</v>
      </c>
      <c r="K7">
        <f>IFERROR(_xlfn.XLOOKUP(B7,shipments!B:B,shipments!H:H),0)</f>
        <v>39.590000000000003</v>
      </c>
      <c r="L7">
        <f t="shared" si="1"/>
        <v>0.02</v>
      </c>
      <c r="M7" t="str">
        <f>_xlfn.XLOOKUP(B7,customer_orders!A:A,customer_orders!D:D)</f>
        <v>Shopify</v>
      </c>
      <c r="N7" t="str">
        <f>_xlfn.XLOOKUP(C7,inventory!B:B,inventory!C:C)</f>
        <v>West Valley</v>
      </c>
      <c r="O7">
        <f>IF(_xlfn.XLOOKUP(C7,products!A:A,products!E:E)="NULL",0,_xlfn.XLOOKUP(C7,products!A:A,products!E:E))</f>
        <v>25.18</v>
      </c>
      <c r="P7">
        <f t="shared" si="2"/>
        <v>1724.18</v>
      </c>
      <c r="Q7" s="2" t="str">
        <f>_xlfn.XLOOKUP(I7,products!B:B,products!D:D)</f>
        <v>Kitchen</v>
      </c>
      <c r="S7" s="2"/>
    </row>
    <row r="8" spans="1:19">
      <c r="A8">
        <v>7</v>
      </c>
      <c r="B8">
        <v>1005</v>
      </c>
      <c r="C8">
        <v>35</v>
      </c>
      <c r="D8">
        <v>8</v>
      </c>
      <c r="E8">
        <v>46.14</v>
      </c>
      <c r="F8">
        <v>0</v>
      </c>
      <c r="G8">
        <f t="shared" si="0"/>
        <v>369.12</v>
      </c>
      <c r="H8" t="str">
        <f>_xlfn.XLOOKUP(B8,customer_orders!A:A,customer_orders!F:F)</f>
        <v>2026-03</v>
      </c>
      <c r="I8" t="str">
        <f>_xlfn.XLOOKUP(C8,products!A:A,products!B:B)</f>
        <v>SKU-0035</v>
      </c>
      <c r="J8" t="str">
        <f>_xlfn.XLOOKUP(B8,customer_orders!A:A,customer_orders!G:G)</f>
        <v>2026-w12</v>
      </c>
      <c r="K8">
        <f>IFERROR(_xlfn.XLOOKUP(B8,shipments!B:B,shipments!H:H),0)</f>
        <v>0</v>
      </c>
      <c r="L8">
        <f t="shared" si="1"/>
        <v>0</v>
      </c>
      <c r="M8" t="str">
        <f>_xlfn.XLOOKUP(B8,customer_orders!A:A,customer_orders!D:D)</f>
        <v>Amazon</v>
      </c>
      <c r="N8" t="str">
        <f>_xlfn.XLOOKUP(C8,inventory!B:B,inventory!C:C)</f>
        <v>Salt Lake City</v>
      </c>
      <c r="O8">
        <f>IF(_xlfn.XLOOKUP(C8,products!A:A,products!E:E)="NULL",0,_xlfn.XLOOKUP(C8,products!A:A,products!E:E))</f>
        <v>145.1</v>
      </c>
      <c r="P8">
        <f t="shared" si="2"/>
        <v>224.02</v>
      </c>
      <c r="Q8" s="2" t="str">
        <f>_xlfn.XLOOKUP(I8,products!B:B,products!D:D)</f>
        <v>Office</v>
      </c>
      <c r="S8" s="2"/>
    </row>
    <row r="9" spans="1:19">
      <c r="A9">
        <v>8</v>
      </c>
      <c r="B9">
        <v>1005</v>
      </c>
      <c r="C9">
        <v>107</v>
      </c>
      <c r="D9">
        <v>8</v>
      </c>
      <c r="E9">
        <v>223.34</v>
      </c>
      <c r="F9">
        <v>0</v>
      </c>
      <c r="G9">
        <f t="shared" si="0"/>
        <v>1786.72</v>
      </c>
      <c r="H9" t="str">
        <f>_xlfn.XLOOKUP(B9,customer_orders!A:A,customer_orders!F:F)</f>
        <v>2026-03</v>
      </c>
      <c r="I9" t="str">
        <f>_xlfn.XLOOKUP(C9,products!A:A,products!B:B)</f>
        <v>SKU-0107</v>
      </c>
      <c r="J9" t="str">
        <f>_xlfn.XLOOKUP(B9,customer_orders!A:A,customer_orders!G:G)</f>
        <v>2026-w12</v>
      </c>
      <c r="K9">
        <f>IFERROR(_xlfn.XLOOKUP(B9,shipments!B:B,shipments!H:H),0)</f>
        <v>0</v>
      </c>
      <c r="L9">
        <f t="shared" si="1"/>
        <v>0</v>
      </c>
      <c r="M9" t="str">
        <f>_xlfn.XLOOKUP(B9,customer_orders!A:A,customer_orders!D:D)</f>
        <v>Amazon</v>
      </c>
      <c r="N9" t="str">
        <f>_xlfn.XLOOKUP(C9,inventory!B:B,inventory!C:C)</f>
        <v>South Jordan</v>
      </c>
      <c r="O9">
        <f>IF(_xlfn.XLOOKUP(C9,products!A:A,products!E:E)="NULL",0,_xlfn.XLOOKUP(C9,products!A:A,products!E:E))</f>
        <v>81.23</v>
      </c>
      <c r="P9">
        <f t="shared" si="2"/>
        <v>1705.49</v>
      </c>
      <c r="Q9" s="2" t="str">
        <f>_xlfn.XLOOKUP(I9,products!B:B,products!D:D)</f>
        <v>Pet</v>
      </c>
      <c r="S9" s="2"/>
    </row>
    <row r="10" spans="1:19">
      <c r="A10">
        <v>9</v>
      </c>
      <c r="B10">
        <v>1006</v>
      </c>
      <c r="C10">
        <v>20</v>
      </c>
      <c r="D10">
        <v>2</v>
      </c>
      <c r="E10">
        <v>168.04</v>
      </c>
      <c r="F10">
        <v>0</v>
      </c>
      <c r="G10">
        <f t="shared" si="0"/>
        <v>336.08</v>
      </c>
      <c r="H10" t="str">
        <f>_xlfn.XLOOKUP(B10,customer_orders!A:A,customer_orders!F:F)</f>
        <v>2026-01</v>
      </c>
      <c r="I10" t="str">
        <f>_xlfn.XLOOKUP(C10,products!A:A,products!B:B)</f>
        <v>SKU-0020</v>
      </c>
      <c r="J10" t="str">
        <f>_xlfn.XLOOKUP(B10,customer_orders!A:A,customer_orders!G:G)</f>
        <v>2026-w04</v>
      </c>
      <c r="K10">
        <f>IFERROR(_xlfn.XLOOKUP(B10,shipments!B:B,shipments!H:H),0)</f>
        <v>97.81</v>
      </c>
      <c r="L10">
        <f t="shared" si="1"/>
        <v>0.28999999999999998</v>
      </c>
      <c r="M10" t="str">
        <f>_xlfn.XLOOKUP(B10,customer_orders!A:A,customer_orders!D:D)</f>
        <v>Walmart</v>
      </c>
      <c r="N10" t="str">
        <f>_xlfn.XLOOKUP(C10,inventory!B:B,inventory!C:C)</f>
        <v>South Jordan</v>
      </c>
      <c r="O10">
        <f>IF(_xlfn.XLOOKUP(C10,products!A:A,products!E:E)="NULL",0,_xlfn.XLOOKUP(C10,products!A:A,products!E:E))</f>
        <v>124.3</v>
      </c>
      <c r="P10">
        <f t="shared" si="2"/>
        <v>211.77999999999997</v>
      </c>
      <c r="Q10" s="2" t="str">
        <f>_xlfn.XLOOKUP(I10,products!B:B,products!D:D)</f>
        <v>Electronics</v>
      </c>
      <c r="S10" s="2"/>
    </row>
    <row r="11" spans="1:19">
      <c r="A11">
        <v>10</v>
      </c>
      <c r="B11">
        <v>1006</v>
      </c>
      <c r="C11">
        <v>147</v>
      </c>
      <c r="D11">
        <v>3</v>
      </c>
      <c r="E11">
        <v>133.41</v>
      </c>
      <c r="F11">
        <v>3.3</v>
      </c>
      <c r="G11">
        <f t="shared" si="0"/>
        <v>396.93</v>
      </c>
      <c r="H11" t="str">
        <f>_xlfn.XLOOKUP(B11,customer_orders!A:A,customer_orders!F:F)</f>
        <v>2026-01</v>
      </c>
      <c r="I11" t="str">
        <f>_xlfn.XLOOKUP(C11,products!A:A,products!B:B)</f>
        <v>SKU-0147</v>
      </c>
      <c r="J11" t="str">
        <f>_xlfn.XLOOKUP(B11,customer_orders!A:A,customer_orders!G:G)</f>
        <v>2026-w04</v>
      </c>
      <c r="K11">
        <f>IFERROR(_xlfn.XLOOKUP(B11,shipments!B:B,shipments!H:H),0)</f>
        <v>97.81</v>
      </c>
      <c r="L11">
        <f t="shared" si="1"/>
        <v>0.25</v>
      </c>
      <c r="M11" t="str">
        <f>_xlfn.XLOOKUP(B11,customer_orders!A:A,customer_orders!D:D)</f>
        <v>Walmart</v>
      </c>
      <c r="N11" t="str">
        <f>_xlfn.XLOOKUP(C11,inventory!B:B,inventory!C:C)</f>
        <v>Draper</v>
      </c>
      <c r="O11">
        <f>IF(_xlfn.XLOOKUP(C11,products!A:A,products!E:E)="NULL",0,_xlfn.XLOOKUP(C11,products!A:A,products!E:E))</f>
        <v>128.44999999999999</v>
      </c>
      <c r="P11">
        <f t="shared" si="2"/>
        <v>268.48</v>
      </c>
      <c r="Q11" s="2" t="str">
        <f>_xlfn.XLOOKUP(I11,products!B:B,products!D:D)</f>
        <v>Sports</v>
      </c>
      <c r="S11" s="2"/>
    </row>
    <row r="12" spans="1:19">
      <c r="A12">
        <v>11</v>
      </c>
      <c r="B12">
        <v>1006</v>
      </c>
      <c r="C12">
        <v>30</v>
      </c>
      <c r="D12">
        <v>4</v>
      </c>
      <c r="E12">
        <v>35.229999999999997</v>
      </c>
      <c r="F12">
        <v>11.04</v>
      </c>
      <c r="G12">
        <f t="shared" si="0"/>
        <v>129.88</v>
      </c>
      <c r="H12" t="str">
        <f>_xlfn.XLOOKUP(B12,customer_orders!A:A,customer_orders!F:F)</f>
        <v>2026-01</v>
      </c>
      <c r="I12" t="str">
        <f>_xlfn.XLOOKUP(C12,products!A:A,products!B:B)</f>
        <v>SKU-0030</v>
      </c>
      <c r="J12" t="str">
        <f>_xlfn.XLOOKUP(B12,customer_orders!A:A,customer_orders!G:G)</f>
        <v>2026-w04</v>
      </c>
      <c r="K12">
        <f>IFERROR(_xlfn.XLOOKUP(B12,shipments!B:B,shipments!H:H),0)</f>
        <v>97.81</v>
      </c>
      <c r="L12">
        <f t="shared" si="1"/>
        <v>0.75</v>
      </c>
      <c r="M12" t="str">
        <f>_xlfn.XLOOKUP(B12,customer_orders!A:A,customer_orders!D:D)</f>
        <v>Walmart</v>
      </c>
      <c r="N12" t="str">
        <f>_xlfn.XLOOKUP(C12,inventory!B:B,inventory!C:C)</f>
        <v>Draper</v>
      </c>
      <c r="O12">
        <f>IF(_xlfn.XLOOKUP(C12,products!A:A,products!E:E)="NULL",0,_xlfn.XLOOKUP(C12,products!A:A,products!E:E))</f>
        <v>43.54</v>
      </c>
      <c r="P12">
        <f t="shared" si="2"/>
        <v>86.34</v>
      </c>
      <c r="Q12" s="2" t="str">
        <f>_xlfn.XLOOKUP(I12,products!B:B,products!D:D)</f>
        <v>Beauty</v>
      </c>
      <c r="S12" s="2"/>
    </row>
    <row r="13" spans="1:19">
      <c r="A13">
        <v>12</v>
      </c>
      <c r="B13">
        <v>1007</v>
      </c>
      <c r="C13">
        <v>6</v>
      </c>
      <c r="D13">
        <v>7</v>
      </c>
      <c r="E13">
        <v>256.54000000000002</v>
      </c>
      <c r="F13">
        <v>0</v>
      </c>
      <c r="G13">
        <f t="shared" si="0"/>
        <v>1795.7800000000002</v>
      </c>
      <c r="H13" t="str">
        <f>_xlfn.XLOOKUP(B13,customer_orders!A:A,customer_orders!F:F)</f>
        <v>2026-01</v>
      </c>
      <c r="I13" t="str">
        <f>_xlfn.XLOOKUP(C13,products!A:A,products!B:B)</f>
        <v>SKU-0006</v>
      </c>
      <c r="J13" t="str">
        <f>_xlfn.XLOOKUP(B13,customer_orders!A:A,customer_orders!G:G)</f>
        <v>2026-w03</v>
      </c>
      <c r="K13">
        <f>IFERROR(_xlfn.XLOOKUP(B13,shipments!B:B,shipments!H:H),0)</f>
        <v>51.43</v>
      </c>
      <c r="L13">
        <f t="shared" si="1"/>
        <v>0.03</v>
      </c>
      <c r="M13" t="str">
        <f>_xlfn.XLOOKUP(B13,customer_orders!A:A,customer_orders!D:D)</f>
        <v>Walmart</v>
      </c>
      <c r="N13" t="str">
        <f>_xlfn.XLOOKUP(C13,inventory!B:B,inventory!C:C)</f>
        <v>South Jordan</v>
      </c>
      <c r="O13">
        <f>IF(_xlfn.XLOOKUP(C13,products!A:A,products!E:E)="NULL",0,_xlfn.XLOOKUP(C13,products!A:A,products!E:E))</f>
        <v>21.93</v>
      </c>
      <c r="P13">
        <f t="shared" si="2"/>
        <v>1773.8500000000001</v>
      </c>
      <c r="Q13" s="2" t="str">
        <f>_xlfn.XLOOKUP(I13,products!B:B,products!D:D)</f>
        <v>Home</v>
      </c>
      <c r="S13" s="2"/>
    </row>
    <row r="14" spans="1:19">
      <c r="A14">
        <v>13</v>
      </c>
      <c r="B14">
        <v>1007</v>
      </c>
      <c r="C14">
        <v>56</v>
      </c>
      <c r="D14">
        <v>2</v>
      </c>
      <c r="E14">
        <v>172.23</v>
      </c>
      <c r="F14">
        <v>0</v>
      </c>
      <c r="G14">
        <f t="shared" si="0"/>
        <v>344.46</v>
      </c>
      <c r="H14" t="str">
        <f>_xlfn.XLOOKUP(B14,customer_orders!A:A,customer_orders!F:F)</f>
        <v>2026-01</v>
      </c>
      <c r="I14" t="str">
        <f>_xlfn.XLOOKUP(C14,products!A:A,products!B:B)</f>
        <v>SKU-0056</v>
      </c>
      <c r="J14" t="str">
        <f>_xlfn.XLOOKUP(B14,customer_orders!A:A,customer_orders!G:G)</f>
        <v>2026-w03</v>
      </c>
      <c r="K14">
        <f>IFERROR(_xlfn.XLOOKUP(B14,shipments!B:B,shipments!H:H),0)</f>
        <v>51.43</v>
      </c>
      <c r="L14">
        <f t="shared" si="1"/>
        <v>0.15</v>
      </c>
      <c r="M14" t="str">
        <f>_xlfn.XLOOKUP(B14,customer_orders!A:A,customer_orders!D:D)</f>
        <v>Walmart</v>
      </c>
      <c r="N14" t="str">
        <f>_xlfn.XLOOKUP(C14,inventory!B:B,inventory!C:C)</f>
        <v>South Jordan</v>
      </c>
      <c r="O14">
        <f>IF(_xlfn.XLOOKUP(C14,products!A:A,products!E:E)="NULL",0,_xlfn.XLOOKUP(C14,products!A:A,products!E:E))</f>
        <v>134.72</v>
      </c>
      <c r="P14">
        <f t="shared" si="2"/>
        <v>209.73999999999998</v>
      </c>
      <c r="Q14" s="2" t="str">
        <f>_xlfn.XLOOKUP(I14,products!B:B,products!D:D)</f>
        <v>Sports</v>
      </c>
      <c r="S14" s="2"/>
    </row>
    <row r="15" spans="1:19">
      <c r="A15">
        <v>14</v>
      </c>
      <c r="B15">
        <v>1007</v>
      </c>
      <c r="C15">
        <v>17</v>
      </c>
      <c r="D15">
        <v>1</v>
      </c>
      <c r="E15">
        <v>299.3</v>
      </c>
      <c r="F15">
        <v>0</v>
      </c>
      <c r="G15">
        <f t="shared" si="0"/>
        <v>299.3</v>
      </c>
      <c r="H15" t="str">
        <f>_xlfn.XLOOKUP(B15,customer_orders!A:A,customer_orders!F:F)</f>
        <v>2026-01</v>
      </c>
      <c r="I15" t="str">
        <f>_xlfn.XLOOKUP(C15,products!A:A,products!B:B)</f>
        <v>SKU-0017</v>
      </c>
      <c r="J15" t="str">
        <f>_xlfn.XLOOKUP(B15,customer_orders!A:A,customer_orders!G:G)</f>
        <v>2026-w03</v>
      </c>
      <c r="K15">
        <f>IFERROR(_xlfn.XLOOKUP(B15,shipments!B:B,shipments!H:H),0)</f>
        <v>51.43</v>
      </c>
      <c r="L15">
        <f t="shared" si="1"/>
        <v>0.17</v>
      </c>
      <c r="M15" t="str">
        <f>_xlfn.XLOOKUP(B15,customer_orders!A:A,customer_orders!D:D)</f>
        <v>Walmart</v>
      </c>
      <c r="N15" t="str">
        <f>_xlfn.XLOOKUP(C15,inventory!B:B,inventory!C:C)</f>
        <v>West Valley</v>
      </c>
      <c r="O15">
        <f>IF(_xlfn.XLOOKUP(C15,products!A:A,products!E:E)="NULL",0,_xlfn.XLOOKUP(C15,products!A:A,products!E:E))</f>
        <v>43.38</v>
      </c>
      <c r="P15">
        <f t="shared" si="2"/>
        <v>255.92000000000002</v>
      </c>
      <c r="Q15" s="2" t="str">
        <f>_xlfn.XLOOKUP(I15,products!B:B,products!D:D)</f>
        <v>Office</v>
      </c>
      <c r="S15" s="2"/>
    </row>
    <row r="16" spans="1:19">
      <c r="A16">
        <v>15</v>
      </c>
      <c r="B16">
        <v>1008</v>
      </c>
      <c r="C16">
        <v>139</v>
      </c>
      <c r="D16">
        <v>3</v>
      </c>
      <c r="E16">
        <v>156.21</v>
      </c>
      <c r="F16">
        <v>0</v>
      </c>
      <c r="G16">
        <f t="shared" si="0"/>
        <v>468.63</v>
      </c>
      <c r="H16" t="str">
        <f>_xlfn.XLOOKUP(B16,customer_orders!A:A,customer_orders!F:F)</f>
        <v>2026-04</v>
      </c>
      <c r="I16" t="str">
        <f>_xlfn.XLOOKUP(C16,products!A:A,products!B:B)</f>
        <v>SKU-0139</v>
      </c>
      <c r="J16" t="str">
        <f>_xlfn.XLOOKUP(B16,customer_orders!A:A,customer_orders!G:G)</f>
        <v>2026-w15</v>
      </c>
      <c r="K16">
        <f>IFERROR(_xlfn.XLOOKUP(B16,shipments!B:B,shipments!H:H),0)</f>
        <v>49.59</v>
      </c>
      <c r="L16">
        <f t="shared" si="1"/>
        <v>0.11</v>
      </c>
      <c r="M16" t="str">
        <f>_xlfn.XLOOKUP(B16,customer_orders!A:A,customer_orders!D:D)</f>
        <v>Walmart</v>
      </c>
      <c r="N16" t="str">
        <f>_xlfn.XLOOKUP(C16,inventory!B:B,inventory!C:C)</f>
        <v>South Jordan</v>
      </c>
      <c r="O16">
        <f>IF(_xlfn.XLOOKUP(C16,products!A:A,products!E:E)="NULL",0,_xlfn.XLOOKUP(C16,products!A:A,products!E:E))</f>
        <v>77.040000000000006</v>
      </c>
      <c r="P16">
        <f t="shared" si="2"/>
        <v>391.59</v>
      </c>
      <c r="Q16" s="2" t="str">
        <f>_xlfn.XLOOKUP(I16,products!B:B,products!D:D)</f>
        <v>Toys</v>
      </c>
      <c r="S16" s="2"/>
    </row>
    <row r="17" spans="1:19">
      <c r="A17">
        <v>16</v>
      </c>
      <c r="B17">
        <v>1009</v>
      </c>
      <c r="C17">
        <v>137</v>
      </c>
      <c r="D17">
        <v>7</v>
      </c>
      <c r="E17">
        <v>181.82</v>
      </c>
      <c r="F17">
        <v>0</v>
      </c>
      <c r="G17">
        <f t="shared" si="0"/>
        <v>1272.74</v>
      </c>
      <c r="H17" t="str">
        <f>_xlfn.XLOOKUP(B17,customer_orders!A:A,customer_orders!F:F)</f>
        <v>2026-03</v>
      </c>
      <c r="I17" t="str">
        <f>_xlfn.XLOOKUP(C17,products!A:A,products!B:B)</f>
        <v>SKU-0137</v>
      </c>
      <c r="J17" t="str">
        <f>_xlfn.XLOOKUP(B17,customer_orders!A:A,customer_orders!G:G)</f>
        <v>2026-w12</v>
      </c>
      <c r="K17">
        <f>IFERROR(_xlfn.XLOOKUP(B17,shipments!B:B,shipments!H:H),0)</f>
        <v>32.39</v>
      </c>
      <c r="L17">
        <f t="shared" si="1"/>
        <v>0.03</v>
      </c>
      <c r="M17" t="str">
        <f>_xlfn.XLOOKUP(B17,customer_orders!A:A,customer_orders!D:D)</f>
        <v>Shopify</v>
      </c>
      <c r="N17" t="str">
        <f>_xlfn.XLOOKUP(C17,inventory!B:B,inventory!C:C)</f>
        <v>Salt Lake City</v>
      </c>
      <c r="O17">
        <f>IF(_xlfn.XLOOKUP(C17,products!A:A,products!E:E)="NULL",0,_xlfn.XLOOKUP(C17,products!A:A,products!E:E))</f>
        <v>36.76</v>
      </c>
      <c r="P17">
        <f t="shared" si="2"/>
        <v>1235.98</v>
      </c>
      <c r="Q17" s="2" t="str">
        <f>_xlfn.XLOOKUP(I17,products!B:B,products!D:D)</f>
        <v>Pet</v>
      </c>
      <c r="S17" s="2"/>
    </row>
    <row r="18" spans="1:19">
      <c r="A18">
        <v>17</v>
      </c>
      <c r="B18">
        <v>1009</v>
      </c>
      <c r="C18">
        <v>118</v>
      </c>
      <c r="D18">
        <v>6</v>
      </c>
      <c r="E18">
        <v>55.68</v>
      </c>
      <c r="F18">
        <v>0</v>
      </c>
      <c r="G18">
        <f t="shared" si="0"/>
        <v>334.08</v>
      </c>
      <c r="H18" t="str">
        <f>_xlfn.XLOOKUP(B18,customer_orders!A:A,customer_orders!F:F)</f>
        <v>2026-03</v>
      </c>
      <c r="I18" t="str">
        <f>_xlfn.XLOOKUP(C18,products!A:A,products!B:B)</f>
        <v>SKU-0118</v>
      </c>
      <c r="J18" t="str">
        <f>_xlfn.XLOOKUP(B18,customer_orders!A:A,customer_orders!G:G)</f>
        <v>2026-w12</v>
      </c>
      <c r="K18">
        <f>IFERROR(_xlfn.XLOOKUP(B18,shipments!B:B,shipments!H:H),0)</f>
        <v>32.39</v>
      </c>
      <c r="L18">
        <f t="shared" si="1"/>
        <v>0.1</v>
      </c>
      <c r="M18" t="str">
        <f>_xlfn.XLOOKUP(B18,customer_orders!A:A,customer_orders!D:D)</f>
        <v>Shopify</v>
      </c>
      <c r="N18" t="str">
        <f>_xlfn.XLOOKUP(C18,inventory!B:B,inventory!C:C)</f>
        <v>Salt Lake City</v>
      </c>
      <c r="O18">
        <f>IF(_xlfn.XLOOKUP(C18,products!A:A,products!E:E)="NULL",0,_xlfn.XLOOKUP(C18,products!A:A,products!E:E))</f>
        <v>44.81</v>
      </c>
      <c r="P18">
        <f t="shared" si="2"/>
        <v>289.27</v>
      </c>
      <c r="Q18" s="2" t="str">
        <f>_xlfn.XLOOKUP(I18,products!B:B,products!D:D)</f>
        <v>Beauty</v>
      </c>
      <c r="S18" s="2"/>
    </row>
    <row r="19" spans="1:19">
      <c r="A19">
        <v>18</v>
      </c>
      <c r="B19">
        <v>1009</v>
      </c>
      <c r="C19">
        <v>9</v>
      </c>
      <c r="D19">
        <v>7</v>
      </c>
      <c r="E19">
        <v>235.32</v>
      </c>
      <c r="F19">
        <v>0</v>
      </c>
      <c r="G19">
        <f t="shared" si="0"/>
        <v>1647.24</v>
      </c>
      <c r="H19" t="str">
        <f>_xlfn.XLOOKUP(B19,customer_orders!A:A,customer_orders!F:F)</f>
        <v>2026-03</v>
      </c>
      <c r="I19" t="str">
        <f>_xlfn.XLOOKUP(C19,products!A:A,products!B:B)</f>
        <v>SKU-0009</v>
      </c>
      <c r="J19" t="str">
        <f>_xlfn.XLOOKUP(B19,customer_orders!A:A,customer_orders!G:G)</f>
        <v>2026-w12</v>
      </c>
      <c r="K19">
        <f>IFERROR(_xlfn.XLOOKUP(B19,shipments!B:B,shipments!H:H),0)</f>
        <v>32.39</v>
      </c>
      <c r="L19">
        <f t="shared" si="1"/>
        <v>0.02</v>
      </c>
      <c r="M19" t="str">
        <f>_xlfn.XLOOKUP(B19,customer_orders!A:A,customer_orders!D:D)</f>
        <v>Shopify</v>
      </c>
      <c r="N19" t="str">
        <f>_xlfn.XLOOKUP(C19,inventory!B:B,inventory!C:C)</f>
        <v>Salt Lake City</v>
      </c>
      <c r="O19">
        <f>IF(_xlfn.XLOOKUP(C19,products!A:A,products!E:E)="NULL",0,_xlfn.XLOOKUP(C19,products!A:A,products!E:E))</f>
        <v>120.72</v>
      </c>
      <c r="P19">
        <f t="shared" si="2"/>
        <v>1526.52</v>
      </c>
      <c r="Q19" s="2" t="str">
        <f>_xlfn.XLOOKUP(I19,products!B:B,products!D:D)</f>
        <v>Home</v>
      </c>
      <c r="S19" s="2"/>
    </row>
    <row r="20" spans="1:19">
      <c r="A20">
        <v>19</v>
      </c>
      <c r="B20">
        <v>1009</v>
      </c>
      <c r="C20">
        <v>62</v>
      </c>
      <c r="D20">
        <v>4</v>
      </c>
      <c r="E20">
        <v>109.67</v>
      </c>
      <c r="F20">
        <v>0</v>
      </c>
      <c r="G20">
        <f t="shared" si="0"/>
        <v>438.68</v>
      </c>
      <c r="H20" t="str">
        <f>_xlfn.XLOOKUP(B20,customer_orders!A:A,customer_orders!F:F)</f>
        <v>2026-03</v>
      </c>
      <c r="I20" t="str">
        <f>_xlfn.XLOOKUP(C20,products!A:A,products!B:B)</f>
        <v>SKU-0062</v>
      </c>
      <c r="J20" t="str">
        <f>_xlfn.XLOOKUP(B20,customer_orders!A:A,customer_orders!G:G)</f>
        <v>2026-w12</v>
      </c>
      <c r="K20">
        <f>IFERROR(_xlfn.XLOOKUP(B20,shipments!B:B,shipments!H:H),0)</f>
        <v>32.39</v>
      </c>
      <c r="L20">
        <f t="shared" si="1"/>
        <v>7.0000000000000007E-2</v>
      </c>
      <c r="M20" t="str">
        <f>_xlfn.XLOOKUP(B20,customer_orders!A:A,customer_orders!D:D)</f>
        <v>Shopify</v>
      </c>
      <c r="N20" t="str">
        <f>_xlfn.XLOOKUP(C20,inventory!B:B,inventory!C:C)</f>
        <v>South Jordan</v>
      </c>
      <c r="O20">
        <f>IF(_xlfn.XLOOKUP(C20,products!A:A,products!E:E)="NULL",0,_xlfn.XLOOKUP(C20,products!A:A,products!E:E))</f>
        <v>133.9</v>
      </c>
      <c r="P20">
        <f t="shared" si="2"/>
        <v>304.77999999999997</v>
      </c>
      <c r="Q20" s="2" t="str">
        <f>_xlfn.XLOOKUP(I20,products!B:B,products!D:D)</f>
        <v>Electronics</v>
      </c>
      <c r="S20" s="2"/>
    </row>
    <row r="21" spans="1:19">
      <c r="A21">
        <v>20</v>
      </c>
      <c r="B21">
        <v>1010</v>
      </c>
      <c r="C21">
        <v>60</v>
      </c>
      <c r="D21">
        <v>6</v>
      </c>
      <c r="E21">
        <v>115.8</v>
      </c>
      <c r="F21">
        <v>0</v>
      </c>
      <c r="G21">
        <f t="shared" si="0"/>
        <v>694.8</v>
      </c>
      <c r="H21" t="str">
        <f>_xlfn.XLOOKUP(B21,customer_orders!A:A,customer_orders!F:F)</f>
        <v>2026-02</v>
      </c>
      <c r="I21" t="str">
        <f>_xlfn.XLOOKUP(C21,products!A:A,products!B:B)</f>
        <v>SKU-0060</v>
      </c>
      <c r="J21" t="str">
        <f>_xlfn.XLOOKUP(B21,customer_orders!A:A,customer_orders!G:G)</f>
        <v>2026-w09</v>
      </c>
      <c r="K21">
        <f>IFERROR(_xlfn.XLOOKUP(B21,shipments!B:B,shipments!H:H),0)</f>
        <v>68.48</v>
      </c>
      <c r="L21">
        <f t="shared" si="1"/>
        <v>0.1</v>
      </c>
      <c r="M21" t="str">
        <f>_xlfn.XLOOKUP(B21,customer_orders!A:A,customer_orders!D:D)</f>
        <v>Shopify</v>
      </c>
      <c r="N21" t="str">
        <f>_xlfn.XLOOKUP(C21,inventory!B:B,inventory!C:C)</f>
        <v>Draper</v>
      </c>
      <c r="O21">
        <f>IF(_xlfn.XLOOKUP(C21,products!A:A,products!E:E)="NULL",0,_xlfn.XLOOKUP(C21,products!A:A,products!E:E))</f>
        <v>121.71</v>
      </c>
      <c r="P21">
        <f t="shared" si="2"/>
        <v>573.08999999999992</v>
      </c>
      <c r="Q21" s="2" t="str">
        <f>_xlfn.XLOOKUP(I21,products!B:B,products!D:D)</f>
        <v>Beauty</v>
      </c>
      <c r="S21" s="2"/>
    </row>
    <row r="22" spans="1:19">
      <c r="A22">
        <v>21</v>
      </c>
      <c r="B22">
        <v>1010</v>
      </c>
      <c r="C22">
        <v>61</v>
      </c>
      <c r="D22">
        <v>5</v>
      </c>
      <c r="E22">
        <v>293.22000000000003</v>
      </c>
      <c r="F22">
        <v>0</v>
      </c>
      <c r="G22">
        <f t="shared" si="0"/>
        <v>1466.1000000000001</v>
      </c>
      <c r="H22" t="str">
        <f>_xlfn.XLOOKUP(B22,customer_orders!A:A,customer_orders!F:F)</f>
        <v>2026-02</v>
      </c>
      <c r="I22" t="str">
        <f>_xlfn.XLOOKUP(C22,products!A:A,products!B:B)</f>
        <v>SKU-0061</v>
      </c>
      <c r="J22" t="str">
        <f>_xlfn.XLOOKUP(B22,customer_orders!A:A,customer_orders!G:G)</f>
        <v>2026-w09</v>
      </c>
      <c r="K22">
        <f>IFERROR(_xlfn.XLOOKUP(B22,shipments!B:B,shipments!H:H),0)</f>
        <v>68.48</v>
      </c>
      <c r="L22">
        <f t="shared" si="1"/>
        <v>0.05</v>
      </c>
      <c r="M22" t="str">
        <f>_xlfn.XLOOKUP(B22,customer_orders!A:A,customer_orders!D:D)</f>
        <v>Shopify</v>
      </c>
      <c r="N22" t="str">
        <f>_xlfn.XLOOKUP(C22,inventory!B:B,inventory!C:C)</f>
        <v>South Jordan</v>
      </c>
      <c r="O22">
        <f>IF(_xlfn.XLOOKUP(C22,products!A:A,products!E:E)="NULL",0,_xlfn.XLOOKUP(C22,products!A:A,products!E:E))</f>
        <v>156.31</v>
      </c>
      <c r="P22">
        <f t="shared" si="2"/>
        <v>1309.7900000000002</v>
      </c>
      <c r="Q22" s="2" t="str">
        <f>_xlfn.XLOOKUP(I22,products!B:B,products!D:D)</f>
        <v>Toys</v>
      </c>
      <c r="S22" s="2"/>
    </row>
    <row r="23" spans="1:19">
      <c r="A23">
        <v>22</v>
      </c>
      <c r="B23">
        <v>1010</v>
      </c>
      <c r="C23">
        <v>106</v>
      </c>
      <c r="D23">
        <v>5</v>
      </c>
      <c r="E23">
        <v>65.2</v>
      </c>
      <c r="F23">
        <v>0</v>
      </c>
      <c r="G23">
        <f t="shared" si="0"/>
        <v>326</v>
      </c>
      <c r="H23" t="str">
        <f>_xlfn.XLOOKUP(B23,customer_orders!A:A,customer_orders!F:F)</f>
        <v>2026-02</v>
      </c>
      <c r="I23" t="str">
        <f>_xlfn.XLOOKUP(C23,products!A:A,products!B:B)</f>
        <v>SKU-0106</v>
      </c>
      <c r="J23" t="str">
        <f>_xlfn.XLOOKUP(B23,customer_orders!A:A,customer_orders!G:G)</f>
        <v>2026-w09</v>
      </c>
      <c r="K23">
        <f>IFERROR(_xlfn.XLOOKUP(B23,shipments!B:B,shipments!H:H),0)</f>
        <v>68.48</v>
      </c>
      <c r="L23">
        <f t="shared" si="1"/>
        <v>0.21</v>
      </c>
      <c r="M23" t="str">
        <f>_xlfn.XLOOKUP(B23,customer_orders!A:A,customer_orders!D:D)</f>
        <v>Shopify</v>
      </c>
      <c r="N23" t="str">
        <f>_xlfn.XLOOKUP(C23,inventory!B:B,inventory!C:C)</f>
        <v>Lehi</v>
      </c>
      <c r="O23">
        <f>IF(_xlfn.XLOOKUP(C23,products!A:A,products!E:E)="NULL",0,_xlfn.XLOOKUP(C23,products!A:A,products!E:E))</f>
        <v>0</v>
      </c>
      <c r="P23">
        <f t="shared" si="2"/>
        <v>326</v>
      </c>
      <c r="Q23" s="2" t="str">
        <f>_xlfn.XLOOKUP(I23,products!B:B,products!D:D)</f>
        <v>Toys</v>
      </c>
      <c r="S23" s="2"/>
    </row>
    <row r="24" spans="1:19">
      <c r="A24">
        <v>23</v>
      </c>
      <c r="B24">
        <v>1011</v>
      </c>
      <c r="C24">
        <v>77</v>
      </c>
      <c r="D24">
        <v>7</v>
      </c>
      <c r="E24">
        <v>195.39</v>
      </c>
      <c r="F24">
        <v>3.57</v>
      </c>
      <c r="G24">
        <f t="shared" si="0"/>
        <v>1364.16</v>
      </c>
      <c r="H24" t="str">
        <f>_xlfn.XLOOKUP(B24,customer_orders!A:A,customer_orders!F:F)</f>
        <v>2026-03</v>
      </c>
      <c r="I24" t="str">
        <f>_xlfn.XLOOKUP(C24,products!A:A,products!B:B)</f>
        <v>SKU-0077</v>
      </c>
      <c r="J24" t="str">
        <f>_xlfn.XLOOKUP(B24,customer_orders!A:A,customer_orders!G:G)</f>
        <v>2026-w13</v>
      </c>
      <c r="K24">
        <f>IFERROR(_xlfn.XLOOKUP(B24,shipments!B:B,shipments!H:H),0)</f>
        <v>51.87</v>
      </c>
      <c r="L24">
        <f t="shared" si="1"/>
        <v>0.04</v>
      </c>
      <c r="M24" t="str">
        <f>_xlfn.XLOOKUP(B24,customer_orders!A:A,customer_orders!D:D)</f>
        <v>Walmart</v>
      </c>
      <c r="N24" t="str">
        <f>_xlfn.XLOOKUP(C24,inventory!B:B,inventory!C:C)</f>
        <v>Draper</v>
      </c>
      <c r="O24">
        <f>IF(_xlfn.XLOOKUP(C24,products!A:A,products!E:E)="NULL",0,_xlfn.XLOOKUP(C24,products!A:A,products!E:E))</f>
        <v>95.2</v>
      </c>
      <c r="P24">
        <f t="shared" si="2"/>
        <v>1268.96</v>
      </c>
      <c r="Q24" s="2" t="str">
        <f>_xlfn.XLOOKUP(I24,products!B:B,products!D:D)</f>
        <v>Home</v>
      </c>
      <c r="S24" s="2"/>
    </row>
    <row r="25" spans="1:19">
      <c r="A25">
        <v>24</v>
      </c>
      <c r="B25">
        <v>1011</v>
      </c>
      <c r="C25">
        <v>62</v>
      </c>
      <c r="D25">
        <v>4</v>
      </c>
      <c r="E25">
        <v>109.67</v>
      </c>
      <c r="F25">
        <v>0</v>
      </c>
      <c r="G25">
        <f t="shared" si="0"/>
        <v>438.68</v>
      </c>
      <c r="H25" t="str">
        <f>_xlfn.XLOOKUP(B25,customer_orders!A:A,customer_orders!F:F)</f>
        <v>2026-03</v>
      </c>
      <c r="I25" t="str">
        <f>_xlfn.XLOOKUP(C25,products!A:A,products!B:B)</f>
        <v>SKU-0062</v>
      </c>
      <c r="J25" t="str">
        <f>_xlfn.XLOOKUP(B25,customer_orders!A:A,customer_orders!G:G)</f>
        <v>2026-w13</v>
      </c>
      <c r="K25">
        <f>IFERROR(_xlfn.XLOOKUP(B25,shipments!B:B,shipments!H:H),0)</f>
        <v>51.87</v>
      </c>
      <c r="L25">
        <f t="shared" si="1"/>
        <v>0.12</v>
      </c>
      <c r="M25" t="str">
        <f>_xlfn.XLOOKUP(B25,customer_orders!A:A,customer_orders!D:D)</f>
        <v>Walmart</v>
      </c>
      <c r="N25" t="str">
        <f>_xlfn.XLOOKUP(C25,inventory!B:B,inventory!C:C)</f>
        <v>South Jordan</v>
      </c>
      <c r="O25">
        <f>IF(_xlfn.XLOOKUP(C25,products!A:A,products!E:E)="NULL",0,_xlfn.XLOOKUP(C25,products!A:A,products!E:E))</f>
        <v>133.9</v>
      </c>
      <c r="P25">
        <f t="shared" si="2"/>
        <v>304.77999999999997</v>
      </c>
      <c r="Q25" s="2" t="str">
        <f>_xlfn.XLOOKUP(I25,products!B:B,products!D:D)</f>
        <v>Electronics</v>
      </c>
      <c r="S25" s="2"/>
    </row>
    <row r="26" spans="1:19">
      <c r="A26">
        <v>25</v>
      </c>
      <c r="B26">
        <v>1012</v>
      </c>
      <c r="C26">
        <v>116</v>
      </c>
      <c r="D26">
        <v>6</v>
      </c>
      <c r="E26">
        <v>211.7</v>
      </c>
      <c r="F26">
        <v>0</v>
      </c>
      <c r="G26">
        <f t="shared" si="0"/>
        <v>1270.1999999999998</v>
      </c>
      <c r="H26" t="str">
        <f>_xlfn.XLOOKUP(B26,customer_orders!A:A,customer_orders!F:F)</f>
        <v>2026-03</v>
      </c>
      <c r="I26" t="str">
        <f>_xlfn.XLOOKUP(C26,products!A:A,products!B:B)</f>
        <v>SKU-0116</v>
      </c>
      <c r="J26" t="str">
        <f>_xlfn.XLOOKUP(B26,customer_orders!A:A,customer_orders!G:G)</f>
        <v>2026-w10</v>
      </c>
      <c r="K26">
        <f>IFERROR(_xlfn.XLOOKUP(B26,shipments!B:B,shipments!H:H),0)</f>
        <v>73.94</v>
      </c>
      <c r="L26">
        <f t="shared" si="1"/>
        <v>0.06</v>
      </c>
      <c r="M26" t="str">
        <f>_xlfn.XLOOKUP(B26,customer_orders!A:A,customer_orders!D:D)</f>
        <v>Shopify</v>
      </c>
      <c r="N26" t="str">
        <f>_xlfn.XLOOKUP(C26,inventory!B:B,inventory!C:C)</f>
        <v>Lehi</v>
      </c>
      <c r="O26">
        <f>IF(_xlfn.XLOOKUP(C26,products!A:A,products!E:E)="NULL",0,_xlfn.XLOOKUP(C26,products!A:A,products!E:E))</f>
        <v>171.4</v>
      </c>
      <c r="P26">
        <f t="shared" si="2"/>
        <v>1098.7999999999997</v>
      </c>
      <c r="Q26" s="2" t="str">
        <f>_xlfn.XLOOKUP(I26,products!B:B,products!D:D)</f>
        <v>Home</v>
      </c>
      <c r="S26" s="2"/>
    </row>
    <row r="27" spans="1:19">
      <c r="A27">
        <v>26</v>
      </c>
      <c r="B27">
        <v>1013</v>
      </c>
      <c r="C27">
        <v>49</v>
      </c>
      <c r="D27">
        <v>2</v>
      </c>
      <c r="E27">
        <v>280.98</v>
      </c>
      <c r="F27">
        <v>11.46</v>
      </c>
      <c r="G27">
        <f t="shared" si="0"/>
        <v>550.5</v>
      </c>
      <c r="H27" t="str">
        <f>_xlfn.XLOOKUP(B27,customer_orders!A:A,customer_orders!F:F)</f>
        <v>2026-02</v>
      </c>
      <c r="I27" t="str">
        <f>_xlfn.XLOOKUP(C27,products!A:A,products!B:B)</f>
        <v>SKU-0049</v>
      </c>
      <c r="J27" t="str">
        <f>_xlfn.XLOOKUP(B27,customer_orders!A:A,customer_orders!G:G)</f>
        <v>2026-w09</v>
      </c>
      <c r="K27">
        <f>IFERROR(_xlfn.XLOOKUP(B27,shipments!B:B,shipments!H:H),0)</f>
        <v>0</v>
      </c>
      <c r="L27">
        <f t="shared" si="1"/>
        <v>0</v>
      </c>
      <c r="M27" t="str">
        <f>_xlfn.XLOOKUP(B27,customer_orders!A:A,customer_orders!D:D)</f>
        <v>Ebay</v>
      </c>
      <c r="N27" t="str">
        <f>_xlfn.XLOOKUP(C27,inventory!B:B,inventory!C:C)</f>
        <v>Salt Lake City</v>
      </c>
      <c r="O27">
        <f>IF(_xlfn.XLOOKUP(C27,products!A:A,products!E:E)="NULL",0,_xlfn.XLOOKUP(C27,products!A:A,products!E:E))</f>
        <v>51.41</v>
      </c>
      <c r="P27">
        <f t="shared" si="2"/>
        <v>499.09000000000003</v>
      </c>
      <c r="Q27" s="2" t="str">
        <f>_xlfn.XLOOKUP(I27,products!B:B,products!D:D)</f>
        <v>Beauty</v>
      </c>
      <c r="S27" s="2"/>
    </row>
    <row r="28" spans="1:19">
      <c r="A28">
        <v>27</v>
      </c>
      <c r="B28">
        <v>1013</v>
      </c>
      <c r="C28">
        <v>63</v>
      </c>
      <c r="D28">
        <v>4</v>
      </c>
      <c r="E28">
        <v>214.86</v>
      </c>
      <c r="F28">
        <v>0</v>
      </c>
      <c r="G28">
        <f t="shared" si="0"/>
        <v>859.44</v>
      </c>
      <c r="H28" t="str">
        <f>_xlfn.XLOOKUP(B28,customer_orders!A:A,customer_orders!F:F)</f>
        <v>2026-02</v>
      </c>
      <c r="I28" t="str">
        <f>_xlfn.XLOOKUP(C28,products!A:A,products!B:B)</f>
        <v>SKU-0063</v>
      </c>
      <c r="J28" t="str">
        <f>_xlfn.XLOOKUP(B28,customer_orders!A:A,customer_orders!G:G)</f>
        <v>2026-w09</v>
      </c>
      <c r="K28">
        <f>IFERROR(_xlfn.XLOOKUP(B28,shipments!B:B,shipments!H:H),0)</f>
        <v>0</v>
      </c>
      <c r="L28">
        <f t="shared" si="1"/>
        <v>0</v>
      </c>
      <c r="M28" t="str">
        <f>_xlfn.XLOOKUP(B28,customer_orders!A:A,customer_orders!D:D)</f>
        <v>Ebay</v>
      </c>
      <c r="N28" t="str">
        <f>_xlfn.XLOOKUP(C28,inventory!B:B,inventory!C:C)</f>
        <v>Salt Lake City</v>
      </c>
      <c r="O28">
        <f>IF(_xlfn.XLOOKUP(C28,products!A:A,products!E:E)="NULL",0,_xlfn.XLOOKUP(C28,products!A:A,products!E:E))</f>
        <v>32.86</v>
      </c>
      <c r="P28">
        <f t="shared" si="2"/>
        <v>826.58</v>
      </c>
      <c r="Q28" s="2" t="str">
        <f>_xlfn.XLOOKUP(I28,products!B:B,products!D:D)</f>
        <v>Beauty</v>
      </c>
      <c r="S28" s="2"/>
    </row>
    <row r="29" spans="1:19">
      <c r="A29">
        <v>28</v>
      </c>
      <c r="B29">
        <v>1014</v>
      </c>
      <c r="C29">
        <v>79</v>
      </c>
      <c r="D29">
        <v>5</v>
      </c>
      <c r="E29">
        <v>234.02</v>
      </c>
      <c r="F29">
        <v>6.04</v>
      </c>
      <c r="G29">
        <f t="shared" si="0"/>
        <v>1164.0600000000002</v>
      </c>
      <c r="H29" t="str">
        <f>_xlfn.XLOOKUP(B29,customer_orders!A:A,customer_orders!F:F)</f>
        <v>2026-03</v>
      </c>
      <c r="I29" t="str">
        <f>_xlfn.XLOOKUP(C29,products!A:A,products!B:B)</f>
        <v>SKU-0079</v>
      </c>
      <c r="J29" t="str">
        <f>_xlfn.XLOOKUP(B29,customer_orders!A:A,customer_orders!G:G)</f>
        <v>2026-w11</v>
      </c>
      <c r="K29">
        <f>IFERROR(_xlfn.XLOOKUP(B29,shipments!B:B,shipments!H:H),0)</f>
        <v>604.32000000000005</v>
      </c>
      <c r="L29">
        <f t="shared" si="1"/>
        <v>0.52</v>
      </c>
      <c r="M29" t="str">
        <f>_xlfn.XLOOKUP(B29,customer_orders!A:A,customer_orders!D:D)</f>
        <v>Walmart</v>
      </c>
      <c r="N29" t="str">
        <f>_xlfn.XLOOKUP(C29,inventory!B:B,inventory!C:C)</f>
        <v>Unknown</v>
      </c>
      <c r="O29">
        <f>IF(_xlfn.XLOOKUP(C29,products!A:A,products!E:E)="NULL",0,_xlfn.XLOOKUP(C29,products!A:A,products!E:E))</f>
        <v>111.97</v>
      </c>
      <c r="P29">
        <f t="shared" si="2"/>
        <v>1052.0900000000001</v>
      </c>
      <c r="Q29" s="2" t="str">
        <f>_xlfn.XLOOKUP(I29,products!B:B,products!D:D)</f>
        <v>Beauty</v>
      </c>
      <c r="S29" s="2"/>
    </row>
    <row r="30" spans="1:19">
      <c r="A30">
        <v>29</v>
      </c>
      <c r="B30">
        <v>1014</v>
      </c>
      <c r="C30">
        <v>120</v>
      </c>
      <c r="D30">
        <v>2</v>
      </c>
      <c r="E30">
        <v>229.55</v>
      </c>
      <c r="F30">
        <v>12.24</v>
      </c>
      <c r="G30">
        <f t="shared" si="0"/>
        <v>446.86</v>
      </c>
      <c r="H30" t="str">
        <f>_xlfn.XLOOKUP(B30,customer_orders!A:A,customer_orders!F:F)</f>
        <v>2026-03</v>
      </c>
      <c r="I30" t="str">
        <f>_xlfn.XLOOKUP(C30,products!A:A,products!B:B)</f>
        <v>SKU-0120</v>
      </c>
      <c r="J30" t="str">
        <f>_xlfn.XLOOKUP(B30,customer_orders!A:A,customer_orders!G:G)</f>
        <v>2026-w11</v>
      </c>
      <c r="K30">
        <f>IFERROR(_xlfn.XLOOKUP(B30,shipments!B:B,shipments!H:H),0)</f>
        <v>604.32000000000005</v>
      </c>
      <c r="L30">
        <f t="shared" si="1"/>
        <v>1.35</v>
      </c>
      <c r="M30" t="str">
        <f>_xlfn.XLOOKUP(B30,customer_orders!A:A,customer_orders!D:D)</f>
        <v>Walmart</v>
      </c>
      <c r="N30" t="str">
        <f>_xlfn.XLOOKUP(C30,inventory!B:B,inventory!C:C)</f>
        <v>Draper</v>
      </c>
      <c r="O30">
        <f>IF(_xlfn.XLOOKUP(C30,products!A:A,products!E:E)="NULL",0,_xlfn.XLOOKUP(C30,products!A:A,products!E:E))</f>
        <v>116.63</v>
      </c>
      <c r="P30">
        <f t="shared" si="2"/>
        <v>330.23</v>
      </c>
      <c r="Q30" s="2" t="str">
        <f>_xlfn.XLOOKUP(I30,products!B:B,products!D:D)</f>
        <v>Sports</v>
      </c>
      <c r="S30" s="2"/>
    </row>
    <row r="31" spans="1:19">
      <c r="A31">
        <v>30</v>
      </c>
      <c r="B31">
        <v>1014</v>
      </c>
      <c r="C31">
        <v>82</v>
      </c>
      <c r="D31">
        <v>4</v>
      </c>
      <c r="E31">
        <v>243.4</v>
      </c>
      <c r="F31">
        <v>6.19</v>
      </c>
      <c r="G31">
        <f t="shared" si="0"/>
        <v>967.41</v>
      </c>
      <c r="H31" t="str">
        <f>_xlfn.XLOOKUP(B31,customer_orders!A:A,customer_orders!F:F)</f>
        <v>2026-03</v>
      </c>
      <c r="I31" t="str">
        <f>_xlfn.XLOOKUP(C31,products!A:A,products!B:B)</f>
        <v>SKU-0082</v>
      </c>
      <c r="J31" t="str">
        <f>_xlfn.XLOOKUP(B31,customer_orders!A:A,customer_orders!G:G)</f>
        <v>2026-w11</v>
      </c>
      <c r="K31">
        <f>IFERROR(_xlfn.XLOOKUP(B31,shipments!B:B,shipments!H:H),0)</f>
        <v>604.32000000000005</v>
      </c>
      <c r="L31">
        <f t="shared" si="1"/>
        <v>0.62</v>
      </c>
      <c r="M31" t="str">
        <f>_xlfn.XLOOKUP(B31,customer_orders!A:A,customer_orders!D:D)</f>
        <v>Walmart</v>
      </c>
      <c r="N31" t="str">
        <f>_xlfn.XLOOKUP(C31,inventory!B:B,inventory!C:C)</f>
        <v>Unknown</v>
      </c>
      <c r="O31">
        <f>IF(_xlfn.XLOOKUP(C31,products!A:A,products!E:E)="NULL",0,_xlfn.XLOOKUP(C31,products!A:A,products!E:E))</f>
        <v>84.88</v>
      </c>
      <c r="P31">
        <f t="shared" si="2"/>
        <v>882.53</v>
      </c>
      <c r="Q31" s="2" t="str">
        <f>_xlfn.XLOOKUP(I31,products!B:B,products!D:D)</f>
        <v>Beauty</v>
      </c>
      <c r="S31" s="2"/>
    </row>
    <row r="32" spans="1:19">
      <c r="A32">
        <v>31</v>
      </c>
      <c r="B32">
        <v>1015</v>
      </c>
      <c r="C32">
        <v>146</v>
      </c>
      <c r="D32">
        <v>4</v>
      </c>
      <c r="E32">
        <v>199.6</v>
      </c>
      <c r="F32">
        <v>0</v>
      </c>
      <c r="G32">
        <f t="shared" si="0"/>
        <v>798.4</v>
      </c>
      <c r="H32" t="str">
        <f>_xlfn.XLOOKUP(B32,customer_orders!A:A,customer_orders!F:F)</f>
        <v>2026-02</v>
      </c>
      <c r="I32" t="str">
        <f>_xlfn.XLOOKUP(C32,products!A:A,products!B:B)</f>
        <v>SKU-0146</v>
      </c>
      <c r="J32" t="str">
        <f>_xlfn.XLOOKUP(B32,customer_orders!A:A,customer_orders!G:G)</f>
        <v>2026-w07</v>
      </c>
      <c r="K32">
        <f>IFERROR(_xlfn.XLOOKUP(B32,shipments!B:B,shipments!H:H),0)</f>
        <v>113.64</v>
      </c>
      <c r="L32">
        <f t="shared" si="1"/>
        <v>0.14000000000000001</v>
      </c>
      <c r="M32" t="str">
        <f>_xlfn.XLOOKUP(B32,customer_orders!A:A,customer_orders!D:D)</f>
        <v>Ebay</v>
      </c>
      <c r="N32" t="str">
        <f>_xlfn.XLOOKUP(C32,inventory!B:B,inventory!C:C)</f>
        <v>South Jordan</v>
      </c>
      <c r="O32">
        <f>IF(_xlfn.XLOOKUP(C32,products!A:A,products!E:E)="NULL",0,_xlfn.XLOOKUP(C32,products!A:A,products!E:E))</f>
        <v>170.74</v>
      </c>
      <c r="P32">
        <f t="shared" si="2"/>
        <v>627.66</v>
      </c>
      <c r="Q32" s="2" t="str">
        <f>_xlfn.XLOOKUP(I32,products!B:B,products!D:D)</f>
        <v>Home</v>
      </c>
      <c r="S32" s="2"/>
    </row>
    <row r="33" spans="1:19">
      <c r="A33">
        <v>32</v>
      </c>
      <c r="B33">
        <v>1015</v>
      </c>
      <c r="C33">
        <v>66</v>
      </c>
      <c r="D33">
        <v>8</v>
      </c>
      <c r="E33">
        <v>94.55</v>
      </c>
      <c r="F33">
        <v>14.53</v>
      </c>
      <c r="G33">
        <f t="shared" si="0"/>
        <v>741.87</v>
      </c>
      <c r="H33" t="str">
        <f>_xlfn.XLOOKUP(B33,customer_orders!A:A,customer_orders!F:F)</f>
        <v>2026-02</v>
      </c>
      <c r="I33" t="str">
        <f>_xlfn.XLOOKUP(C33,products!A:A,products!B:B)</f>
        <v>SKU-0066</v>
      </c>
      <c r="J33" t="str">
        <f>_xlfn.XLOOKUP(B33,customer_orders!A:A,customer_orders!G:G)</f>
        <v>2026-w07</v>
      </c>
      <c r="K33">
        <f>IFERROR(_xlfn.XLOOKUP(B33,shipments!B:B,shipments!H:H),0)</f>
        <v>113.64</v>
      </c>
      <c r="L33">
        <f t="shared" si="1"/>
        <v>0.15</v>
      </c>
      <c r="M33" t="str">
        <f>_xlfn.XLOOKUP(B33,customer_orders!A:A,customer_orders!D:D)</f>
        <v>Ebay</v>
      </c>
      <c r="N33" t="str">
        <f>_xlfn.XLOOKUP(C33,inventory!B:B,inventory!C:C)</f>
        <v>Salt Lake City</v>
      </c>
      <c r="O33">
        <f>IF(_xlfn.XLOOKUP(C33,products!A:A,products!E:E)="NULL",0,_xlfn.XLOOKUP(C33,products!A:A,products!E:E))</f>
        <v>174.21</v>
      </c>
      <c r="P33">
        <f t="shared" si="2"/>
        <v>567.66</v>
      </c>
      <c r="Q33" s="2" t="str">
        <f>_xlfn.XLOOKUP(I33,products!B:B,products!D:D)</f>
        <v>Sports</v>
      </c>
      <c r="S33" s="2"/>
    </row>
    <row r="34" spans="1:19">
      <c r="A34">
        <v>33</v>
      </c>
      <c r="B34">
        <v>1015</v>
      </c>
      <c r="C34">
        <v>118</v>
      </c>
      <c r="D34">
        <v>3</v>
      </c>
      <c r="E34">
        <v>188.54</v>
      </c>
      <c r="F34">
        <v>0</v>
      </c>
      <c r="G34">
        <f t="shared" si="0"/>
        <v>565.62</v>
      </c>
      <c r="H34" t="str">
        <f>_xlfn.XLOOKUP(B34,customer_orders!A:A,customer_orders!F:F)</f>
        <v>2026-02</v>
      </c>
      <c r="I34" t="str">
        <f>_xlfn.XLOOKUP(C34,products!A:A,products!B:B)</f>
        <v>SKU-0118</v>
      </c>
      <c r="J34" t="str">
        <f>_xlfn.XLOOKUP(B34,customer_orders!A:A,customer_orders!G:G)</f>
        <v>2026-w07</v>
      </c>
      <c r="K34">
        <f>IFERROR(_xlfn.XLOOKUP(B34,shipments!B:B,shipments!H:H),0)</f>
        <v>113.64</v>
      </c>
      <c r="L34">
        <f t="shared" si="1"/>
        <v>0.2</v>
      </c>
      <c r="M34" t="str">
        <f>_xlfn.XLOOKUP(B34,customer_orders!A:A,customer_orders!D:D)</f>
        <v>Ebay</v>
      </c>
      <c r="N34" t="str">
        <f>_xlfn.XLOOKUP(C34,inventory!B:B,inventory!C:C)</f>
        <v>Salt Lake City</v>
      </c>
      <c r="O34">
        <f>IF(_xlfn.XLOOKUP(C34,products!A:A,products!E:E)="NULL",0,_xlfn.XLOOKUP(C34,products!A:A,products!E:E))</f>
        <v>44.81</v>
      </c>
      <c r="P34">
        <f t="shared" si="2"/>
        <v>520.80999999999995</v>
      </c>
      <c r="Q34" s="2" t="str">
        <f>_xlfn.XLOOKUP(I34,products!B:B,products!D:D)</f>
        <v>Beauty</v>
      </c>
      <c r="S34" s="2"/>
    </row>
    <row r="35" spans="1:19">
      <c r="A35">
        <v>34</v>
      </c>
      <c r="B35">
        <v>1015</v>
      </c>
      <c r="C35">
        <v>140</v>
      </c>
      <c r="D35">
        <v>8</v>
      </c>
      <c r="E35">
        <v>86.93</v>
      </c>
      <c r="F35">
        <v>0</v>
      </c>
      <c r="G35">
        <f t="shared" si="0"/>
        <v>695.44</v>
      </c>
      <c r="H35" t="str">
        <f>_xlfn.XLOOKUP(B35,customer_orders!A:A,customer_orders!F:F)</f>
        <v>2026-02</v>
      </c>
      <c r="I35" t="str">
        <f>_xlfn.XLOOKUP(C35,products!A:A,products!B:B)</f>
        <v>SKU-0140</v>
      </c>
      <c r="J35" t="str">
        <f>_xlfn.XLOOKUP(B35,customer_orders!A:A,customer_orders!G:G)</f>
        <v>2026-w07</v>
      </c>
      <c r="K35">
        <f>IFERROR(_xlfn.XLOOKUP(B35,shipments!B:B,shipments!H:H),0)</f>
        <v>113.64</v>
      </c>
      <c r="L35">
        <f t="shared" si="1"/>
        <v>0.16</v>
      </c>
      <c r="M35" t="str">
        <f>_xlfn.XLOOKUP(B35,customer_orders!A:A,customer_orders!D:D)</f>
        <v>Ebay</v>
      </c>
      <c r="N35" t="str">
        <f>_xlfn.XLOOKUP(C35,inventory!B:B,inventory!C:C)</f>
        <v>South Jordan</v>
      </c>
      <c r="O35">
        <f>IF(_xlfn.XLOOKUP(C35,products!A:A,products!E:E)="NULL",0,_xlfn.XLOOKUP(C35,products!A:A,products!E:E))</f>
        <v>20.41</v>
      </c>
      <c r="P35">
        <f t="shared" si="2"/>
        <v>675.03000000000009</v>
      </c>
      <c r="Q35" s="2" t="str">
        <f>_xlfn.XLOOKUP(I35,products!B:B,products!D:D)</f>
        <v>Electronics</v>
      </c>
      <c r="S35" s="2"/>
    </row>
    <row r="36" spans="1:19">
      <c r="A36">
        <v>35</v>
      </c>
      <c r="B36">
        <v>1016</v>
      </c>
      <c r="C36">
        <v>56</v>
      </c>
      <c r="D36">
        <v>8</v>
      </c>
      <c r="E36">
        <v>172.23</v>
      </c>
      <c r="F36">
        <v>6.22</v>
      </c>
      <c r="G36">
        <f t="shared" si="0"/>
        <v>1371.62</v>
      </c>
      <c r="H36" t="str">
        <f>_xlfn.XLOOKUP(B36,customer_orders!A:A,customer_orders!F:F)</f>
        <v>2026-03</v>
      </c>
      <c r="I36" t="str">
        <f>_xlfn.XLOOKUP(C36,products!A:A,products!B:B)</f>
        <v>SKU-0056</v>
      </c>
      <c r="J36" t="str">
        <f>_xlfn.XLOOKUP(B36,customer_orders!A:A,customer_orders!G:G)</f>
        <v>2026-w10</v>
      </c>
      <c r="K36">
        <f>IFERROR(_xlfn.XLOOKUP(B36,shipments!B:B,shipments!H:H),0)</f>
        <v>4.7699999999999996</v>
      </c>
      <c r="L36">
        <f t="shared" si="1"/>
        <v>0</v>
      </c>
      <c r="M36" t="str">
        <f>_xlfn.XLOOKUP(B36,customer_orders!A:A,customer_orders!D:D)</f>
        <v>Shopify</v>
      </c>
      <c r="N36" t="str">
        <f>_xlfn.XLOOKUP(C36,inventory!B:B,inventory!C:C)</f>
        <v>South Jordan</v>
      </c>
      <c r="O36">
        <f>IF(_xlfn.XLOOKUP(C36,products!A:A,products!E:E)="NULL",0,_xlfn.XLOOKUP(C36,products!A:A,products!E:E))</f>
        <v>134.72</v>
      </c>
      <c r="P36">
        <f t="shared" si="2"/>
        <v>1236.8999999999999</v>
      </c>
      <c r="Q36" s="2" t="str">
        <f>_xlfn.XLOOKUP(I36,products!B:B,products!D:D)</f>
        <v>Sports</v>
      </c>
      <c r="S36" s="2"/>
    </row>
    <row r="37" spans="1:19">
      <c r="A37">
        <v>36</v>
      </c>
      <c r="B37">
        <v>1017</v>
      </c>
      <c r="C37">
        <v>46</v>
      </c>
      <c r="D37">
        <v>2</v>
      </c>
      <c r="E37">
        <v>219.11</v>
      </c>
      <c r="F37">
        <v>0</v>
      </c>
      <c r="G37">
        <f t="shared" si="0"/>
        <v>438.22</v>
      </c>
      <c r="H37" t="str">
        <f>_xlfn.XLOOKUP(B37,customer_orders!A:A,customer_orders!F:F)</f>
        <v>2026-03</v>
      </c>
      <c r="I37" t="str">
        <f>_xlfn.XLOOKUP(C37,products!A:A,products!B:B)</f>
        <v>SKU-0046</v>
      </c>
      <c r="J37" t="str">
        <f>_xlfn.XLOOKUP(B37,customer_orders!A:A,customer_orders!G:G)</f>
        <v>2026-w11</v>
      </c>
      <c r="K37">
        <f>IFERROR(_xlfn.XLOOKUP(B37,shipments!B:B,shipments!H:H),0)</f>
        <v>79.83</v>
      </c>
      <c r="L37">
        <f t="shared" si="1"/>
        <v>0.18</v>
      </c>
      <c r="M37" t="str">
        <f>_xlfn.XLOOKUP(B37,customer_orders!A:A,customer_orders!D:D)</f>
        <v>Ebay</v>
      </c>
      <c r="N37" t="str">
        <f>_xlfn.XLOOKUP(C37,inventory!B:B,inventory!C:C)</f>
        <v>Unknown</v>
      </c>
      <c r="O37">
        <f>IF(_xlfn.XLOOKUP(C37,products!A:A,products!E:E)="NULL",0,_xlfn.XLOOKUP(C37,products!A:A,products!E:E))</f>
        <v>40.75</v>
      </c>
      <c r="P37">
        <f t="shared" si="2"/>
        <v>397.47</v>
      </c>
      <c r="Q37" s="2" t="str">
        <f>_xlfn.XLOOKUP(I37,products!B:B,products!D:D)</f>
        <v>Kitchen</v>
      </c>
      <c r="S37" s="2"/>
    </row>
    <row r="38" spans="1:19">
      <c r="A38">
        <v>37</v>
      </c>
      <c r="B38">
        <v>1017</v>
      </c>
      <c r="C38">
        <v>62</v>
      </c>
      <c r="D38">
        <v>4</v>
      </c>
      <c r="E38">
        <v>109.67</v>
      </c>
      <c r="F38">
        <v>0</v>
      </c>
      <c r="G38">
        <f t="shared" si="0"/>
        <v>438.68</v>
      </c>
      <c r="H38" t="str">
        <f>_xlfn.XLOOKUP(B38,customer_orders!A:A,customer_orders!F:F)</f>
        <v>2026-03</v>
      </c>
      <c r="I38" t="str">
        <f>_xlfn.XLOOKUP(C38,products!A:A,products!B:B)</f>
        <v>SKU-0062</v>
      </c>
      <c r="J38" t="str">
        <f>_xlfn.XLOOKUP(B38,customer_orders!A:A,customer_orders!G:G)</f>
        <v>2026-w11</v>
      </c>
      <c r="K38">
        <f>IFERROR(_xlfn.XLOOKUP(B38,shipments!B:B,shipments!H:H),0)</f>
        <v>79.83</v>
      </c>
      <c r="L38">
        <f t="shared" si="1"/>
        <v>0.18</v>
      </c>
      <c r="M38" t="str">
        <f>_xlfn.XLOOKUP(B38,customer_orders!A:A,customer_orders!D:D)</f>
        <v>Ebay</v>
      </c>
      <c r="N38" t="str">
        <f>_xlfn.XLOOKUP(C38,inventory!B:B,inventory!C:C)</f>
        <v>South Jordan</v>
      </c>
      <c r="O38">
        <f>IF(_xlfn.XLOOKUP(C38,products!A:A,products!E:E)="NULL",0,_xlfn.XLOOKUP(C38,products!A:A,products!E:E))</f>
        <v>133.9</v>
      </c>
      <c r="P38">
        <f t="shared" si="2"/>
        <v>304.77999999999997</v>
      </c>
      <c r="Q38" s="2" t="str">
        <f>_xlfn.XLOOKUP(I38,products!B:B,products!D:D)</f>
        <v>Electronics</v>
      </c>
      <c r="S38" s="2"/>
    </row>
    <row r="39" spans="1:19">
      <c r="A39">
        <v>38</v>
      </c>
      <c r="B39">
        <v>1017</v>
      </c>
      <c r="C39">
        <v>91</v>
      </c>
      <c r="D39">
        <v>5</v>
      </c>
      <c r="E39">
        <v>170.65</v>
      </c>
      <c r="F39">
        <v>0</v>
      </c>
      <c r="G39">
        <f t="shared" si="0"/>
        <v>853.25</v>
      </c>
      <c r="H39" t="str">
        <f>_xlfn.XLOOKUP(B39,customer_orders!A:A,customer_orders!F:F)</f>
        <v>2026-03</v>
      </c>
      <c r="I39" t="str">
        <f>_xlfn.XLOOKUP(C39,products!A:A,products!B:B)</f>
        <v>SKU-0091</v>
      </c>
      <c r="J39" t="str">
        <f>_xlfn.XLOOKUP(B39,customer_orders!A:A,customer_orders!G:G)</f>
        <v>2026-w11</v>
      </c>
      <c r="K39">
        <f>IFERROR(_xlfn.XLOOKUP(B39,shipments!B:B,shipments!H:H),0)</f>
        <v>79.83</v>
      </c>
      <c r="L39">
        <f t="shared" si="1"/>
        <v>0.09</v>
      </c>
      <c r="M39" t="str">
        <f>_xlfn.XLOOKUP(B39,customer_orders!A:A,customer_orders!D:D)</f>
        <v>Ebay</v>
      </c>
      <c r="N39" t="str">
        <f>_xlfn.XLOOKUP(C39,inventory!B:B,inventory!C:C)</f>
        <v>Salt Lake City</v>
      </c>
      <c r="O39">
        <f>IF(_xlfn.XLOOKUP(C39,products!A:A,products!E:E)="NULL",0,_xlfn.XLOOKUP(C39,products!A:A,products!E:E))</f>
        <v>135.82</v>
      </c>
      <c r="P39">
        <f t="shared" si="2"/>
        <v>717.43000000000006</v>
      </c>
      <c r="Q39" s="2" t="str">
        <f>_xlfn.XLOOKUP(I39,products!B:B,products!D:D)</f>
        <v>Office</v>
      </c>
      <c r="S39" s="2"/>
    </row>
    <row r="40" spans="1:19">
      <c r="A40">
        <v>39</v>
      </c>
      <c r="B40">
        <v>1017</v>
      </c>
      <c r="C40">
        <v>96</v>
      </c>
      <c r="D40">
        <v>7</v>
      </c>
      <c r="E40">
        <v>252.1</v>
      </c>
      <c r="F40">
        <v>0</v>
      </c>
      <c r="G40">
        <f t="shared" si="0"/>
        <v>1764.7</v>
      </c>
      <c r="H40" t="str">
        <f>_xlfn.XLOOKUP(B40,customer_orders!A:A,customer_orders!F:F)</f>
        <v>2026-03</v>
      </c>
      <c r="I40" t="str">
        <f>_xlfn.XLOOKUP(C40,products!A:A,products!B:B)</f>
        <v>SKU-0096</v>
      </c>
      <c r="J40" t="str">
        <f>_xlfn.XLOOKUP(B40,customer_orders!A:A,customer_orders!G:G)</f>
        <v>2026-w11</v>
      </c>
      <c r="K40">
        <f>IFERROR(_xlfn.XLOOKUP(B40,shipments!B:B,shipments!H:H),0)</f>
        <v>79.83</v>
      </c>
      <c r="L40">
        <f t="shared" si="1"/>
        <v>0.05</v>
      </c>
      <c r="M40" t="str">
        <f>_xlfn.XLOOKUP(B40,customer_orders!A:A,customer_orders!D:D)</f>
        <v>Ebay</v>
      </c>
      <c r="N40" t="str">
        <f>_xlfn.XLOOKUP(C40,inventory!B:B,inventory!C:C)</f>
        <v>Unknown</v>
      </c>
      <c r="O40">
        <f>IF(_xlfn.XLOOKUP(C40,products!A:A,products!E:E)="NULL",0,_xlfn.XLOOKUP(C40,products!A:A,products!E:E))</f>
        <v>136.6</v>
      </c>
      <c r="P40">
        <f t="shared" si="2"/>
        <v>1628.1000000000001</v>
      </c>
      <c r="Q40" s="2" t="str">
        <f>_xlfn.XLOOKUP(I40,products!B:B,products!D:D)</f>
        <v>Office</v>
      </c>
      <c r="S40" s="2"/>
    </row>
    <row r="41" spans="1:19">
      <c r="A41">
        <v>40</v>
      </c>
      <c r="B41">
        <v>1018</v>
      </c>
      <c r="C41">
        <v>3</v>
      </c>
      <c r="D41">
        <v>3</v>
      </c>
      <c r="E41">
        <v>22.56</v>
      </c>
      <c r="F41">
        <v>2.16</v>
      </c>
      <c r="G41">
        <f t="shared" si="0"/>
        <v>65.52</v>
      </c>
      <c r="H41" t="str">
        <f>_xlfn.XLOOKUP(B41,customer_orders!A:A,customer_orders!F:F)</f>
        <v>2026-04</v>
      </c>
      <c r="I41" t="str">
        <f>_xlfn.XLOOKUP(C41,products!A:A,products!B:B)</f>
        <v>SKU-0003</v>
      </c>
      <c r="J41" t="str">
        <f>_xlfn.XLOOKUP(B41,customer_orders!A:A,customer_orders!G:G)</f>
        <v>2026-w15</v>
      </c>
      <c r="K41">
        <f>IFERROR(_xlfn.XLOOKUP(B41,shipments!B:B,shipments!H:H),0)</f>
        <v>117.37</v>
      </c>
      <c r="L41">
        <f t="shared" si="1"/>
        <v>1.79</v>
      </c>
      <c r="M41" t="str">
        <f>_xlfn.XLOOKUP(B41,customer_orders!A:A,customer_orders!D:D)</f>
        <v>Amazon</v>
      </c>
      <c r="N41" t="str">
        <f>_xlfn.XLOOKUP(C41,inventory!B:B,inventory!C:C)</f>
        <v>South Jordan</v>
      </c>
      <c r="O41">
        <f>IF(_xlfn.XLOOKUP(C41,products!A:A,products!E:E)="NULL",0,_xlfn.XLOOKUP(C41,products!A:A,products!E:E))</f>
        <v>93.44</v>
      </c>
      <c r="P41">
        <f t="shared" si="2"/>
        <v>-27.92</v>
      </c>
      <c r="Q41" s="2" t="str">
        <f>_xlfn.XLOOKUP(I41,products!B:B,products!D:D)</f>
        <v>Beauty</v>
      </c>
      <c r="S41" s="2"/>
    </row>
    <row r="42" spans="1:19">
      <c r="A42">
        <v>41</v>
      </c>
      <c r="B42">
        <v>1019</v>
      </c>
      <c r="C42">
        <v>12</v>
      </c>
      <c r="D42">
        <v>2</v>
      </c>
      <c r="E42">
        <v>61.57</v>
      </c>
      <c r="F42">
        <v>0</v>
      </c>
      <c r="G42">
        <f t="shared" si="0"/>
        <v>123.14</v>
      </c>
      <c r="H42" t="str">
        <f>_xlfn.XLOOKUP(B42,customer_orders!A:A,customer_orders!F:F)</f>
        <v>2026-02</v>
      </c>
      <c r="I42" t="str">
        <f>_xlfn.XLOOKUP(C42,products!A:A,products!B:B)</f>
        <v>SKU-0012</v>
      </c>
      <c r="J42" t="str">
        <f>_xlfn.XLOOKUP(B42,customer_orders!A:A,customer_orders!G:G)</f>
        <v>2026-w09</v>
      </c>
      <c r="K42">
        <f>IFERROR(_xlfn.XLOOKUP(B42,shipments!B:B,shipments!H:H),0)</f>
        <v>69.42</v>
      </c>
      <c r="L42">
        <f t="shared" si="1"/>
        <v>0.56000000000000005</v>
      </c>
      <c r="M42" t="str">
        <f>_xlfn.XLOOKUP(B42,customer_orders!A:A,customer_orders!D:D)</f>
        <v>Amazon</v>
      </c>
      <c r="N42" t="str">
        <f>_xlfn.XLOOKUP(C42,inventory!B:B,inventory!C:C)</f>
        <v>Unknown</v>
      </c>
      <c r="O42">
        <f>IF(_xlfn.XLOOKUP(C42,products!A:A,products!E:E)="NULL",0,_xlfn.XLOOKUP(C42,products!A:A,products!E:E))</f>
        <v>132.6</v>
      </c>
      <c r="P42">
        <f t="shared" si="2"/>
        <v>-9.4599999999999937</v>
      </c>
      <c r="Q42" s="2" t="str">
        <f>_xlfn.XLOOKUP(I42,products!B:B,products!D:D)</f>
        <v>Toys</v>
      </c>
      <c r="S42" s="2"/>
    </row>
    <row r="43" spans="1:19">
      <c r="A43">
        <v>42</v>
      </c>
      <c r="B43">
        <v>1019</v>
      </c>
      <c r="C43">
        <v>140</v>
      </c>
      <c r="D43">
        <v>1</v>
      </c>
      <c r="E43">
        <v>86.93</v>
      </c>
      <c r="F43">
        <v>0</v>
      </c>
      <c r="G43">
        <f t="shared" si="0"/>
        <v>86.93</v>
      </c>
      <c r="H43" t="str">
        <f>_xlfn.XLOOKUP(B43,customer_orders!A:A,customer_orders!F:F)</f>
        <v>2026-02</v>
      </c>
      <c r="I43" t="str">
        <f>_xlfn.XLOOKUP(C43,products!A:A,products!B:B)</f>
        <v>SKU-0140</v>
      </c>
      <c r="J43" t="str">
        <f>_xlfn.XLOOKUP(B43,customer_orders!A:A,customer_orders!G:G)</f>
        <v>2026-w09</v>
      </c>
      <c r="K43">
        <f>IFERROR(_xlfn.XLOOKUP(B43,shipments!B:B,shipments!H:H),0)</f>
        <v>69.42</v>
      </c>
      <c r="L43">
        <f t="shared" si="1"/>
        <v>0.8</v>
      </c>
      <c r="M43" t="str">
        <f>_xlfn.XLOOKUP(B43,customer_orders!A:A,customer_orders!D:D)</f>
        <v>Amazon</v>
      </c>
      <c r="N43" t="str">
        <f>_xlfn.XLOOKUP(C43,inventory!B:B,inventory!C:C)</f>
        <v>South Jordan</v>
      </c>
      <c r="O43">
        <f>IF(_xlfn.XLOOKUP(C43,products!A:A,products!E:E)="NULL",0,_xlfn.XLOOKUP(C43,products!A:A,products!E:E))</f>
        <v>20.41</v>
      </c>
      <c r="P43">
        <f t="shared" si="2"/>
        <v>66.52000000000001</v>
      </c>
      <c r="Q43" s="2" t="str">
        <f>_xlfn.XLOOKUP(I43,products!B:B,products!D:D)</f>
        <v>Electronics</v>
      </c>
      <c r="S43" s="2"/>
    </row>
    <row r="44" spans="1:19">
      <c r="A44">
        <v>43</v>
      </c>
      <c r="B44">
        <v>1019</v>
      </c>
      <c r="C44">
        <v>5</v>
      </c>
      <c r="D44">
        <v>4</v>
      </c>
      <c r="E44">
        <v>59.31</v>
      </c>
      <c r="F44">
        <v>9.2200000000000006</v>
      </c>
      <c r="G44">
        <f t="shared" si="0"/>
        <v>228.02</v>
      </c>
      <c r="H44" t="str">
        <f>_xlfn.XLOOKUP(B44,customer_orders!A:A,customer_orders!F:F)</f>
        <v>2026-02</v>
      </c>
      <c r="I44" t="str">
        <f>_xlfn.XLOOKUP(C44,products!A:A,products!B:B)</f>
        <v>SKU-0005</v>
      </c>
      <c r="J44" t="str">
        <f>_xlfn.XLOOKUP(B44,customer_orders!A:A,customer_orders!G:G)</f>
        <v>2026-w09</v>
      </c>
      <c r="K44">
        <f>IFERROR(_xlfn.XLOOKUP(B44,shipments!B:B,shipments!H:H),0)</f>
        <v>69.42</v>
      </c>
      <c r="L44">
        <f t="shared" si="1"/>
        <v>0.3</v>
      </c>
      <c r="M44" t="str">
        <f>_xlfn.XLOOKUP(B44,customer_orders!A:A,customer_orders!D:D)</f>
        <v>Amazon</v>
      </c>
      <c r="N44" t="str">
        <f>_xlfn.XLOOKUP(C44,inventory!B:B,inventory!C:C)</f>
        <v>South Jordan</v>
      </c>
      <c r="O44">
        <f>IF(_xlfn.XLOOKUP(C44,products!A:A,products!E:E)="NULL",0,_xlfn.XLOOKUP(C44,products!A:A,products!E:E))</f>
        <v>64.540000000000006</v>
      </c>
      <c r="P44">
        <f t="shared" si="2"/>
        <v>163.48000000000002</v>
      </c>
      <c r="Q44" s="2" t="str">
        <f>_xlfn.XLOOKUP(I44,products!B:B,products!D:D)</f>
        <v>Toys</v>
      </c>
      <c r="S44" s="2"/>
    </row>
    <row r="45" spans="1:19">
      <c r="A45">
        <v>44</v>
      </c>
      <c r="B45">
        <v>1020</v>
      </c>
      <c r="C45">
        <v>14</v>
      </c>
      <c r="D45">
        <v>2</v>
      </c>
      <c r="E45">
        <v>33.86</v>
      </c>
      <c r="F45">
        <v>0</v>
      </c>
      <c r="G45">
        <f t="shared" si="0"/>
        <v>67.72</v>
      </c>
      <c r="H45" t="str">
        <f>_xlfn.XLOOKUP(B45,customer_orders!A:A,customer_orders!F:F)</f>
        <v>2026-02</v>
      </c>
      <c r="I45" t="str">
        <f>_xlfn.XLOOKUP(C45,products!A:A,products!B:B)</f>
        <v>SKU-0014</v>
      </c>
      <c r="J45" t="str">
        <f>_xlfn.XLOOKUP(B45,customer_orders!A:A,customer_orders!G:G)</f>
        <v>2026-w06</v>
      </c>
      <c r="K45">
        <f>IFERROR(_xlfn.XLOOKUP(B45,shipments!B:B,shipments!H:H),0)</f>
        <v>68.150000000000006</v>
      </c>
      <c r="L45">
        <f t="shared" si="1"/>
        <v>1.01</v>
      </c>
      <c r="M45" t="str">
        <f>_xlfn.XLOOKUP(B45,customer_orders!A:A,customer_orders!D:D)</f>
        <v>Shopify</v>
      </c>
      <c r="N45" t="str">
        <f>_xlfn.XLOOKUP(C45,inventory!B:B,inventory!C:C)</f>
        <v>Lehi</v>
      </c>
      <c r="O45">
        <f>IF(_xlfn.XLOOKUP(C45,products!A:A,products!E:E)="NULL",0,_xlfn.XLOOKUP(C45,products!A:A,products!E:E))</f>
        <v>75.2</v>
      </c>
      <c r="P45">
        <f t="shared" si="2"/>
        <v>-7.480000000000004</v>
      </c>
      <c r="Q45" s="2" t="str">
        <f>_xlfn.XLOOKUP(I45,products!B:B,products!D:D)</f>
        <v>Electronics</v>
      </c>
      <c r="S45" s="2"/>
    </row>
    <row r="46" spans="1:19">
      <c r="A46">
        <v>45</v>
      </c>
      <c r="B46">
        <v>1020</v>
      </c>
      <c r="C46">
        <v>88</v>
      </c>
      <c r="D46">
        <v>7</v>
      </c>
      <c r="E46">
        <v>109.3</v>
      </c>
      <c r="F46">
        <v>0</v>
      </c>
      <c r="G46">
        <f t="shared" si="0"/>
        <v>765.1</v>
      </c>
      <c r="H46" t="str">
        <f>_xlfn.XLOOKUP(B46,customer_orders!A:A,customer_orders!F:F)</f>
        <v>2026-02</v>
      </c>
      <c r="I46" t="str">
        <f>_xlfn.XLOOKUP(C46,products!A:A,products!B:B)</f>
        <v>SKU-0088</v>
      </c>
      <c r="J46" t="str">
        <f>_xlfn.XLOOKUP(B46,customer_orders!A:A,customer_orders!G:G)</f>
        <v>2026-w06</v>
      </c>
      <c r="K46">
        <f>IFERROR(_xlfn.XLOOKUP(B46,shipments!B:B,shipments!H:H),0)</f>
        <v>68.150000000000006</v>
      </c>
      <c r="L46">
        <f t="shared" si="1"/>
        <v>0.09</v>
      </c>
      <c r="M46" t="str">
        <f>_xlfn.XLOOKUP(B46,customer_orders!A:A,customer_orders!D:D)</f>
        <v>Shopify</v>
      </c>
      <c r="N46" t="str">
        <f>_xlfn.XLOOKUP(C46,inventory!B:B,inventory!C:C)</f>
        <v>Salt Lake City</v>
      </c>
      <c r="O46">
        <f>IF(_xlfn.XLOOKUP(C46,products!A:A,products!E:E)="NULL",0,_xlfn.XLOOKUP(C46,products!A:A,products!E:E))</f>
        <v>77.599999999999994</v>
      </c>
      <c r="P46">
        <f t="shared" si="2"/>
        <v>687.5</v>
      </c>
      <c r="Q46" s="2" t="str">
        <f>_xlfn.XLOOKUP(I46,products!B:B,products!D:D)</f>
        <v>Beauty</v>
      </c>
      <c r="S46" s="2"/>
    </row>
    <row r="47" spans="1:19">
      <c r="A47">
        <v>46</v>
      </c>
      <c r="B47">
        <v>1020</v>
      </c>
      <c r="C47">
        <v>8</v>
      </c>
      <c r="D47">
        <v>5</v>
      </c>
      <c r="E47">
        <v>118.07</v>
      </c>
      <c r="F47">
        <v>11.97</v>
      </c>
      <c r="G47">
        <f t="shared" si="0"/>
        <v>578.37999999999988</v>
      </c>
      <c r="H47" t="str">
        <f>_xlfn.XLOOKUP(B47,customer_orders!A:A,customer_orders!F:F)</f>
        <v>2026-02</v>
      </c>
      <c r="I47" t="str">
        <f>_xlfn.XLOOKUP(C47,products!A:A,products!B:B)</f>
        <v>SKU-0008</v>
      </c>
      <c r="J47" t="str">
        <f>_xlfn.XLOOKUP(B47,customer_orders!A:A,customer_orders!G:G)</f>
        <v>2026-w06</v>
      </c>
      <c r="K47">
        <f>IFERROR(_xlfn.XLOOKUP(B47,shipments!B:B,shipments!H:H),0)</f>
        <v>68.150000000000006</v>
      </c>
      <c r="L47">
        <f t="shared" si="1"/>
        <v>0.12</v>
      </c>
      <c r="M47" t="str">
        <f>_xlfn.XLOOKUP(B47,customer_orders!A:A,customer_orders!D:D)</f>
        <v>Shopify</v>
      </c>
      <c r="N47" t="str">
        <f>_xlfn.XLOOKUP(C47,inventory!B:B,inventory!C:C)</f>
        <v>Salt Lake City</v>
      </c>
      <c r="O47">
        <f>IF(_xlfn.XLOOKUP(C47,products!A:A,products!E:E)="NULL",0,_xlfn.XLOOKUP(C47,products!A:A,products!E:E))</f>
        <v>159.94999999999999</v>
      </c>
      <c r="P47">
        <f t="shared" si="2"/>
        <v>418.42999999999989</v>
      </c>
      <c r="Q47" s="2" t="str">
        <f>_xlfn.XLOOKUP(I47,products!B:B,products!D:D)</f>
        <v>Sports</v>
      </c>
      <c r="S47" s="2"/>
    </row>
    <row r="48" spans="1:19">
      <c r="A48">
        <v>47</v>
      </c>
      <c r="B48">
        <v>1021</v>
      </c>
      <c r="C48">
        <v>69</v>
      </c>
      <c r="D48">
        <v>3</v>
      </c>
      <c r="E48">
        <v>69.17</v>
      </c>
      <c r="F48">
        <v>0</v>
      </c>
      <c r="G48">
        <f t="shared" si="0"/>
        <v>207.51</v>
      </c>
      <c r="H48" t="str">
        <f>_xlfn.XLOOKUP(B48,customer_orders!A:A,customer_orders!F:F)</f>
        <v>2026-03</v>
      </c>
      <c r="I48" t="str">
        <f>_xlfn.XLOOKUP(C48,products!A:A,products!B:B)</f>
        <v>SKU-0069</v>
      </c>
      <c r="J48" t="str">
        <f>_xlfn.XLOOKUP(B48,customer_orders!A:A,customer_orders!G:G)</f>
        <v>2026-w12</v>
      </c>
      <c r="K48">
        <f>IFERROR(_xlfn.XLOOKUP(B48,shipments!B:B,shipments!H:H),0)</f>
        <v>469.55</v>
      </c>
      <c r="L48">
        <f t="shared" si="1"/>
        <v>2.2599999999999998</v>
      </c>
      <c r="M48" t="str">
        <f>_xlfn.XLOOKUP(B48,customer_orders!A:A,customer_orders!D:D)</f>
        <v>Shopify</v>
      </c>
      <c r="N48" t="str">
        <f>_xlfn.XLOOKUP(C48,inventory!B:B,inventory!C:C)</f>
        <v>South Jordan</v>
      </c>
      <c r="O48">
        <f>IF(_xlfn.XLOOKUP(C48,products!A:A,products!E:E)="NULL",0,_xlfn.XLOOKUP(C48,products!A:A,products!E:E))</f>
        <v>162.41</v>
      </c>
      <c r="P48">
        <f t="shared" si="2"/>
        <v>45.099999999999994</v>
      </c>
      <c r="Q48" s="2" t="str">
        <f>_xlfn.XLOOKUP(I48,products!B:B,products!D:D)</f>
        <v>Home</v>
      </c>
      <c r="S48" s="2"/>
    </row>
    <row r="49" spans="1:19">
      <c r="A49">
        <v>48</v>
      </c>
      <c r="B49">
        <v>1022</v>
      </c>
      <c r="C49">
        <v>143</v>
      </c>
      <c r="D49">
        <v>7</v>
      </c>
      <c r="E49">
        <v>171.53</v>
      </c>
      <c r="F49">
        <v>0</v>
      </c>
      <c r="G49">
        <f t="shared" si="0"/>
        <v>1200.71</v>
      </c>
      <c r="H49" t="str">
        <f>_xlfn.XLOOKUP(B49,customer_orders!A:A,customer_orders!F:F)</f>
        <v>2026-02</v>
      </c>
      <c r="I49" t="str">
        <f>_xlfn.XLOOKUP(C49,products!A:A,products!B:B)</f>
        <v>SKU-0143</v>
      </c>
      <c r="J49" t="str">
        <f>_xlfn.XLOOKUP(B49,customer_orders!A:A,customer_orders!G:G)</f>
        <v>2026-w06</v>
      </c>
      <c r="K49">
        <f>IFERROR(_xlfn.XLOOKUP(B49,shipments!B:B,shipments!H:H),0)</f>
        <v>20.11</v>
      </c>
      <c r="L49">
        <f t="shared" si="1"/>
        <v>0.02</v>
      </c>
      <c r="M49" t="str">
        <f>_xlfn.XLOOKUP(B49,customer_orders!A:A,customer_orders!D:D)</f>
        <v>Shopify</v>
      </c>
      <c r="N49" t="str">
        <f>_xlfn.XLOOKUP(C49,inventory!B:B,inventory!C:C)</f>
        <v>South Jordan</v>
      </c>
      <c r="O49">
        <f>IF(_xlfn.XLOOKUP(C49,products!A:A,products!E:E)="NULL",0,_xlfn.XLOOKUP(C49,products!A:A,products!E:E))</f>
        <v>40.619999999999997</v>
      </c>
      <c r="P49">
        <f t="shared" si="2"/>
        <v>1160.0900000000001</v>
      </c>
      <c r="Q49" s="2" t="str">
        <f>_xlfn.XLOOKUP(I49,products!B:B,products!D:D)</f>
        <v>Pet</v>
      </c>
      <c r="S49" s="2"/>
    </row>
    <row r="50" spans="1:19">
      <c r="A50">
        <v>49</v>
      </c>
      <c r="B50">
        <v>1022</v>
      </c>
      <c r="C50">
        <v>91</v>
      </c>
      <c r="D50">
        <v>2</v>
      </c>
      <c r="E50">
        <v>170.65</v>
      </c>
      <c r="F50">
        <v>0</v>
      </c>
      <c r="G50">
        <f t="shared" si="0"/>
        <v>341.3</v>
      </c>
      <c r="H50" t="str">
        <f>_xlfn.XLOOKUP(B50,customer_orders!A:A,customer_orders!F:F)</f>
        <v>2026-02</v>
      </c>
      <c r="I50" t="str">
        <f>_xlfn.XLOOKUP(C50,products!A:A,products!B:B)</f>
        <v>SKU-0091</v>
      </c>
      <c r="J50" t="str">
        <f>_xlfn.XLOOKUP(B50,customer_orders!A:A,customer_orders!G:G)</f>
        <v>2026-w06</v>
      </c>
      <c r="K50">
        <f>IFERROR(_xlfn.XLOOKUP(B50,shipments!B:B,shipments!H:H),0)</f>
        <v>20.11</v>
      </c>
      <c r="L50">
        <f t="shared" si="1"/>
        <v>0.06</v>
      </c>
      <c r="M50" t="str">
        <f>_xlfn.XLOOKUP(B50,customer_orders!A:A,customer_orders!D:D)</f>
        <v>Shopify</v>
      </c>
      <c r="N50" t="str">
        <f>_xlfn.XLOOKUP(C50,inventory!B:B,inventory!C:C)</f>
        <v>Salt Lake City</v>
      </c>
      <c r="O50">
        <f>IF(_xlfn.XLOOKUP(C50,products!A:A,products!E:E)="NULL",0,_xlfn.XLOOKUP(C50,products!A:A,products!E:E))</f>
        <v>135.82</v>
      </c>
      <c r="P50">
        <f t="shared" si="2"/>
        <v>205.48000000000002</v>
      </c>
      <c r="Q50" s="2" t="str">
        <f>_xlfn.XLOOKUP(I50,products!B:B,products!D:D)</f>
        <v>Office</v>
      </c>
      <c r="S50" s="2"/>
    </row>
    <row r="51" spans="1:19">
      <c r="A51">
        <v>50</v>
      </c>
      <c r="B51">
        <v>1022</v>
      </c>
      <c r="C51">
        <v>99</v>
      </c>
      <c r="D51">
        <v>1</v>
      </c>
      <c r="E51">
        <v>50.97</v>
      </c>
      <c r="F51">
        <v>5.09</v>
      </c>
      <c r="G51">
        <f t="shared" si="0"/>
        <v>45.879999999999995</v>
      </c>
      <c r="H51" t="str">
        <f>_xlfn.XLOOKUP(B51,customer_orders!A:A,customer_orders!F:F)</f>
        <v>2026-02</v>
      </c>
      <c r="I51" t="str">
        <f>_xlfn.XLOOKUP(C51,products!A:A,products!B:B)</f>
        <v>SKU-0099</v>
      </c>
      <c r="J51" t="str">
        <f>_xlfn.XLOOKUP(B51,customer_orders!A:A,customer_orders!G:G)</f>
        <v>2026-w06</v>
      </c>
      <c r="K51">
        <f>IFERROR(_xlfn.XLOOKUP(B51,shipments!B:B,shipments!H:H),0)</f>
        <v>20.11</v>
      </c>
      <c r="L51">
        <f t="shared" si="1"/>
        <v>0.44</v>
      </c>
      <c r="M51" t="str">
        <f>_xlfn.XLOOKUP(B51,customer_orders!A:A,customer_orders!D:D)</f>
        <v>Shopify</v>
      </c>
      <c r="N51" t="str">
        <f>_xlfn.XLOOKUP(C51,inventory!B:B,inventory!C:C)</f>
        <v>Lehi</v>
      </c>
      <c r="O51">
        <f>IF(_xlfn.XLOOKUP(C51,products!A:A,products!E:E)="NULL",0,_xlfn.XLOOKUP(C51,products!A:A,products!E:E))</f>
        <v>31.67</v>
      </c>
      <c r="P51">
        <f t="shared" si="2"/>
        <v>14.209999999999994</v>
      </c>
      <c r="Q51" s="2" t="str">
        <f>_xlfn.XLOOKUP(I51,products!B:B,products!D:D)</f>
        <v>Electronics</v>
      </c>
      <c r="S51" s="2"/>
    </row>
    <row r="52" spans="1:19">
      <c r="A52">
        <v>51</v>
      </c>
      <c r="B52">
        <v>1022</v>
      </c>
      <c r="C52">
        <v>22</v>
      </c>
      <c r="D52">
        <v>4</v>
      </c>
      <c r="E52">
        <v>159.69</v>
      </c>
      <c r="F52">
        <v>0</v>
      </c>
      <c r="G52">
        <f t="shared" si="0"/>
        <v>638.76</v>
      </c>
      <c r="H52" t="str">
        <f>_xlfn.XLOOKUP(B52,customer_orders!A:A,customer_orders!F:F)</f>
        <v>2026-02</v>
      </c>
      <c r="I52" t="str">
        <f>_xlfn.XLOOKUP(C52,products!A:A,products!B:B)</f>
        <v>SKU-0022</v>
      </c>
      <c r="J52" t="str">
        <f>_xlfn.XLOOKUP(B52,customer_orders!A:A,customer_orders!G:G)</f>
        <v>2026-w06</v>
      </c>
      <c r="K52">
        <f>IFERROR(_xlfn.XLOOKUP(B52,shipments!B:B,shipments!H:H),0)</f>
        <v>20.11</v>
      </c>
      <c r="L52">
        <f t="shared" si="1"/>
        <v>0.03</v>
      </c>
      <c r="M52" t="str">
        <f>_xlfn.XLOOKUP(B52,customer_orders!A:A,customer_orders!D:D)</f>
        <v>Shopify</v>
      </c>
      <c r="N52" t="str">
        <f>_xlfn.XLOOKUP(C52,inventory!B:B,inventory!C:C)</f>
        <v>Lehi</v>
      </c>
      <c r="O52">
        <f>IF(_xlfn.XLOOKUP(C52,products!A:A,products!E:E)="NULL",0,_xlfn.XLOOKUP(C52,products!A:A,products!E:E))</f>
        <v>138.34</v>
      </c>
      <c r="P52">
        <f t="shared" si="2"/>
        <v>500.41999999999996</v>
      </c>
      <c r="Q52" s="2" t="str">
        <f>_xlfn.XLOOKUP(I52,products!B:B,products!D:D)</f>
        <v>Sports</v>
      </c>
      <c r="S52" s="2"/>
    </row>
    <row r="53" spans="1:19">
      <c r="A53">
        <v>52</v>
      </c>
      <c r="B53">
        <v>1023</v>
      </c>
      <c r="C53">
        <v>124</v>
      </c>
      <c r="D53">
        <v>2</v>
      </c>
      <c r="E53">
        <v>48.76</v>
      </c>
      <c r="F53">
        <v>0</v>
      </c>
      <c r="G53">
        <f t="shared" si="0"/>
        <v>97.52</v>
      </c>
      <c r="H53" t="str">
        <f>_xlfn.XLOOKUP(B53,customer_orders!A:A,customer_orders!F:F)</f>
        <v>2026-02</v>
      </c>
      <c r="I53" t="str">
        <f>_xlfn.XLOOKUP(C53,products!A:A,products!B:B)</f>
        <v>SKU-0124</v>
      </c>
      <c r="J53" t="str">
        <f>_xlfn.XLOOKUP(B53,customer_orders!A:A,customer_orders!G:G)</f>
        <v>2026-w07</v>
      </c>
      <c r="K53">
        <f>IFERROR(_xlfn.XLOOKUP(B53,shipments!B:B,shipments!H:H),0)</f>
        <v>55.07</v>
      </c>
      <c r="L53">
        <f t="shared" si="1"/>
        <v>0.56000000000000005</v>
      </c>
      <c r="M53" t="str">
        <f>_xlfn.XLOOKUP(B53,customer_orders!A:A,customer_orders!D:D)</f>
        <v>Ebay</v>
      </c>
      <c r="N53" t="str">
        <f>_xlfn.XLOOKUP(C53,inventory!B:B,inventory!C:C)</f>
        <v>Lehi</v>
      </c>
      <c r="O53">
        <f>IF(_xlfn.XLOOKUP(C53,products!A:A,products!E:E)="NULL",0,_xlfn.XLOOKUP(C53,products!A:A,products!E:E))</f>
        <v>178.94</v>
      </c>
      <c r="P53">
        <f t="shared" si="2"/>
        <v>-81.42</v>
      </c>
      <c r="Q53" s="2" t="str">
        <f>_xlfn.XLOOKUP(I53,products!B:B,products!D:D)</f>
        <v>Sports</v>
      </c>
      <c r="S53" s="2"/>
    </row>
    <row r="54" spans="1:19">
      <c r="A54">
        <v>53</v>
      </c>
      <c r="B54">
        <v>1023</v>
      </c>
      <c r="C54">
        <v>127</v>
      </c>
      <c r="D54">
        <v>4</v>
      </c>
      <c r="E54">
        <v>38.14</v>
      </c>
      <c r="F54">
        <v>0</v>
      </c>
      <c r="G54">
        <f t="shared" si="0"/>
        <v>152.56</v>
      </c>
      <c r="H54" t="str">
        <f>_xlfn.XLOOKUP(B54,customer_orders!A:A,customer_orders!F:F)</f>
        <v>2026-02</v>
      </c>
      <c r="I54" t="str">
        <f>_xlfn.XLOOKUP(C54,products!A:A,products!B:B)</f>
        <v>SKU-0127</v>
      </c>
      <c r="J54" t="str">
        <f>_xlfn.XLOOKUP(B54,customer_orders!A:A,customer_orders!G:G)</f>
        <v>2026-w07</v>
      </c>
      <c r="K54">
        <f>IFERROR(_xlfn.XLOOKUP(B54,shipments!B:B,shipments!H:H),0)</f>
        <v>55.07</v>
      </c>
      <c r="L54">
        <f t="shared" si="1"/>
        <v>0.36</v>
      </c>
      <c r="M54" t="str">
        <f>_xlfn.XLOOKUP(B54,customer_orders!A:A,customer_orders!D:D)</f>
        <v>Ebay</v>
      </c>
      <c r="N54" t="str">
        <f>_xlfn.XLOOKUP(C54,inventory!B:B,inventory!C:C)</f>
        <v>South Jordan</v>
      </c>
      <c r="O54">
        <f>IF(_xlfn.XLOOKUP(C54,products!A:A,products!E:E)="NULL",0,_xlfn.XLOOKUP(C54,products!A:A,products!E:E))</f>
        <v>51.31</v>
      </c>
      <c r="P54">
        <f t="shared" si="2"/>
        <v>101.25</v>
      </c>
      <c r="Q54" s="2" t="str">
        <f>_xlfn.XLOOKUP(I54,products!B:B,products!D:D)</f>
        <v>Beauty</v>
      </c>
      <c r="S54" s="2"/>
    </row>
    <row r="55" spans="1:19">
      <c r="A55">
        <v>54</v>
      </c>
      <c r="B55">
        <v>1023</v>
      </c>
      <c r="C55">
        <v>78</v>
      </c>
      <c r="D55">
        <v>1</v>
      </c>
      <c r="E55">
        <v>71.75</v>
      </c>
      <c r="F55">
        <v>0</v>
      </c>
      <c r="G55">
        <f t="shared" si="0"/>
        <v>71.75</v>
      </c>
      <c r="H55" t="str">
        <f>_xlfn.XLOOKUP(B55,customer_orders!A:A,customer_orders!F:F)</f>
        <v>2026-02</v>
      </c>
      <c r="I55" t="str">
        <f>_xlfn.XLOOKUP(C55,products!A:A,products!B:B)</f>
        <v>SKU-0078</v>
      </c>
      <c r="J55" t="str">
        <f>_xlfn.XLOOKUP(B55,customer_orders!A:A,customer_orders!G:G)</f>
        <v>2026-w07</v>
      </c>
      <c r="K55">
        <f>IFERROR(_xlfn.XLOOKUP(B55,shipments!B:B,shipments!H:H),0)</f>
        <v>55.07</v>
      </c>
      <c r="L55">
        <f t="shared" si="1"/>
        <v>0.77</v>
      </c>
      <c r="M55" t="str">
        <f>_xlfn.XLOOKUP(B55,customer_orders!A:A,customer_orders!D:D)</f>
        <v>Ebay</v>
      </c>
      <c r="N55" t="str">
        <f>_xlfn.XLOOKUP(C55,inventory!B:B,inventory!C:C)</f>
        <v>Draper</v>
      </c>
      <c r="O55">
        <f>IF(_xlfn.XLOOKUP(C55,products!A:A,products!E:E)="NULL",0,_xlfn.XLOOKUP(C55,products!A:A,products!E:E))</f>
        <v>44.31</v>
      </c>
      <c r="P55">
        <f t="shared" si="2"/>
        <v>27.439999999999998</v>
      </c>
      <c r="Q55" s="2" t="str">
        <f>_xlfn.XLOOKUP(I55,products!B:B,products!D:D)</f>
        <v>Beauty</v>
      </c>
      <c r="S55" s="2"/>
    </row>
    <row r="56" spans="1:19">
      <c r="A56">
        <v>55</v>
      </c>
      <c r="B56">
        <v>1024</v>
      </c>
      <c r="C56">
        <v>81</v>
      </c>
      <c r="D56">
        <v>3</v>
      </c>
      <c r="E56">
        <v>244.17</v>
      </c>
      <c r="F56">
        <v>0</v>
      </c>
      <c r="G56">
        <f t="shared" si="0"/>
        <v>732.51</v>
      </c>
      <c r="H56" t="str">
        <f>_xlfn.XLOOKUP(B56,customer_orders!A:A,customer_orders!F:F)</f>
        <v>2026-03</v>
      </c>
      <c r="I56" t="str">
        <f>_xlfn.XLOOKUP(C56,products!A:A,products!B:B)</f>
        <v>SKU-0081</v>
      </c>
      <c r="J56" t="str">
        <f>_xlfn.XLOOKUP(B56,customer_orders!A:A,customer_orders!G:G)</f>
        <v>2026-w13</v>
      </c>
      <c r="K56">
        <f>IFERROR(_xlfn.XLOOKUP(B56,shipments!B:B,shipments!H:H),0)</f>
        <v>83.08</v>
      </c>
      <c r="L56">
        <f t="shared" si="1"/>
        <v>0.11</v>
      </c>
      <c r="M56" t="str">
        <f>_xlfn.XLOOKUP(B56,customer_orders!A:A,customer_orders!D:D)</f>
        <v>Shopify</v>
      </c>
      <c r="N56" t="str">
        <f>_xlfn.XLOOKUP(C56,inventory!B:B,inventory!C:C)</f>
        <v>Lehi</v>
      </c>
      <c r="O56">
        <f>IF(_xlfn.XLOOKUP(C56,products!A:A,products!E:E)="NULL",0,_xlfn.XLOOKUP(C56,products!A:A,products!E:E))</f>
        <v>43.3</v>
      </c>
      <c r="P56">
        <f t="shared" si="2"/>
        <v>689.21</v>
      </c>
      <c r="Q56" s="2" t="str">
        <f>_xlfn.XLOOKUP(I56,products!B:B,products!D:D)</f>
        <v>Home</v>
      </c>
      <c r="S56" s="2"/>
    </row>
    <row r="57" spans="1:19">
      <c r="A57">
        <v>56</v>
      </c>
      <c r="B57">
        <v>1024</v>
      </c>
      <c r="C57">
        <v>75</v>
      </c>
      <c r="D57">
        <v>8</v>
      </c>
      <c r="E57">
        <v>180.3</v>
      </c>
      <c r="F57">
        <v>0</v>
      </c>
      <c r="G57">
        <f t="shared" si="0"/>
        <v>1442.4</v>
      </c>
      <c r="H57" t="str">
        <f>_xlfn.XLOOKUP(B57,customer_orders!A:A,customer_orders!F:F)</f>
        <v>2026-03</v>
      </c>
      <c r="I57" t="str">
        <f>_xlfn.XLOOKUP(C57,products!A:A,products!B:B)</f>
        <v>SKU-0075</v>
      </c>
      <c r="J57" t="str">
        <f>_xlfn.XLOOKUP(B57,customer_orders!A:A,customer_orders!G:G)</f>
        <v>2026-w13</v>
      </c>
      <c r="K57">
        <f>IFERROR(_xlfn.XLOOKUP(B57,shipments!B:B,shipments!H:H),0)</f>
        <v>83.08</v>
      </c>
      <c r="L57">
        <f t="shared" si="1"/>
        <v>0.06</v>
      </c>
      <c r="M57" t="str">
        <f>_xlfn.XLOOKUP(B57,customer_orders!A:A,customer_orders!D:D)</f>
        <v>Shopify</v>
      </c>
      <c r="N57" t="str">
        <f>_xlfn.XLOOKUP(C57,inventory!B:B,inventory!C:C)</f>
        <v>Salt Lake City</v>
      </c>
      <c r="O57">
        <f>IF(_xlfn.XLOOKUP(C57,products!A:A,products!E:E)="NULL",0,_xlfn.XLOOKUP(C57,products!A:A,products!E:E))</f>
        <v>80.23</v>
      </c>
      <c r="P57">
        <f t="shared" si="2"/>
        <v>1362.17</v>
      </c>
      <c r="Q57" s="2" t="str">
        <f>_xlfn.XLOOKUP(I57,products!B:B,products!D:D)</f>
        <v>Sports</v>
      </c>
      <c r="S57" s="2"/>
    </row>
    <row r="58" spans="1:19">
      <c r="A58">
        <v>57</v>
      </c>
      <c r="B58">
        <v>1024</v>
      </c>
      <c r="C58">
        <v>84</v>
      </c>
      <c r="D58">
        <v>7</v>
      </c>
      <c r="E58">
        <v>150.28</v>
      </c>
      <c r="F58">
        <v>4.92</v>
      </c>
      <c r="G58">
        <f t="shared" si="0"/>
        <v>1047.04</v>
      </c>
      <c r="H58" t="str">
        <f>_xlfn.XLOOKUP(B58,customer_orders!A:A,customer_orders!F:F)</f>
        <v>2026-03</v>
      </c>
      <c r="I58" t="str">
        <f>_xlfn.XLOOKUP(C58,products!A:A,products!B:B)</f>
        <v>SKU-0084</v>
      </c>
      <c r="J58" t="str">
        <f>_xlfn.XLOOKUP(B58,customer_orders!A:A,customer_orders!G:G)</f>
        <v>2026-w13</v>
      </c>
      <c r="K58">
        <f>IFERROR(_xlfn.XLOOKUP(B58,shipments!B:B,shipments!H:H),0)</f>
        <v>83.08</v>
      </c>
      <c r="L58">
        <f t="shared" si="1"/>
        <v>0.08</v>
      </c>
      <c r="M58" t="str">
        <f>_xlfn.XLOOKUP(B58,customer_orders!A:A,customer_orders!D:D)</f>
        <v>Shopify</v>
      </c>
      <c r="N58" t="str">
        <f>_xlfn.XLOOKUP(C58,inventory!B:B,inventory!C:C)</f>
        <v>Draper</v>
      </c>
      <c r="O58">
        <f>IF(_xlfn.XLOOKUP(C58,products!A:A,products!E:E)="NULL",0,_xlfn.XLOOKUP(C58,products!A:A,products!E:E))</f>
        <v>135.13999999999999</v>
      </c>
      <c r="P58">
        <f t="shared" si="2"/>
        <v>911.9</v>
      </c>
      <c r="Q58" s="2" t="str">
        <f>_xlfn.XLOOKUP(I58,products!B:B,products!D:D)</f>
        <v>Pet</v>
      </c>
      <c r="S58" s="2"/>
    </row>
    <row r="59" spans="1:19">
      <c r="A59">
        <v>58</v>
      </c>
      <c r="B59">
        <v>1024</v>
      </c>
      <c r="C59">
        <v>94</v>
      </c>
      <c r="D59">
        <v>2</v>
      </c>
      <c r="E59">
        <v>53.67</v>
      </c>
      <c r="F59">
        <v>0</v>
      </c>
      <c r="G59">
        <f t="shared" si="0"/>
        <v>107.34</v>
      </c>
      <c r="H59" t="str">
        <f>_xlfn.XLOOKUP(B59,customer_orders!A:A,customer_orders!F:F)</f>
        <v>2026-03</v>
      </c>
      <c r="I59" t="str">
        <f>_xlfn.XLOOKUP(C59,products!A:A,products!B:B)</f>
        <v>SKU-0094</v>
      </c>
      <c r="J59" t="str">
        <f>_xlfn.XLOOKUP(B59,customer_orders!A:A,customer_orders!G:G)</f>
        <v>2026-w13</v>
      </c>
      <c r="K59">
        <f>IFERROR(_xlfn.XLOOKUP(B59,shipments!B:B,shipments!H:H),0)</f>
        <v>83.08</v>
      </c>
      <c r="L59">
        <f t="shared" si="1"/>
        <v>0.77</v>
      </c>
      <c r="M59" t="str">
        <f>_xlfn.XLOOKUP(B59,customer_orders!A:A,customer_orders!D:D)</f>
        <v>Shopify</v>
      </c>
      <c r="N59" t="str">
        <f>_xlfn.XLOOKUP(C59,inventory!B:B,inventory!C:C)</f>
        <v>Draper</v>
      </c>
      <c r="O59">
        <f>IF(_xlfn.XLOOKUP(C59,products!A:A,products!E:E)="NULL",0,_xlfn.XLOOKUP(C59,products!A:A,products!E:E))</f>
        <v>117.48</v>
      </c>
      <c r="P59">
        <f t="shared" si="2"/>
        <v>-10.14</v>
      </c>
      <c r="Q59" s="2" t="str">
        <f>_xlfn.XLOOKUP(I59,products!B:B,products!D:D)</f>
        <v>Electronics</v>
      </c>
      <c r="S59" s="2"/>
    </row>
    <row r="60" spans="1:19">
      <c r="A60">
        <v>59</v>
      </c>
      <c r="B60">
        <v>1025</v>
      </c>
      <c r="C60">
        <v>128</v>
      </c>
      <c r="D60">
        <v>3</v>
      </c>
      <c r="E60">
        <v>143.38999999999999</v>
      </c>
      <c r="F60">
        <v>0</v>
      </c>
      <c r="G60">
        <f t="shared" si="0"/>
        <v>430.16999999999996</v>
      </c>
      <c r="H60" t="str">
        <f>_xlfn.XLOOKUP(B60,customer_orders!A:A,customer_orders!F:F)</f>
        <v>2026-04</v>
      </c>
      <c r="I60" t="str">
        <f>_xlfn.XLOOKUP(C60,products!A:A,products!B:B)</f>
        <v>SKU-0128</v>
      </c>
      <c r="J60" t="str">
        <f>_xlfn.XLOOKUP(B60,customer_orders!A:A,customer_orders!G:G)</f>
        <v>2026-w17</v>
      </c>
      <c r="K60">
        <f>IFERROR(_xlfn.XLOOKUP(B60,shipments!B:B,shipments!H:H),0)</f>
        <v>0</v>
      </c>
      <c r="L60">
        <f t="shared" si="1"/>
        <v>0</v>
      </c>
      <c r="M60" t="str">
        <f>_xlfn.XLOOKUP(B60,customer_orders!A:A,customer_orders!D:D)</f>
        <v>Shopify</v>
      </c>
      <c r="N60" t="str">
        <f>_xlfn.XLOOKUP(C60,inventory!B:B,inventory!C:C)</f>
        <v>West Valley</v>
      </c>
      <c r="O60">
        <f>IF(_xlfn.XLOOKUP(C60,products!A:A,products!E:E)="NULL",0,_xlfn.XLOOKUP(C60,products!A:A,products!E:E))</f>
        <v>5.47</v>
      </c>
      <c r="P60">
        <f t="shared" si="2"/>
        <v>424.69999999999993</v>
      </c>
      <c r="Q60" s="2" t="str">
        <f>_xlfn.XLOOKUP(I60,products!B:B,products!D:D)</f>
        <v>Home</v>
      </c>
      <c r="S60" s="2"/>
    </row>
    <row r="61" spans="1:19">
      <c r="A61">
        <v>60</v>
      </c>
      <c r="B61">
        <v>1025</v>
      </c>
      <c r="C61">
        <v>65</v>
      </c>
      <c r="D61">
        <v>3</v>
      </c>
      <c r="E61">
        <v>203.11</v>
      </c>
      <c r="F61">
        <v>11.01</v>
      </c>
      <c r="G61">
        <f t="shared" si="0"/>
        <v>598.32000000000005</v>
      </c>
      <c r="H61" t="str">
        <f>_xlfn.XLOOKUP(B61,customer_orders!A:A,customer_orders!F:F)</f>
        <v>2026-04</v>
      </c>
      <c r="I61" t="str">
        <f>_xlfn.XLOOKUP(C61,products!A:A,products!B:B)</f>
        <v>SKU-0065</v>
      </c>
      <c r="J61" t="str">
        <f>_xlfn.XLOOKUP(B61,customer_orders!A:A,customer_orders!G:G)</f>
        <v>2026-w17</v>
      </c>
      <c r="K61">
        <f>IFERROR(_xlfn.XLOOKUP(B61,shipments!B:B,shipments!H:H),0)</f>
        <v>0</v>
      </c>
      <c r="L61">
        <f t="shared" si="1"/>
        <v>0</v>
      </c>
      <c r="M61" t="str">
        <f>_xlfn.XLOOKUP(B61,customer_orders!A:A,customer_orders!D:D)</f>
        <v>Shopify</v>
      </c>
      <c r="N61" t="str">
        <f>_xlfn.XLOOKUP(C61,inventory!B:B,inventory!C:C)</f>
        <v>Salt Lake City</v>
      </c>
      <c r="O61">
        <f>IF(_xlfn.XLOOKUP(C61,products!A:A,products!E:E)="NULL",0,_xlfn.XLOOKUP(C61,products!A:A,products!E:E))</f>
        <v>44.01</v>
      </c>
      <c r="P61">
        <f t="shared" si="2"/>
        <v>554.31000000000006</v>
      </c>
      <c r="Q61" s="2" t="str">
        <f>_xlfn.XLOOKUP(I61,products!B:B,products!D:D)</f>
        <v>Sports</v>
      </c>
      <c r="S61" s="2"/>
    </row>
    <row r="62" spans="1:19">
      <c r="A62">
        <v>61</v>
      </c>
      <c r="B62">
        <v>1025</v>
      </c>
      <c r="C62">
        <v>19</v>
      </c>
      <c r="D62">
        <v>8</v>
      </c>
      <c r="E62">
        <v>298.89</v>
      </c>
      <c r="F62">
        <v>14.87</v>
      </c>
      <c r="G62">
        <f t="shared" si="0"/>
        <v>2376.25</v>
      </c>
      <c r="H62" t="str">
        <f>_xlfn.XLOOKUP(B62,customer_orders!A:A,customer_orders!F:F)</f>
        <v>2026-04</v>
      </c>
      <c r="I62" t="str">
        <f>_xlfn.XLOOKUP(C62,products!A:A,products!B:B)</f>
        <v>SKU-0019</v>
      </c>
      <c r="J62" t="str">
        <f>_xlfn.XLOOKUP(B62,customer_orders!A:A,customer_orders!G:G)</f>
        <v>2026-w17</v>
      </c>
      <c r="K62">
        <f>IFERROR(_xlfn.XLOOKUP(B62,shipments!B:B,shipments!H:H),0)</f>
        <v>0</v>
      </c>
      <c r="L62">
        <f t="shared" si="1"/>
        <v>0</v>
      </c>
      <c r="M62" t="str">
        <f>_xlfn.XLOOKUP(B62,customer_orders!A:A,customer_orders!D:D)</f>
        <v>Shopify</v>
      </c>
      <c r="N62" t="str">
        <f>_xlfn.XLOOKUP(C62,inventory!B:B,inventory!C:C)</f>
        <v>South Jordan</v>
      </c>
      <c r="O62">
        <f>IF(_xlfn.XLOOKUP(C62,products!A:A,products!E:E)="NULL",0,_xlfn.XLOOKUP(C62,products!A:A,products!E:E))</f>
        <v>71.78</v>
      </c>
      <c r="P62">
        <f t="shared" si="2"/>
        <v>2304.4699999999998</v>
      </c>
      <c r="Q62" s="2" t="str">
        <f>_xlfn.XLOOKUP(I62,products!B:B,products!D:D)</f>
        <v>Home</v>
      </c>
      <c r="S62" s="2"/>
    </row>
    <row r="63" spans="1:19">
      <c r="A63">
        <v>62</v>
      </c>
      <c r="B63">
        <v>1025</v>
      </c>
      <c r="C63">
        <v>150</v>
      </c>
      <c r="D63">
        <v>7</v>
      </c>
      <c r="E63">
        <v>100.09</v>
      </c>
      <c r="F63">
        <v>8.48</v>
      </c>
      <c r="G63">
        <f t="shared" si="0"/>
        <v>692.15</v>
      </c>
      <c r="H63" t="str">
        <f>_xlfn.XLOOKUP(B63,customer_orders!A:A,customer_orders!F:F)</f>
        <v>2026-04</v>
      </c>
      <c r="I63" t="str">
        <f>_xlfn.XLOOKUP(C63,products!A:A,products!B:B)</f>
        <v>SKU-0150</v>
      </c>
      <c r="J63" t="str">
        <f>_xlfn.XLOOKUP(B63,customer_orders!A:A,customer_orders!G:G)</f>
        <v>2026-w17</v>
      </c>
      <c r="K63">
        <f>IFERROR(_xlfn.XLOOKUP(B63,shipments!B:B,shipments!H:H),0)</f>
        <v>0</v>
      </c>
      <c r="L63">
        <f t="shared" si="1"/>
        <v>0</v>
      </c>
      <c r="M63" t="str">
        <f>_xlfn.XLOOKUP(B63,customer_orders!A:A,customer_orders!D:D)</f>
        <v>Shopify</v>
      </c>
      <c r="N63" t="str">
        <f>_xlfn.XLOOKUP(C63,inventory!B:B,inventory!C:C)</f>
        <v>South Jordan</v>
      </c>
      <c r="O63">
        <f>IF(_xlfn.XLOOKUP(C63,products!A:A,products!E:E)="NULL",0,_xlfn.XLOOKUP(C63,products!A:A,products!E:E))</f>
        <v>54.5</v>
      </c>
      <c r="P63">
        <f t="shared" si="2"/>
        <v>637.65</v>
      </c>
      <c r="Q63" s="2" t="str">
        <f>_xlfn.XLOOKUP(I63,products!B:B,products!D:D)</f>
        <v>Sports</v>
      </c>
      <c r="S63" s="2"/>
    </row>
    <row r="64" spans="1:19">
      <c r="A64">
        <v>63</v>
      </c>
      <c r="B64">
        <v>1026</v>
      </c>
      <c r="C64">
        <v>28</v>
      </c>
      <c r="D64">
        <v>4</v>
      </c>
      <c r="E64">
        <v>206.43</v>
      </c>
      <c r="F64">
        <v>0</v>
      </c>
      <c r="G64">
        <f t="shared" si="0"/>
        <v>825.72</v>
      </c>
      <c r="H64" t="str">
        <f>_xlfn.XLOOKUP(B64,customer_orders!A:A,customer_orders!F:F)</f>
        <v>2026-04</v>
      </c>
      <c r="I64" t="str">
        <f>_xlfn.XLOOKUP(C64,products!A:A,products!B:B)</f>
        <v>SKU-0028</v>
      </c>
      <c r="J64" t="str">
        <f>_xlfn.XLOOKUP(B64,customer_orders!A:A,customer_orders!G:G)</f>
        <v>2026-w14</v>
      </c>
      <c r="K64">
        <f>IFERROR(_xlfn.XLOOKUP(B64,shipments!B:B,shipments!H:H),0)</f>
        <v>9.14</v>
      </c>
      <c r="L64">
        <f t="shared" si="1"/>
        <v>0.01</v>
      </c>
      <c r="M64" t="str">
        <f>_xlfn.XLOOKUP(B64,customer_orders!A:A,customer_orders!D:D)</f>
        <v>Amazon</v>
      </c>
      <c r="N64" t="str">
        <f>_xlfn.XLOOKUP(C64,inventory!B:B,inventory!C:C)</f>
        <v>West Valley</v>
      </c>
      <c r="O64">
        <f>IF(_xlfn.XLOOKUP(C64,products!A:A,products!E:E)="NULL",0,_xlfn.XLOOKUP(C64,products!A:A,products!E:E))</f>
        <v>74.819999999999993</v>
      </c>
      <c r="P64">
        <f t="shared" si="2"/>
        <v>750.90000000000009</v>
      </c>
      <c r="Q64" s="2" t="str">
        <f>_xlfn.XLOOKUP(I64,products!B:B,products!D:D)</f>
        <v>Beauty</v>
      </c>
      <c r="S64" s="2"/>
    </row>
    <row r="65" spans="1:19">
      <c r="A65">
        <v>64</v>
      </c>
      <c r="B65">
        <v>1027</v>
      </c>
      <c r="C65">
        <v>57</v>
      </c>
      <c r="D65">
        <v>4</v>
      </c>
      <c r="E65">
        <v>266.69</v>
      </c>
      <c r="F65">
        <v>7.24</v>
      </c>
      <c r="G65">
        <f t="shared" si="0"/>
        <v>1059.52</v>
      </c>
      <c r="H65" t="str">
        <f>_xlfn.XLOOKUP(B65,customer_orders!A:A,customer_orders!F:F)</f>
        <v>2026-04</v>
      </c>
      <c r="I65" t="str">
        <f>_xlfn.XLOOKUP(C65,products!A:A,products!B:B)</f>
        <v>SKU-0057</v>
      </c>
      <c r="J65" t="str">
        <f>_xlfn.XLOOKUP(B65,customer_orders!A:A,customer_orders!G:G)</f>
        <v>2026-w17</v>
      </c>
      <c r="K65">
        <f>IFERROR(_xlfn.XLOOKUP(B65,shipments!B:B,shipments!H:H),0)</f>
        <v>44.41</v>
      </c>
      <c r="L65">
        <f t="shared" si="1"/>
        <v>0.04</v>
      </c>
      <c r="M65" t="str">
        <f>_xlfn.XLOOKUP(B65,customer_orders!A:A,customer_orders!D:D)</f>
        <v>Amazon</v>
      </c>
      <c r="N65" t="str">
        <f>_xlfn.XLOOKUP(C65,inventory!B:B,inventory!C:C)</f>
        <v>South Jordan</v>
      </c>
      <c r="O65">
        <f>IF(_xlfn.XLOOKUP(C65,products!A:A,products!E:E)="NULL",0,_xlfn.XLOOKUP(C65,products!A:A,products!E:E))</f>
        <v>18.170000000000002</v>
      </c>
      <c r="P65">
        <f t="shared" si="2"/>
        <v>1041.3499999999999</v>
      </c>
      <c r="Q65" s="2" t="str">
        <f>_xlfn.XLOOKUP(I65,products!B:B,products!D:D)</f>
        <v>Electronics</v>
      </c>
      <c r="S65" s="2"/>
    </row>
    <row r="66" spans="1:19">
      <c r="A66">
        <v>65</v>
      </c>
      <c r="B66">
        <v>1027</v>
      </c>
      <c r="C66">
        <v>119</v>
      </c>
      <c r="D66">
        <v>3</v>
      </c>
      <c r="E66">
        <v>27.97</v>
      </c>
      <c r="F66">
        <v>0</v>
      </c>
      <c r="G66">
        <f t="shared" si="0"/>
        <v>83.91</v>
      </c>
      <c r="H66" t="str">
        <f>_xlfn.XLOOKUP(B66,customer_orders!A:A,customer_orders!F:F)</f>
        <v>2026-04</v>
      </c>
      <c r="I66" t="str">
        <f>_xlfn.XLOOKUP(C66,products!A:A,products!B:B)</f>
        <v>SKU-0119</v>
      </c>
      <c r="J66" t="str">
        <f>_xlfn.XLOOKUP(B66,customer_orders!A:A,customer_orders!G:G)</f>
        <v>2026-w17</v>
      </c>
      <c r="K66">
        <f>IFERROR(_xlfn.XLOOKUP(B66,shipments!B:B,shipments!H:H),0)</f>
        <v>44.41</v>
      </c>
      <c r="L66">
        <f t="shared" si="1"/>
        <v>0.53</v>
      </c>
      <c r="M66" t="str">
        <f>_xlfn.XLOOKUP(B66,customer_orders!A:A,customer_orders!D:D)</f>
        <v>Amazon</v>
      </c>
      <c r="N66" t="str">
        <f>_xlfn.XLOOKUP(C66,inventory!B:B,inventory!C:C)</f>
        <v>Lehi</v>
      </c>
      <c r="O66">
        <f>IF(_xlfn.XLOOKUP(C66,products!A:A,products!E:E)="NULL",0,_xlfn.XLOOKUP(C66,products!A:A,products!E:E))</f>
        <v>27.15</v>
      </c>
      <c r="P66">
        <f t="shared" si="2"/>
        <v>56.76</v>
      </c>
      <c r="Q66" s="2" t="str">
        <f>_xlfn.XLOOKUP(I66,products!B:B,products!D:D)</f>
        <v>Electronics</v>
      </c>
      <c r="S66" s="2"/>
    </row>
    <row r="67" spans="1:19">
      <c r="A67">
        <v>66</v>
      </c>
      <c r="B67">
        <v>1027</v>
      </c>
      <c r="C67">
        <v>124</v>
      </c>
      <c r="D67">
        <v>2</v>
      </c>
      <c r="E67">
        <v>48.76</v>
      </c>
      <c r="F67">
        <v>0</v>
      </c>
      <c r="G67">
        <f t="shared" ref="G67:G130" si="3">E67*D67-F67</f>
        <v>97.52</v>
      </c>
      <c r="H67" t="str">
        <f>_xlfn.XLOOKUP(B67,customer_orders!A:A,customer_orders!F:F)</f>
        <v>2026-04</v>
      </c>
      <c r="I67" t="str">
        <f>_xlfn.XLOOKUP(C67,products!A:A,products!B:B)</f>
        <v>SKU-0124</v>
      </c>
      <c r="J67" t="str">
        <f>_xlfn.XLOOKUP(B67,customer_orders!A:A,customer_orders!G:G)</f>
        <v>2026-w17</v>
      </c>
      <c r="K67">
        <f>IFERROR(_xlfn.XLOOKUP(B67,shipments!B:B,shipments!H:H),0)</f>
        <v>44.41</v>
      </c>
      <c r="L67">
        <f t="shared" ref="L67:L130" si="4">ROUND(K67/G67,2)</f>
        <v>0.46</v>
      </c>
      <c r="M67" t="str">
        <f>_xlfn.XLOOKUP(B67,customer_orders!A:A,customer_orders!D:D)</f>
        <v>Amazon</v>
      </c>
      <c r="N67" t="str">
        <f>_xlfn.XLOOKUP(C67,inventory!B:B,inventory!C:C)</f>
        <v>Lehi</v>
      </c>
      <c r="O67">
        <f>IF(_xlfn.XLOOKUP(C67,products!A:A,products!E:E)="NULL",0,_xlfn.XLOOKUP(C67,products!A:A,products!E:E))</f>
        <v>178.94</v>
      </c>
      <c r="P67">
        <f t="shared" ref="P67:P130" si="5">G67-O67</f>
        <v>-81.42</v>
      </c>
      <c r="Q67" s="2" t="str">
        <f>_xlfn.XLOOKUP(I67,products!B:B,products!D:D)</f>
        <v>Sports</v>
      </c>
      <c r="S67" s="2"/>
    </row>
    <row r="68" spans="1:19">
      <c r="A68">
        <v>67</v>
      </c>
      <c r="B68">
        <v>1028</v>
      </c>
      <c r="C68">
        <v>82</v>
      </c>
      <c r="D68">
        <v>2</v>
      </c>
      <c r="E68">
        <v>243.4</v>
      </c>
      <c r="F68">
        <v>0</v>
      </c>
      <c r="G68">
        <f t="shared" si="3"/>
        <v>486.8</v>
      </c>
      <c r="H68" t="str">
        <f>_xlfn.XLOOKUP(B68,customer_orders!A:A,customer_orders!F:F)</f>
        <v>2026-05</v>
      </c>
      <c r="I68" t="str">
        <f>_xlfn.XLOOKUP(C68,products!A:A,products!B:B)</f>
        <v>SKU-0082</v>
      </c>
      <c r="J68" t="str">
        <f>_xlfn.XLOOKUP(B68,customer_orders!A:A,customer_orders!G:G)</f>
        <v>2026-w18</v>
      </c>
      <c r="K68">
        <f>IFERROR(_xlfn.XLOOKUP(B68,shipments!B:B,shipments!H:H),0)</f>
        <v>25.62</v>
      </c>
      <c r="L68">
        <f t="shared" si="4"/>
        <v>0.05</v>
      </c>
      <c r="M68" t="str">
        <f>_xlfn.XLOOKUP(B68,customer_orders!A:A,customer_orders!D:D)</f>
        <v>Walmart</v>
      </c>
      <c r="N68" t="str">
        <f>_xlfn.XLOOKUP(C68,inventory!B:B,inventory!C:C)</f>
        <v>Unknown</v>
      </c>
      <c r="O68">
        <f>IF(_xlfn.XLOOKUP(C68,products!A:A,products!E:E)="NULL",0,_xlfn.XLOOKUP(C68,products!A:A,products!E:E))</f>
        <v>84.88</v>
      </c>
      <c r="P68">
        <f t="shared" si="5"/>
        <v>401.92</v>
      </c>
      <c r="Q68" s="2" t="str">
        <f>_xlfn.XLOOKUP(I68,products!B:B,products!D:D)</f>
        <v>Beauty</v>
      </c>
      <c r="S68" s="2"/>
    </row>
    <row r="69" spans="1:19">
      <c r="A69">
        <v>68</v>
      </c>
      <c r="B69">
        <v>1028</v>
      </c>
      <c r="C69">
        <v>6</v>
      </c>
      <c r="D69">
        <v>6</v>
      </c>
      <c r="E69">
        <v>256.54000000000002</v>
      </c>
      <c r="F69">
        <v>0</v>
      </c>
      <c r="G69">
        <f t="shared" si="3"/>
        <v>1539.2400000000002</v>
      </c>
      <c r="H69" t="str">
        <f>_xlfn.XLOOKUP(B69,customer_orders!A:A,customer_orders!F:F)</f>
        <v>2026-05</v>
      </c>
      <c r="I69" t="str">
        <f>_xlfn.XLOOKUP(C69,products!A:A,products!B:B)</f>
        <v>SKU-0006</v>
      </c>
      <c r="J69" t="str">
        <f>_xlfn.XLOOKUP(B69,customer_orders!A:A,customer_orders!G:G)</f>
        <v>2026-w18</v>
      </c>
      <c r="K69">
        <f>IFERROR(_xlfn.XLOOKUP(B69,shipments!B:B,shipments!H:H),0)</f>
        <v>25.62</v>
      </c>
      <c r="L69">
        <f t="shared" si="4"/>
        <v>0.02</v>
      </c>
      <c r="M69" t="str">
        <f>_xlfn.XLOOKUP(B69,customer_orders!A:A,customer_orders!D:D)</f>
        <v>Walmart</v>
      </c>
      <c r="N69" t="str">
        <f>_xlfn.XLOOKUP(C69,inventory!B:B,inventory!C:C)</f>
        <v>South Jordan</v>
      </c>
      <c r="O69">
        <f>IF(_xlfn.XLOOKUP(C69,products!A:A,products!E:E)="NULL",0,_xlfn.XLOOKUP(C69,products!A:A,products!E:E))</f>
        <v>21.93</v>
      </c>
      <c r="P69">
        <f t="shared" si="5"/>
        <v>1517.3100000000002</v>
      </c>
      <c r="Q69" s="2" t="str">
        <f>_xlfn.XLOOKUP(I69,products!B:B,products!D:D)</f>
        <v>Home</v>
      </c>
      <c r="S69" s="2"/>
    </row>
    <row r="70" spans="1:19">
      <c r="A70">
        <v>69</v>
      </c>
      <c r="B70">
        <v>1028</v>
      </c>
      <c r="C70">
        <v>63</v>
      </c>
      <c r="D70">
        <v>3</v>
      </c>
      <c r="E70">
        <v>214.86</v>
      </c>
      <c r="F70">
        <v>0</v>
      </c>
      <c r="G70">
        <f t="shared" si="3"/>
        <v>644.58000000000004</v>
      </c>
      <c r="H70" t="str">
        <f>_xlfn.XLOOKUP(B70,customer_orders!A:A,customer_orders!F:F)</f>
        <v>2026-05</v>
      </c>
      <c r="I70" t="str">
        <f>_xlfn.XLOOKUP(C70,products!A:A,products!B:B)</f>
        <v>SKU-0063</v>
      </c>
      <c r="J70" t="str">
        <f>_xlfn.XLOOKUP(B70,customer_orders!A:A,customer_orders!G:G)</f>
        <v>2026-w18</v>
      </c>
      <c r="K70">
        <f>IFERROR(_xlfn.XLOOKUP(B70,shipments!B:B,shipments!H:H),0)</f>
        <v>25.62</v>
      </c>
      <c r="L70">
        <f t="shared" si="4"/>
        <v>0.04</v>
      </c>
      <c r="M70" t="str">
        <f>_xlfn.XLOOKUP(B70,customer_orders!A:A,customer_orders!D:D)</f>
        <v>Walmart</v>
      </c>
      <c r="N70" t="str">
        <f>_xlfn.XLOOKUP(C70,inventory!B:B,inventory!C:C)</f>
        <v>Salt Lake City</v>
      </c>
      <c r="O70">
        <f>IF(_xlfn.XLOOKUP(C70,products!A:A,products!E:E)="NULL",0,_xlfn.XLOOKUP(C70,products!A:A,products!E:E))</f>
        <v>32.86</v>
      </c>
      <c r="P70">
        <f t="shared" si="5"/>
        <v>611.72</v>
      </c>
      <c r="Q70" s="2" t="str">
        <f>_xlfn.XLOOKUP(I70,products!B:B,products!D:D)</f>
        <v>Beauty</v>
      </c>
      <c r="S70" s="2"/>
    </row>
    <row r="71" spans="1:19">
      <c r="A71">
        <v>70</v>
      </c>
      <c r="B71">
        <v>1028</v>
      </c>
      <c r="C71">
        <v>144</v>
      </c>
      <c r="D71">
        <v>7</v>
      </c>
      <c r="E71">
        <v>194.56</v>
      </c>
      <c r="F71">
        <v>0</v>
      </c>
      <c r="G71">
        <f t="shared" si="3"/>
        <v>1361.92</v>
      </c>
      <c r="H71" t="str">
        <f>_xlfn.XLOOKUP(B71,customer_orders!A:A,customer_orders!F:F)</f>
        <v>2026-05</v>
      </c>
      <c r="I71" t="str">
        <f>_xlfn.XLOOKUP(C71,products!A:A,products!B:B)</f>
        <v>SKU-0144</v>
      </c>
      <c r="J71" t="str">
        <f>_xlfn.XLOOKUP(B71,customer_orders!A:A,customer_orders!G:G)</f>
        <v>2026-w18</v>
      </c>
      <c r="K71">
        <f>IFERROR(_xlfn.XLOOKUP(B71,shipments!B:B,shipments!H:H),0)</f>
        <v>25.62</v>
      </c>
      <c r="L71">
        <f t="shared" si="4"/>
        <v>0.02</v>
      </c>
      <c r="M71" t="str">
        <f>_xlfn.XLOOKUP(B71,customer_orders!A:A,customer_orders!D:D)</f>
        <v>Walmart</v>
      </c>
      <c r="N71" t="str">
        <f>_xlfn.XLOOKUP(C71,inventory!B:B,inventory!C:C)</f>
        <v>South Jordan</v>
      </c>
      <c r="O71">
        <f>IF(_xlfn.XLOOKUP(C71,products!A:A,products!E:E)="NULL",0,_xlfn.XLOOKUP(C71,products!A:A,products!E:E))</f>
        <v>10.050000000000001</v>
      </c>
      <c r="P71">
        <f t="shared" si="5"/>
        <v>1351.8700000000001</v>
      </c>
      <c r="Q71" s="2" t="str">
        <f>_xlfn.XLOOKUP(I71,products!B:B,products!D:D)</f>
        <v>Pet</v>
      </c>
      <c r="S71" s="2"/>
    </row>
    <row r="72" spans="1:19">
      <c r="A72">
        <v>71</v>
      </c>
      <c r="B72">
        <v>1029</v>
      </c>
      <c r="C72">
        <v>2</v>
      </c>
      <c r="D72">
        <v>4</v>
      </c>
      <c r="E72">
        <v>135.25</v>
      </c>
      <c r="F72">
        <v>0</v>
      </c>
      <c r="G72">
        <f t="shared" si="3"/>
        <v>541</v>
      </c>
      <c r="H72" t="str">
        <f>_xlfn.XLOOKUP(B72,customer_orders!A:A,customer_orders!F:F)</f>
        <v>2026-02</v>
      </c>
      <c r="I72" t="str">
        <f>_xlfn.XLOOKUP(C72,products!A:A,products!B:B)</f>
        <v>SKU-0002</v>
      </c>
      <c r="J72" t="str">
        <f>_xlfn.XLOOKUP(B72,customer_orders!A:A,customer_orders!G:G)</f>
        <v>2026-w08</v>
      </c>
      <c r="K72">
        <f>IFERROR(_xlfn.XLOOKUP(B72,shipments!B:B,shipments!H:H),0)</f>
        <v>49.54</v>
      </c>
      <c r="L72">
        <f t="shared" si="4"/>
        <v>0.09</v>
      </c>
      <c r="M72" t="str">
        <f>_xlfn.XLOOKUP(B72,customer_orders!A:A,customer_orders!D:D)</f>
        <v>Amazon</v>
      </c>
      <c r="N72" t="str">
        <f>_xlfn.XLOOKUP(C72,inventory!B:B,inventory!C:C)</f>
        <v>South Jordan</v>
      </c>
      <c r="O72">
        <f>IF(_xlfn.XLOOKUP(C72,products!A:A,products!E:E)="NULL",0,_xlfn.XLOOKUP(C72,products!A:A,products!E:E))</f>
        <v>20.21</v>
      </c>
      <c r="P72">
        <f t="shared" si="5"/>
        <v>520.79</v>
      </c>
      <c r="Q72" s="2" t="str">
        <f>_xlfn.XLOOKUP(I72,products!B:B,products!D:D)</f>
        <v>Home</v>
      </c>
      <c r="S72" s="2"/>
    </row>
    <row r="73" spans="1:19">
      <c r="A73">
        <v>72</v>
      </c>
      <c r="B73">
        <v>1029</v>
      </c>
      <c r="C73">
        <v>148</v>
      </c>
      <c r="D73">
        <v>2</v>
      </c>
      <c r="E73">
        <v>124.32</v>
      </c>
      <c r="F73">
        <v>0</v>
      </c>
      <c r="G73">
        <f t="shared" si="3"/>
        <v>248.64</v>
      </c>
      <c r="H73" t="str">
        <f>_xlfn.XLOOKUP(B73,customer_orders!A:A,customer_orders!F:F)</f>
        <v>2026-02</v>
      </c>
      <c r="I73" t="str">
        <f>_xlfn.XLOOKUP(C73,products!A:A,products!B:B)</f>
        <v>SKU0148</v>
      </c>
      <c r="J73" t="str">
        <f>_xlfn.XLOOKUP(B73,customer_orders!A:A,customer_orders!G:G)</f>
        <v>2026-w08</v>
      </c>
      <c r="K73">
        <f>IFERROR(_xlfn.XLOOKUP(B73,shipments!B:B,shipments!H:H),0)</f>
        <v>49.54</v>
      </c>
      <c r="L73">
        <f t="shared" si="4"/>
        <v>0.2</v>
      </c>
      <c r="M73" t="str">
        <f>_xlfn.XLOOKUP(B73,customer_orders!A:A,customer_orders!D:D)</f>
        <v>Amazon</v>
      </c>
      <c r="N73" t="str">
        <f>_xlfn.XLOOKUP(C73,inventory!B:B,inventory!C:C)</f>
        <v>Draper</v>
      </c>
      <c r="O73">
        <f>IF(_xlfn.XLOOKUP(C73,products!A:A,products!E:E)="NULL",0,_xlfn.XLOOKUP(C73,products!A:A,products!E:E))</f>
        <v>101.47</v>
      </c>
      <c r="P73">
        <f t="shared" si="5"/>
        <v>147.16999999999999</v>
      </c>
      <c r="Q73" s="2" t="str">
        <f>_xlfn.XLOOKUP(I73,products!B:B,products!D:D)</f>
        <v>Beauty</v>
      </c>
      <c r="S73" s="2"/>
    </row>
    <row r="74" spans="1:19">
      <c r="A74">
        <v>73</v>
      </c>
      <c r="B74">
        <v>1029</v>
      </c>
      <c r="C74">
        <v>94</v>
      </c>
      <c r="D74">
        <v>6</v>
      </c>
      <c r="E74">
        <v>53.67</v>
      </c>
      <c r="F74">
        <v>0</v>
      </c>
      <c r="G74">
        <f t="shared" si="3"/>
        <v>322.02</v>
      </c>
      <c r="H74" t="str">
        <f>_xlfn.XLOOKUP(B74,customer_orders!A:A,customer_orders!F:F)</f>
        <v>2026-02</v>
      </c>
      <c r="I74" t="str">
        <f>_xlfn.XLOOKUP(C74,products!A:A,products!B:B)</f>
        <v>SKU-0094</v>
      </c>
      <c r="J74" t="str">
        <f>_xlfn.XLOOKUP(B74,customer_orders!A:A,customer_orders!G:G)</f>
        <v>2026-w08</v>
      </c>
      <c r="K74">
        <f>IFERROR(_xlfn.XLOOKUP(B74,shipments!B:B,shipments!H:H),0)</f>
        <v>49.54</v>
      </c>
      <c r="L74">
        <f t="shared" si="4"/>
        <v>0.15</v>
      </c>
      <c r="M74" t="str">
        <f>_xlfn.XLOOKUP(B74,customer_orders!A:A,customer_orders!D:D)</f>
        <v>Amazon</v>
      </c>
      <c r="N74" t="str">
        <f>_xlfn.XLOOKUP(C74,inventory!B:B,inventory!C:C)</f>
        <v>Draper</v>
      </c>
      <c r="O74">
        <f>IF(_xlfn.XLOOKUP(C74,products!A:A,products!E:E)="NULL",0,_xlfn.XLOOKUP(C74,products!A:A,products!E:E))</f>
        <v>117.48</v>
      </c>
      <c r="P74">
        <f t="shared" si="5"/>
        <v>204.53999999999996</v>
      </c>
      <c r="Q74" s="2" t="str">
        <f>_xlfn.XLOOKUP(I74,products!B:B,products!D:D)</f>
        <v>Electronics</v>
      </c>
      <c r="S74" s="2"/>
    </row>
    <row r="75" spans="1:19">
      <c r="A75">
        <v>74</v>
      </c>
      <c r="B75">
        <v>1029</v>
      </c>
      <c r="C75">
        <v>68</v>
      </c>
      <c r="D75">
        <v>8</v>
      </c>
      <c r="E75">
        <v>138.85</v>
      </c>
      <c r="F75">
        <v>0</v>
      </c>
      <c r="G75">
        <f t="shared" si="3"/>
        <v>1110.8</v>
      </c>
      <c r="H75" t="str">
        <f>_xlfn.XLOOKUP(B75,customer_orders!A:A,customer_orders!F:F)</f>
        <v>2026-02</v>
      </c>
      <c r="I75" t="str">
        <f>_xlfn.XLOOKUP(C75,products!A:A,products!B:B)</f>
        <v>SKU-0068</v>
      </c>
      <c r="J75" t="str">
        <f>_xlfn.XLOOKUP(B75,customer_orders!A:A,customer_orders!G:G)</f>
        <v>2026-w08</v>
      </c>
      <c r="K75">
        <f>IFERROR(_xlfn.XLOOKUP(B75,shipments!B:B,shipments!H:H),0)</f>
        <v>49.54</v>
      </c>
      <c r="L75">
        <f t="shared" si="4"/>
        <v>0.04</v>
      </c>
      <c r="M75" t="str">
        <f>_xlfn.XLOOKUP(B75,customer_orders!A:A,customer_orders!D:D)</f>
        <v>Amazon</v>
      </c>
      <c r="N75" t="str">
        <f>_xlfn.XLOOKUP(C75,inventory!B:B,inventory!C:C)</f>
        <v>West Valley</v>
      </c>
      <c r="O75">
        <f>IF(_xlfn.XLOOKUP(C75,products!A:A,products!E:E)="NULL",0,_xlfn.XLOOKUP(C75,products!A:A,products!E:E))</f>
        <v>23.97</v>
      </c>
      <c r="P75">
        <f t="shared" si="5"/>
        <v>1086.83</v>
      </c>
      <c r="Q75" s="2" t="str">
        <f>_xlfn.XLOOKUP(I75,products!B:B,products!D:D)</f>
        <v>Sports</v>
      </c>
      <c r="S75" s="2"/>
    </row>
    <row r="76" spans="1:19">
      <c r="A76">
        <v>75</v>
      </c>
      <c r="B76">
        <v>1030</v>
      </c>
      <c r="C76">
        <v>35</v>
      </c>
      <c r="D76">
        <v>6</v>
      </c>
      <c r="E76">
        <v>46.14</v>
      </c>
      <c r="F76">
        <v>0</v>
      </c>
      <c r="G76">
        <f t="shared" si="3"/>
        <v>276.84000000000003</v>
      </c>
      <c r="H76" t="str">
        <f>_xlfn.XLOOKUP(B76,customer_orders!A:A,customer_orders!F:F)</f>
        <v>2026-02</v>
      </c>
      <c r="I76" t="str">
        <f>_xlfn.XLOOKUP(C76,products!A:A,products!B:B)</f>
        <v>SKU-0035</v>
      </c>
      <c r="J76" t="str">
        <f>_xlfn.XLOOKUP(B76,customer_orders!A:A,customer_orders!G:G)</f>
        <v>2026-w07</v>
      </c>
      <c r="K76">
        <f>IFERROR(_xlfn.XLOOKUP(B76,shipments!B:B,shipments!H:H),0)</f>
        <v>84.44</v>
      </c>
      <c r="L76">
        <f t="shared" si="4"/>
        <v>0.31</v>
      </c>
      <c r="M76" t="str">
        <f>_xlfn.XLOOKUP(B76,customer_orders!A:A,customer_orders!D:D)</f>
        <v>Shopify</v>
      </c>
      <c r="N76" t="str">
        <f>_xlfn.XLOOKUP(C76,inventory!B:B,inventory!C:C)</f>
        <v>Salt Lake City</v>
      </c>
      <c r="O76">
        <f>IF(_xlfn.XLOOKUP(C76,products!A:A,products!E:E)="NULL",0,_xlfn.XLOOKUP(C76,products!A:A,products!E:E))</f>
        <v>145.1</v>
      </c>
      <c r="P76">
        <f t="shared" si="5"/>
        <v>131.74000000000004</v>
      </c>
      <c r="Q76" s="2" t="str">
        <f>_xlfn.XLOOKUP(I76,products!B:B,products!D:D)</f>
        <v>Office</v>
      </c>
      <c r="S76" s="2"/>
    </row>
    <row r="77" spans="1:19">
      <c r="A77">
        <v>76</v>
      </c>
      <c r="B77">
        <v>1031</v>
      </c>
      <c r="C77">
        <v>143</v>
      </c>
      <c r="D77">
        <v>3</v>
      </c>
      <c r="E77">
        <v>171.53</v>
      </c>
      <c r="F77">
        <v>0</v>
      </c>
      <c r="G77">
        <f t="shared" si="3"/>
        <v>514.59</v>
      </c>
      <c r="H77" t="str">
        <f>_xlfn.XLOOKUP(B77,customer_orders!A:A,customer_orders!F:F)</f>
        <v>2026-04</v>
      </c>
      <c r="I77" t="str">
        <f>_xlfn.XLOOKUP(C77,products!A:A,products!B:B)</f>
        <v>SKU-0143</v>
      </c>
      <c r="J77" t="str">
        <f>_xlfn.XLOOKUP(B77,customer_orders!A:A,customer_orders!G:G)</f>
        <v>2026-w15</v>
      </c>
      <c r="K77">
        <f>IFERROR(_xlfn.XLOOKUP(B77,shipments!B:B,shipments!H:H),0)</f>
        <v>19.84</v>
      </c>
      <c r="L77">
        <f t="shared" si="4"/>
        <v>0.04</v>
      </c>
      <c r="M77" t="str">
        <f>_xlfn.XLOOKUP(B77,customer_orders!A:A,customer_orders!D:D)</f>
        <v>Shopify</v>
      </c>
      <c r="N77" t="str">
        <f>_xlfn.XLOOKUP(C77,inventory!B:B,inventory!C:C)</f>
        <v>South Jordan</v>
      </c>
      <c r="O77">
        <f>IF(_xlfn.XLOOKUP(C77,products!A:A,products!E:E)="NULL",0,_xlfn.XLOOKUP(C77,products!A:A,products!E:E))</f>
        <v>40.619999999999997</v>
      </c>
      <c r="P77">
        <f t="shared" si="5"/>
        <v>473.97</v>
      </c>
      <c r="Q77" s="2" t="str">
        <f>_xlfn.XLOOKUP(I77,products!B:B,products!D:D)</f>
        <v>Pet</v>
      </c>
      <c r="S77" s="2"/>
    </row>
    <row r="78" spans="1:19">
      <c r="A78">
        <v>77</v>
      </c>
      <c r="B78">
        <v>1031</v>
      </c>
      <c r="C78">
        <v>48</v>
      </c>
      <c r="D78">
        <v>6</v>
      </c>
      <c r="E78">
        <v>299.56</v>
      </c>
      <c r="F78">
        <v>0</v>
      </c>
      <c r="G78">
        <f t="shared" si="3"/>
        <v>1797.3600000000001</v>
      </c>
      <c r="H78" t="str">
        <f>_xlfn.XLOOKUP(B78,customer_orders!A:A,customer_orders!F:F)</f>
        <v>2026-04</v>
      </c>
      <c r="I78" t="str">
        <f>_xlfn.XLOOKUP(C78,products!A:A,products!B:B)</f>
        <v>SKU-0048</v>
      </c>
      <c r="J78" t="str">
        <f>_xlfn.XLOOKUP(B78,customer_orders!A:A,customer_orders!G:G)</f>
        <v>2026-w15</v>
      </c>
      <c r="K78">
        <f>IFERROR(_xlfn.XLOOKUP(B78,shipments!B:B,shipments!H:H),0)</f>
        <v>19.84</v>
      </c>
      <c r="L78">
        <f t="shared" si="4"/>
        <v>0.01</v>
      </c>
      <c r="M78" t="str">
        <f>_xlfn.XLOOKUP(B78,customer_orders!A:A,customer_orders!D:D)</f>
        <v>Shopify</v>
      </c>
      <c r="N78" t="str">
        <f>_xlfn.XLOOKUP(C78,inventory!B:B,inventory!C:C)</f>
        <v>Salt Lake City</v>
      </c>
      <c r="O78">
        <f>IF(_xlfn.XLOOKUP(C78,products!A:A,products!E:E)="NULL",0,_xlfn.XLOOKUP(C78,products!A:A,products!E:E))</f>
        <v>85.2</v>
      </c>
      <c r="P78">
        <f t="shared" si="5"/>
        <v>1712.16</v>
      </c>
      <c r="Q78" s="2" t="str">
        <f>_xlfn.XLOOKUP(I78,products!B:B,products!D:D)</f>
        <v>Home</v>
      </c>
      <c r="S78" s="2"/>
    </row>
    <row r="79" spans="1:19">
      <c r="A79">
        <v>78</v>
      </c>
      <c r="B79">
        <v>1032</v>
      </c>
      <c r="C79">
        <v>43</v>
      </c>
      <c r="D79">
        <v>2</v>
      </c>
      <c r="E79">
        <v>277.02999999999997</v>
      </c>
      <c r="F79">
        <v>0</v>
      </c>
      <c r="G79">
        <f t="shared" si="3"/>
        <v>554.05999999999995</v>
      </c>
      <c r="H79" t="str">
        <f>_xlfn.XLOOKUP(B79,customer_orders!A:A,customer_orders!F:F)</f>
        <v>2026-05</v>
      </c>
      <c r="I79" t="str">
        <f>_xlfn.XLOOKUP(C79,products!A:A,products!B:B)</f>
        <v>SKU-0043</v>
      </c>
      <c r="J79" t="str">
        <f>_xlfn.XLOOKUP(B79,customer_orders!A:A,customer_orders!G:G)</f>
        <v>2026-w19</v>
      </c>
      <c r="K79">
        <f>IFERROR(_xlfn.XLOOKUP(B79,shipments!B:B,shipments!H:H),0)</f>
        <v>99.42</v>
      </c>
      <c r="L79">
        <f t="shared" si="4"/>
        <v>0.18</v>
      </c>
      <c r="M79" t="str">
        <f>_xlfn.XLOOKUP(B79,customer_orders!A:A,customer_orders!D:D)</f>
        <v>Shopify</v>
      </c>
      <c r="N79" t="str">
        <f>_xlfn.XLOOKUP(C79,inventory!B:B,inventory!C:C)</f>
        <v>Draper</v>
      </c>
      <c r="O79">
        <f>IF(_xlfn.XLOOKUP(C79,products!A:A,products!E:E)="NULL",0,_xlfn.XLOOKUP(C79,products!A:A,products!E:E))</f>
        <v>88.44</v>
      </c>
      <c r="P79">
        <f t="shared" si="5"/>
        <v>465.61999999999995</v>
      </c>
      <c r="Q79" s="2" t="str">
        <f>_xlfn.XLOOKUP(I79,products!B:B,products!D:D)</f>
        <v>Electronics</v>
      </c>
      <c r="S79" s="2"/>
    </row>
    <row r="80" spans="1:19">
      <c r="A80">
        <v>79</v>
      </c>
      <c r="B80">
        <v>1032</v>
      </c>
      <c r="C80">
        <v>75</v>
      </c>
      <c r="D80">
        <v>1</v>
      </c>
      <c r="E80">
        <v>180.3</v>
      </c>
      <c r="F80">
        <v>0</v>
      </c>
      <c r="G80">
        <f t="shared" si="3"/>
        <v>180.3</v>
      </c>
      <c r="H80" t="str">
        <f>_xlfn.XLOOKUP(B80,customer_orders!A:A,customer_orders!F:F)</f>
        <v>2026-05</v>
      </c>
      <c r="I80" t="str">
        <f>_xlfn.XLOOKUP(C80,products!A:A,products!B:B)</f>
        <v>SKU-0075</v>
      </c>
      <c r="J80" t="str">
        <f>_xlfn.XLOOKUP(B80,customer_orders!A:A,customer_orders!G:G)</f>
        <v>2026-w19</v>
      </c>
      <c r="K80">
        <f>IFERROR(_xlfn.XLOOKUP(B80,shipments!B:B,shipments!H:H),0)</f>
        <v>99.42</v>
      </c>
      <c r="L80">
        <f t="shared" si="4"/>
        <v>0.55000000000000004</v>
      </c>
      <c r="M80" t="str">
        <f>_xlfn.XLOOKUP(B80,customer_orders!A:A,customer_orders!D:D)</f>
        <v>Shopify</v>
      </c>
      <c r="N80" t="str">
        <f>_xlfn.XLOOKUP(C80,inventory!B:B,inventory!C:C)</f>
        <v>Salt Lake City</v>
      </c>
      <c r="O80">
        <f>IF(_xlfn.XLOOKUP(C80,products!A:A,products!E:E)="NULL",0,_xlfn.XLOOKUP(C80,products!A:A,products!E:E))</f>
        <v>80.23</v>
      </c>
      <c r="P80">
        <f t="shared" si="5"/>
        <v>100.07000000000001</v>
      </c>
      <c r="Q80" s="2" t="str">
        <f>_xlfn.XLOOKUP(I80,products!B:B,products!D:D)</f>
        <v>Sports</v>
      </c>
      <c r="S80" s="2"/>
    </row>
    <row r="81" spans="1:19">
      <c r="A81">
        <v>80</v>
      </c>
      <c r="B81">
        <v>1032</v>
      </c>
      <c r="C81">
        <v>44</v>
      </c>
      <c r="D81">
        <v>8</v>
      </c>
      <c r="E81">
        <v>34.369999999999997</v>
      </c>
      <c r="F81">
        <v>8.92</v>
      </c>
      <c r="G81">
        <f t="shared" si="3"/>
        <v>266.03999999999996</v>
      </c>
      <c r="H81" t="str">
        <f>_xlfn.XLOOKUP(B81,customer_orders!A:A,customer_orders!F:F)</f>
        <v>2026-05</v>
      </c>
      <c r="I81" t="str">
        <f>_xlfn.XLOOKUP(C81,products!A:A,products!B:B)</f>
        <v>SKU-0044</v>
      </c>
      <c r="J81" t="str">
        <f>_xlfn.XLOOKUP(B81,customer_orders!A:A,customer_orders!G:G)</f>
        <v>2026-w19</v>
      </c>
      <c r="K81">
        <f>IFERROR(_xlfn.XLOOKUP(B81,shipments!B:B,shipments!H:H),0)</f>
        <v>99.42</v>
      </c>
      <c r="L81">
        <f t="shared" si="4"/>
        <v>0.37</v>
      </c>
      <c r="M81" t="str">
        <f>_xlfn.XLOOKUP(B81,customer_orders!A:A,customer_orders!D:D)</f>
        <v>Shopify</v>
      </c>
      <c r="N81" t="str">
        <f>_xlfn.XLOOKUP(C81,inventory!B:B,inventory!C:C)</f>
        <v>West Valley</v>
      </c>
      <c r="O81">
        <f>IF(_xlfn.XLOOKUP(C81,products!A:A,products!E:E)="NULL",0,_xlfn.XLOOKUP(C81,products!A:A,products!E:E))</f>
        <v>16.989999999999998</v>
      </c>
      <c r="P81">
        <f t="shared" si="5"/>
        <v>249.04999999999995</v>
      </c>
      <c r="Q81" s="2" t="str">
        <f>_xlfn.XLOOKUP(I81,products!B:B,products!D:D)</f>
        <v>Home</v>
      </c>
      <c r="S81" s="2"/>
    </row>
    <row r="82" spans="1:19">
      <c r="A82">
        <v>81</v>
      </c>
      <c r="B82">
        <v>1032</v>
      </c>
      <c r="C82">
        <v>141</v>
      </c>
      <c r="D82">
        <v>2</v>
      </c>
      <c r="E82">
        <v>15.33</v>
      </c>
      <c r="F82">
        <v>0</v>
      </c>
      <c r="G82">
        <f t="shared" si="3"/>
        <v>30.66</v>
      </c>
      <c r="H82" t="str">
        <f>_xlfn.XLOOKUP(B82,customer_orders!A:A,customer_orders!F:F)</f>
        <v>2026-05</v>
      </c>
      <c r="I82" t="str">
        <f>_xlfn.XLOOKUP(C82,products!A:A,products!B:B)</f>
        <v>SKU-0141</v>
      </c>
      <c r="J82" t="str">
        <f>_xlfn.XLOOKUP(B82,customer_orders!A:A,customer_orders!G:G)</f>
        <v>2026-w19</v>
      </c>
      <c r="K82">
        <f>IFERROR(_xlfn.XLOOKUP(B82,shipments!B:B,shipments!H:H),0)</f>
        <v>99.42</v>
      </c>
      <c r="L82">
        <f t="shared" si="4"/>
        <v>3.24</v>
      </c>
      <c r="M82" t="str">
        <f>_xlfn.XLOOKUP(B82,customer_orders!A:A,customer_orders!D:D)</f>
        <v>Shopify</v>
      </c>
      <c r="N82" t="str">
        <f>_xlfn.XLOOKUP(C82,inventory!B:B,inventory!C:C)</f>
        <v>Unknown</v>
      </c>
      <c r="O82">
        <f>IF(_xlfn.XLOOKUP(C82,products!A:A,products!E:E)="NULL",0,_xlfn.XLOOKUP(C82,products!A:A,products!E:E))</f>
        <v>149.36000000000001</v>
      </c>
      <c r="P82">
        <f t="shared" si="5"/>
        <v>-118.70000000000002</v>
      </c>
      <c r="Q82" s="2" t="str">
        <f>_xlfn.XLOOKUP(I82,products!B:B,products!D:D)</f>
        <v>Office</v>
      </c>
      <c r="S82" s="2"/>
    </row>
    <row r="83" spans="1:19">
      <c r="A83">
        <v>82</v>
      </c>
      <c r="B83">
        <v>1033</v>
      </c>
      <c r="C83">
        <v>77</v>
      </c>
      <c r="D83">
        <v>1</v>
      </c>
      <c r="E83">
        <v>195.39</v>
      </c>
      <c r="F83">
        <v>0</v>
      </c>
      <c r="G83">
        <f t="shared" si="3"/>
        <v>195.39</v>
      </c>
      <c r="H83" t="str">
        <f>_xlfn.XLOOKUP(B83,customer_orders!A:A,customer_orders!F:F)</f>
        <v>2026-02</v>
      </c>
      <c r="I83" t="str">
        <f>_xlfn.XLOOKUP(C83,products!A:A,products!B:B)</f>
        <v>SKU-0077</v>
      </c>
      <c r="J83" t="str">
        <f>_xlfn.XLOOKUP(B83,customer_orders!A:A,customer_orders!G:G)</f>
        <v>2026-w09</v>
      </c>
      <c r="K83">
        <f>IFERROR(_xlfn.XLOOKUP(B83,shipments!B:B,shipments!H:H),0)</f>
        <v>83.94</v>
      </c>
      <c r="L83">
        <f t="shared" si="4"/>
        <v>0.43</v>
      </c>
      <c r="M83" t="str">
        <f>_xlfn.XLOOKUP(B83,customer_orders!A:A,customer_orders!D:D)</f>
        <v>Amazon</v>
      </c>
      <c r="N83" t="str">
        <f>_xlfn.XLOOKUP(C83,inventory!B:B,inventory!C:C)</f>
        <v>Draper</v>
      </c>
      <c r="O83">
        <f>IF(_xlfn.XLOOKUP(C83,products!A:A,products!E:E)="NULL",0,_xlfn.XLOOKUP(C83,products!A:A,products!E:E))</f>
        <v>95.2</v>
      </c>
      <c r="P83">
        <f t="shared" si="5"/>
        <v>100.18999999999998</v>
      </c>
      <c r="Q83" s="2" t="str">
        <f>_xlfn.XLOOKUP(I83,products!B:B,products!D:D)</f>
        <v>Home</v>
      </c>
      <c r="S83" s="2"/>
    </row>
    <row r="84" spans="1:19">
      <c r="A84">
        <v>83</v>
      </c>
      <c r="B84">
        <v>1033</v>
      </c>
      <c r="C84">
        <v>23</v>
      </c>
      <c r="D84">
        <v>8</v>
      </c>
      <c r="E84">
        <v>58.56</v>
      </c>
      <c r="F84">
        <v>0</v>
      </c>
      <c r="G84">
        <f t="shared" si="3"/>
        <v>468.48</v>
      </c>
      <c r="H84" t="str">
        <f>_xlfn.XLOOKUP(B84,customer_orders!A:A,customer_orders!F:F)</f>
        <v>2026-02</v>
      </c>
      <c r="I84" t="str">
        <f>_xlfn.XLOOKUP(C84,products!A:A,products!B:B)</f>
        <v>SKU-0023</v>
      </c>
      <c r="J84" t="str">
        <f>_xlfn.XLOOKUP(B84,customer_orders!A:A,customer_orders!G:G)</f>
        <v>2026-w09</v>
      </c>
      <c r="K84">
        <f>IFERROR(_xlfn.XLOOKUP(B84,shipments!B:B,shipments!H:H),0)</f>
        <v>83.94</v>
      </c>
      <c r="L84">
        <f t="shared" si="4"/>
        <v>0.18</v>
      </c>
      <c r="M84" t="str">
        <f>_xlfn.XLOOKUP(B84,customer_orders!A:A,customer_orders!D:D)</f>
        <v>Amazon</v>
      </c>
      <c r="N84" t="str">
        <f>_xlfn.XLOOKUP(C84,inventory!B:B,inventory!C:C)</f>
        <v>Draper</v>
      </c>
      <c r="O84">
        <f>IF(_xlfn.XLOOKUP(C84,products!A:A,products!E:E)="NULL",0,_xlfn.XLOOKUP(C84,products!A:A,products!E:E))</f>
        <v>111.57</v>
      </c>
      <c r="P84">
        <f t="shared" si="5"/>
        <v>356.91</v>
      </c>
      <c r="Q84" s="2" t="str">
        <f>_xlfn.XLOOKUP(I84,products!B:B,products!D:D)</f>
        <v>Sports</v>
      </c>
      <c r="S84" s="2"/>
    </row>
    <row r="85" spans="1:19">
      <c r="A85">
        <v>84</v>
      </c>
      <c r="B85">
        <v>1034</v>
      </c>
      <c r="C85">
        <v>137</v>
      </c>
      <c r="D85">
        <v>5</v>
      </c>
      <c r="E85">
        <v>181.82</v>
      </c>
      <c r="F85">
        <v>0</v>
      </c>
      <c r="G85">
        <f t="shared" si="3"/>
        <v>909.09999999999991</v>
      </c>
      <c r="H85" t="str">
        <f>_xlfn.XLOOKUP(B85,customer_orders!A:A,customer_orders!F:F)</f>
        <v>2026-02</v>
      </c>
      <c r="I85" t="str">
        <f>_xlfn.XLOOKUP(C85,products!A:A,products!B:B)</f>
        <v>SKU-0137</v>
      </c>
      <c r="J85" t="str">
        <f>_xlfn.XLOOKUP(B85,customer_orders!A:A,customer_orders!G:G)</f>
        <v>2026-w06</v>
      </c>
      <c r="K85">
        <f>IFERROR(_xlfn.XLOOKUP(B85,shipments!B:B,shipments!H:H),0)</f>
        <v>85.37</v>
      </c>
      <c r="L85">
        <f t="shared" si="4"/>
        <v>0.09</v>
      </c>
      <c r="M85" t="str">
        <f>_xlfn.XLOOKUP(B85,customer_orders!A:A,customer_orders!D:D)</f>
        <v>Shopify</v>
      </c>
      <c r="N85" t="str">
        <f>_xlfn.XLOOKUP(C85,inventory!B:B,inventory!C:C)</f>
        <v>Salt Lake City</v>
      </c>
      <c r="O85">
        <f>IF(_xlfn.XLOOKUP(C85,products!A:A,products!E:E)="NULL",0,_xlfn.XLOOKUP(C85,products!A:A,products!E:E))</f>
        <v>36.76</v>
      </c>
      <c r="P85">
        <f t="shared" si="5"/>
        <v>872.33999999999992</v>
      </c>
      <c r="Q85" s="2" t="str">
        <f>_xlfn.XLOOKUP(I85,products!B:B,products!D:D)</f>
        <v>Pet</v>
      </c>
      <c r="S85" s="2"/>
    </row>
    <row r="86" spans="1:19">
      <c r="A86">
        <v>85</v>
      </c>
      <c r="B86">
        <v>1034</v>
      </c>
      <c r="C86">
        <v>83</v>
      </c>
      <c r="D86">
        <v>5</v>
      </c>
      <c r="E86">
        <v>269.23</v>
      </c>
      <c r="F86">
        <v>0</v>
      </c>
      <c r="G86">
        <f t="shared" si="3"/>
        <v>1346.15</v>
      </c>
      <c r="H86" t="str">
        <f>_xlfn.XLOOKUP(B86,customer_orders!A:A,customer_orders!F:F)</f>
        <v>2026-02</v>
      </c>
      <c r="I86" t="str">
        <f>_xlfn.XLOOKUP(C86,products!A:A,products!B:B)</f>
        <v>SKU-0083</v>
      </c>
      <c r="J86" t="str">
        <f>_xlfn.XLOOKUP(B86,customer_orders!A:A,customer_orders!G:G)</f>
        <v>2026-w06</v>
      </c>
      <c r="K86">
        <f>IFERROR(_xlfn.XLOOKUP(B86,shipments!B:B,shipments!H:H),0)</f>
        <v>85.37</v>
      </c>
      <c r="L86">
        <f t="shared" si="4"/>
        <v>0.06</v>
      </c>
      <c r="M86" t="str">
        <f>_xlfn.XLOOKUP(B86,customer_orders!A:A,customer_orders!D:D)</f>
        <v>Shopify</v>
      </c>
      <c r="N86" t="str">
        <f>_xlfn.XLOOKUP(C86,inventory!B:B,inventory!C:C)</f>
        <v>Salt Lake City</v>
      </c>
      <c r="O86">
        <f>IF(_xlfn.XLOOKUP(C86,products!A:A,products!E:E)="NULL",0,_xlfn.XLOOKUP(C86,products!A:A,products!E:E))</f>
        <v>147.63</v>
      </c>
      <c r="P86">
        <f t="shared" si="5"/>
        <v>1198.52</v>
      </c>
      <c r="Q86" s="2" t="str">
        <f>_xlfn.XLOOKUP(I86,products!B:B,products!D:D)</f>
        <v>Pet</v>
      </c>
      <c r="S86" s="2"/>
    </row>
    <row r="87" spans="1:19">
      <c r="A87">
        <v>86</v>
      </c>
      <c r="B87">
        <v>1034</v>
      </c>
      <c r="C87">
        <v>132</v>
      </c>
      <c r="D87">
        <v>2</v>
      </c>
      <c r="E87">
        <v>240.9</v>
      </c>
      <c r="F87">
        <v>2.9</v>
      </c>
      <c r="G87">
        <f t="shared" si="3"/>
        <v>478.90000000000003</v>
      </c>
      <c r="H87" t="str">
        <f>_xlfn.XLOOKUP(B87,customer_orders!A:A,customer_orders!F:F)</f>
        <v>2026-02</v>
      </c>
      <c r="I87" t="str">
        <f>_xlfn.XLOOKUP(C87,products!A:A,products!B:B)</f>
        <v>SKU-0132</v>
      </c>
      <c r="J87" t="str">
        <f>_xlfn.XLOOKUP(B87,customer_orders!A:A,customer_orders!G:G)</f>
        <v>2026-w06</v>
      </c>
      <c r="K87">
        <f>IFERROR(_xlfn.XLOOKUP(B87,shipments!B:B,shipments!H:H),0)</f>
        <v>85.37</v>
      </c>
      <c r="L87">
        <f t="shared" si="4"/>
        <v>0.18</v>
      </c>
      <c r="M87" t="str">
        <f>_xlfn.XLOOKUP(B87,customer_orders!A:A,customer_orders!D:D)</f>
        <v>Shopify</v>
      </c>
      <c r="N87" t="str">
        <f>_xlfn.XLOOKUP(C87,inventory!B:B,inventory!C:C)</f>
        <v>Salt Lake City</v>
      </c>
      <c r="O87">
        <f>IF(_xlfn.XLOOKUP(C87,products!A:A,products!E:E)="NULL",0,_xlfn.XLOOKUP(C87,products!A:A,products!E:E))</f>
        <v>15.44</v>
      </c>
      <c r="P87">
        <f t="shared" si="5"/>
        <v>463.46000000000004</v>
      </c>
      <c r="Q87" s="2" t="str">
        <f>_xlfn.XLOOKUP(I87,products!B:B,products!D:D)</f>
        <v>Toys</v>
      </c>
      <c r="S87" s="2"/>
    </row>
    <row r="88" spans="1:19">
      <c r="A88">
        <v>87</v>
      </c>
      <c r="B88">
        <v>1035</v>
      </c>
      <c r="C88">
        <v>107</v>
      </c>
      <c r="D88">
        <v>7</v>
      </c>
      <c r="E88">
        <v>223.34</v>
      </c>
      <c r="F88">
        <v>0</v>
      </c>
      <c r="G88">
        <f t="shared" si="3"/>
        <v>1563.38</v>
      </c>
      <c r="H88" t="str">
        <f>_xlfn.XLOOKUP(B88,customer_orders!A:A,customer_orders!F:F)</f>
        <v>2026-04</v>
      </c>
      <c r="I88" t="str">
        <f>_xlfn.XLOOKUP(C88,products!A:A,products!B:B)</f>
        <v>SKU-0107</v>
      </c>
      <c r="J88" t="str">
        <f>_xlfn.XLOOKUP(B88,customer_orders!A:A,customer_orders!G:G)</f>
        <v>2026-w15</v>
      </c>
      <c r="K88">
        <f>IFERROR(_xlfn.XLOOKUP(B88,shipments!B:B,shipments!H:H),0)</f>
        <v>77.64</v>
      </c>
      <c r="L88">
        <f t="shared" si="4"/>
        <v>0.05</v>
      </c>
      <c r="M88" t="str">
        <f>_xlfn.XLOOKUP(B88,customer_orders!A:A,customer_orders!D:D)</f>
        <v>Shopify</v>
      </c>
      <c r="N88" t="str">
        <f>_xlfn.XLOOKUP(C88,inventory!B:B,inventory!C:C)</f>
        <v>South Jordan</v>
      </c>
      <c r="O88">
        <f>IF(_xlfn.XLOOKUP(C88,products!A:A,products!E:E)="NULL",0,_xlfn.XLOOKUP(C88,products!A:A,products!E:E))</f>
        <v>81.23</v>
      </c>
      <c r="P88">
        <f t="shared" si="5"/>
        <v>1482.15</v>
      </c>
      <c r="Q88" s="2" t="str">
        <f>_xlfn.XLOOKUP(I88,products!B:B,products!D:D)</f>
        <v>Pet</v>
      </c>
      <c r="S88" s="2"/>
    </row>
    <row r="89" spans="1:19">
      <c r="A89">
        <v>88</v>
      </c>
      <c r="B89">
        <v>1035</v>
      </c>
      <c r="C89">
        <v>104</v>
      </c>
      <c r="D89">
        <v>5</v>
      </c>
      <c r="E89">
        <v>199.55</v>
      </c>
      <c r="F89">
        <v>0</v>
      </c>
      <c r="G89">
        <f t="shared" si="3"/>
        <v>997.75</v>
      </c>
      <c r="H89" t="str">
        <f>_xlfn.XLOOKUP(B89,customer_orders!A:A,customer_orders!F:F)</f>
        <v>2026-04</v>
      </c>
      <c r="I89" t="str">
        <f>_xlfn.XLOOKUP(C89,products!A:A,products!B:B)</f>
        <v>SKU-0104</v>
      </c>
      <c r="J89" t="str">
        <f>_xlfn.XLOOKUP(B89,customer_orders!A:A,customer_orders!G:G)</f>
        <v>2026-w15</v>
      </c>
      <c r="K89">
        <f>IFERROR(_xlfn.XLOOKUP(B89,shipments!B:B,shipments!H:H),0)</f>
        <v>77.64</v>
      </c>
      <c r="L89">
        <f t="shared" si="4"/>
        <v>0.08</v>
      </c>
      <c r="M89" t="str">
        <f>_xlfn.XLOOKUP(B89,customer_orders!A:A,customer_orders!D:D)</f>
        <v>Shopify</v>
      </c>
      <c r="N89" t="str">
        <f>_xlfn.XLOOKUP(C89,inventory!B:B,inventory!C:C)</f>
        <v>West Valley</v>
      </c>
      <c r="O89">
        <f>IF(_xlfn.XLOOKUP(C89,products!A:A,products!E:E)="NULL",0,_xlfn.XLOOKUP(C89,products!A:A,products!E:E))</f>
        <v>17.07</v>
      </c>
      <c r="P89">
        <f t="shared" si="5"/>
        <v>980.68</v>
      </c>
      <c r="Q89" s="2" t="str">
        <f>_xlfn.XLOOKUP(I89,products!B:B,products!D:D)</f>
        <v>Office</v>
      </c>
      <c r="S89" s="2"/>
    </row>
    <row r="90" spans="1:19">
      <c r="A90">
        <v>89</v>
      </c>
      <c r="B90">
        <v>1035</v>
      </c>
      <c r="C90">
        <v>117</v>
      </c>
      <c r="D90">
        <v>8</v>
      </c>
      <c r="E90">
        <v>293.33</v>
      </c>
      <c r="F90">
        <v>0</v>
      </c>
      <c r="G90">
        <f t="shared" si="3"/>
        <v>2346.64</v>
      </c>
      <c r="H90" t="str">
        <f>_xlfn.XLOOKUP(B90,customer_orders!A:A,customer_orders!F:F)</f>
        <v>2026-04</v>
      </c>
      <c r="I90" t="str">
        <f>_xlfn.XLOOKUP(C90,products!A:A,products!B:B)</f>
        <v>SKU-0117</v>
      </c>
      <c r="J90" t="str">
        <f>_xlfn.XLOOKUP(B90,customer_orders!A:A,customer_orders!G:G)</f>
        <v>2026-w15</v>
      </c>
      <c r="K90">
        <f>IFERROR(_xlfn.XLOOKUP(B90,shipments!B:B,shipments!H:H),0)</f>
        <v>77.64</v>
      </c>
      <c r="L90">
        <f t="shared" si="4"/>
        <v>0.03</v>
      </c>
      <c r="M90" t="str">
        <f>_xlfn.XLOOKUP(B90,customer_orders!A:A,customer_orders!D:D)</f>
        <v>Shopify</v>
      </c>
      <c r="N90" t="str">
        <f>_xlfn.XLOOKUP(C90,inventory!B:B,inventory!C:C)</f>
        <v>Draper</v>
      </c>
      <c r="O90">
        <f>IF(_xlfn.XLOOKUP(C90,products!A:A,products!E:E)="NULL",0,_xlfn.XLOOKUP(C90,products!A:A,products!E:E))</f>
        <v>131.80000000000001</v>
      </c>
      <c r="P90">
        <f t="shared" si="5"/>
        <v>2214.8399999999997</v>
      </c>
      <c r="Q90" s="2" t="str">
        <f>_xlfn.XLOOKUP(I90,products!B:B,products!D:D)</f>
        <v>Pet</v>
      </c>
      <c r="S90" s="2"/>
    </row>
    <row r="91" spans="1:19">
      <c r="A91">
        <v>90</v>
      </c>
      <c r="B91">
        <v>1036</v>
      </c>
      <c r="C91">
        <v>73</v>
      </c>
      <c r="D91">
        <v>6</v>
      </c>
      <c r="E91">
        <v>134.83000000000001</v>
      </c>
      <c r="F91">
        <v>0</v>
      </c>
      <c r="G91">
        <f t="shared" si="3"/>
        <v>808.98</v>
      </c>
      <c r="H91" t="str">
        <f>_xlfn.XLOOKUP(B91,customer_orders!A:A,customer_orders!F:F)</f>
        <v>2026-04</v>
      </c>
      <c r="I91" t="str">
        <f>_xlfn.XLOOKUP(C91,products!A:A,products!B:B)</f>
        <v>SKU-0073</v>
      </c>
      <c r="J91" t="str">
        <f>_xlfn.XLOOKUP(B91,customer_orders!A:A,customer_orders!G:G)</f>
        <v>2026-w17</v>
      </c>
      <c r="K91">
        <f>IFERROR(_xlfn.XLOOKUP(B91,shipments!B:B,shipments!H:H),0)</f>
        <v>826.92</v>
      </c>
      <c r="L91">
        <f t="shared" si="4"/>
        <v>1.02</v>
      </c>
      <c r="M91" t="str">
        <f>_xlfn.XLOOKUP(B91,customer_orders!A:A,customer_orders!D:D)</f>
        <v>Walmart</v>
      </c>
      <c r="N91" t="str">
        <f>_xlfn.XLOOKUP(C91,inventory!B:B,inventory!C:C)</f>
        <v>Draper</v>
      </c>
      <c r="O91">
        <f>IF(_xlfn.XLOOKUP(C91,products!A:A,products!E:E)="NULL",0,_xlfn.XLOOKUP(C91,products!A:A,products!E:E))</f>
        <v>27.28</v>
      </c>
      <c r="P91">
        <f t="shared" si="5"/>
        <v>781.7</v>
      </c>
      <c r="Q91" s="2" t="str">
        <f>_xlfn.XLOOKUP(I91,products!B:B,products!D:D)</f>
        <v>Sports</v>
      </c>
      <c r="S91" s="2"/>
    </row>
    <row r="92" spans="1:19">
      <c r="A92">
        <v>91</v>
      </c>
      <c r="B92">
        <v>1036</v>
      </c>
      <c r="C92">
        <v>145</v>
      </c>
      <c r="D92">
        <v>8</v>
      </c>
      <c r="E92">
        <v>172.39</v>
      </c>
      <c r="F92">
        <v>0</v>
      </c>
      <c r="G92">
        <f t="shared" si="3"/>
        <v>1379.12</v>
      </c>
      <c r="H92" t="str">
        <f>_xlfn.XLOOKUP(B92,customer_orders!A:A,customer_orders!F:F)</f>
        <v>2026-04</v>
      </c>
      <c r="I92" t="str">
        <f>_xlfn.XLOOKUP(C92,products!A:A,products!B:B)</f>
        <v>SKU-0145</v>
      </c>
      <c r="J92" t="str">
        <f>_xlfn.XLOOKUP(B92,customer_orders!A:A,customer_orders!G:G)</f>
        <v>2026-w17</v>
      </c>
      <c r="K92">
        <f>IFERROR(_xlfn.XLOOKUP(B92,shipments!B:B,shipments!H:H),0)</f>
        <v>826.92</v>
      </c>
      <c r="L92">
        <f t="shared" si="4"/>
        <v>0.6</v>
      </c>
      <c r="M92" t="str">
        <f>_xlfn.XLOOKUP(B92,customer_orders!A:A,customer_orders!D:D)</f>
        <v>Walmart</v>
      </c>
      <c r="N92" t="str">
        <f>_xlfn.XLOOKUP(C92,inventory!B:B,inventory!C:C)</f>
        <v>West Valley</v>
      </c>
      <c r="O92">
        <f>IF(_xlfn.XLOOKUP(C92,products!A:A,products!E:E)="NULL",0,_xlfn.XLOOKUP(C92,products!A:A,products!E:E))</f>
        <v>101.4</v>
      </c>
      <c r="P92">
        <f t="shared" si="5"/>
        <v>1277.7199999999998</v>
      </c>
      <c r="Q92" s="2" t="str">
        <f>_xlfn.XLOOKUP(I92,products!B:B,products!D:D)</f>
        <v>Toys</v>
      </c>
      <c r="S92" s="2"/>
    </row>
    <row r="93" spans="1:19">
      <c r="A93">
        <v>92</v>
      </c>
      <c r="B93">
        <v>1036</v>
      </c>
      <c r="C93">
        <v>12</v>
      </c>
      <c r="D93">
        <v>2</v>
      </c>
      <c r="E93">
        <v>61.57</v>
      </c>
      <c r="F93">
        <v>9.77</v>
      </c>
      <c r="G93">
        <f t="shared" si="3"/>
        <v>113.37</v>
      </c>
      <c r="H93" t="str">
        <f>_xlfn.XLOOKUP(B93,customer_orders!A:A,customer_orders!F:F)</f>
        <v>2026-04</v>
      </c>
      <c r="I93" t="str">
        <f>_xlfn.XLOOKUP(C93,products!A:A,products!B:B)</f>
        <v>SKU-0012</v>
      </c>
      <c r="J93" t="str">
        <f>_xlfn.XLOOKUP(B93,customer_orders!A:A,customer_orders!G:G)</f>
        <v>2026-w17</v>
      </c>
      <c r="K93">
        <f>IFERROR(_xlfn.XLOOKUP(B93,shipments!B:B,shipments!H:H),0)</f>
        <v>826.92</v>
      </c>
      <c r="L93">
        <f t="shared" si="4"/>
        <v>7.29</v>
      </c>
      <c r="M93" t="str">
        <f>_xlfn.XLOOKUP(B93,customer_orders!A:A,customer_orders!D:D)</f>
        <v>Walmart</v>
      </c>
      <c r="N93" t="str">
        <f>_xlfn.XLOOKUP(C93,inventory!B:B,inventory!C:C)</f>
        <v>Unknown</v>
      </c>
      <c r="O93">
        <f>IF(_xlfn.XLOOKUP(C93,products!A:A,products!E:E)="NULL",0,_xlfn.XLOOKUP(C93,products!A:A,products!E:E))</f>
        <v>132.6</v>
      </c>
      <c r="P93">
        <f t="shared" si="5"/>
        <v>-19.22999999999999</v>
      </c>
      <c r="Q93" s="2" t="str">
        <f>_xlfn.XLOOKUP(I93,products!B:B,products!D:D)</f>
        <v>Toys</v>
      </c>
      <c r="S93" s="2"/>
    </row>
    <row r="94" spans="1:19">
      <c r="A94">
        <v>93</v>
      </c>
      <c r="B94">
        <v>1037</v>
      </c>
      <c r="C94">
        <v>65</v>
      </c>
      <c r="D94">
        <v>2</v>
      </c>
      <c r="E94">
        <v>203.11</v>
      </c>
      <c r="F94">
        <v>0</v>
      </c>
      <c r="G94">
        <f t="shared" si="3"/>
        <v>406.22</v>
      </c>
      <c r="H94" t="str">
        <f>_xlfn.XLOOKUP(B94,customer_orders!A:A,customer_orders!F:F)</f>
        <v>2026-02</v>
      </c>
      <c r="I94" t="str">
        <f>_xlfn.XLOOKUP(C94,products!A:A,products!B:B)</f>
        <v>SKU-0065</v>
      </c>
      <c r="J94" t="str">
        <f>_xlfn.XLOOKUP(B94,customer_orders!A:A,customer_orders!G:G)</f>
        <v>2026-w07</v>
      </c>
      <c r="K94">
        <f>IFERROR(_xlfn.XLOOKUP(B94,shipments!B:B,shipments!H:H),0)</f>
        <v>0</v>
      </c>
      <c r="L94">
        <f t="shared" si="4"/>
        <v>0</v>
      </c>
      <c r="M94" t="str">
        <f>_xlfn.XLOOKUP(B94,customer_orders!A:A,customer_orders!D:D)</f>
        <v>Amazon</v>
      </c>
      <c r="N94" t="str">
        <f>_xlfn.XLOOKUP(C94,inventory!B:B,inventory!C:C)</f>
        <v>Salt Lake City</v>
      </c>
      <c r="O94">
        <f>IF(_xlfn.XLOOKUP(C94,products!A:A,products!E:E)="NULL",0,_xlfn.XLOOKUP(C94,products!A:A,products!E:E))</f>
        <v>44.01</v>
      </c>
      <c r="P94">
        <f t="shared" si="5"/>
        <v>362.21000000000004</v>
      </c>
      <c r="Q94" s="2" t="str">
        <f>_xlfn.XLOOKUP(I94,products!B:B,products!D:D)</f>
        <v>Sports</v>
      </c>
      <c r="S94" s="2"/>
    </row>
    <row r="95" spans="1:19">
      <c r="A95">
        <v>94</v>
      </c>
      <c r="B95">
        <v>1037</v>
      </c>
      <c r="C95">
        <v>14</v>
      </c>
      <c r="D95">
        <v>7</v>
      </c>
      <c r="E95">
        <v>33.86</v>
      </c>
      <c r="F95">
        <v>0</v>
      </c>
      <c r="G95">
        <f t="shared" si="3"/>
        <v>237.01999999999998</v>
      </c>
      <c r="H95" t="str">
        <f>_xlfn.XLOOKUP(B95,customer_orders!A:A,customer_orders!F:F)</f>
        <v>2026-02</v>
      </c>
      <c r="I95" t="str">
        <f>_xlfn.XLOOKUP(C95,products!A:A,products!B:B)</f>
        <v>SKU-0014</v>
      </c>
      <c r="J95" t="str">
        <f>_xlfn.XLOOKUP(B95,customer_orders!A:A,customer_orders!G:G)</f>
        <v>2026-w07</v>
      </c>
      <c r="K95">
        <f>IFERROR(_xlfn.XLOOKUP(B95,shipments!B:B,shipments!H:H),0)</f>
        <v>0</v>
      </c>
      <c r="L95">
        <f t="shared" si="4"/>
        <v>0</v>
      </c>
      <c r="M95" t="str">
        <f>_xlfn.XLOOKUP(B95,customer_orders!A:A,customer_orders!D:D)</f>
        <v>Amazon</v>
      </c>
      <c r="N95" t="str">
        <f>_xlfn.XLOOKUP(C95,inventory!B:B,inventory!C:C)</f>
        <v>Lehi</v>
      </c>
      <c r="O95">
        <f>IF(_xlfn.XLOOKUP(C95,products!A:A,products!E:E)="NULL",0,_xlfn.XLOOKUP(C95,products!A:A,products!E:E))</f>
        <v>75.2</v>
      </c>
      <c r="P95">
        <f t="shared" si="5"/>
        <v>161.82</v>
      </c>
      <c r="Q95" s="2" t="str">
        <f>_xlfn.XLOOKUP(I95,products!B:B,products!D:D)</f>
        <v>Electronics</v>
      </c>
      <c r="S95" s="2"/>
    </row>
    <row r="96" spans="1:19">
      <c r="A96">
        <v>95</v>
      </c>
      <c r="B96">
        <v>1037</v>
      </c>
      <c r="C96">
        <v>110</v>
      </c>
      <c r="D96">
        <v>2</v>
      </c>
      <c r="E96">
        <v>112</v>
      </c>
      <c r="F96">
        <v>0</v>
      </c>
      <c r="G96">
        <f t="shared" si="3"/>
        <v>224</v>
      </c>
      <c r="H96" t="str">
        <f>_xlfn.XLOOKUP(B96,customer_orders!A:A,customer_orders!F:F)</f>
        <v>2026-02</v>
      </c>
      <c r="I96" t="str">
        <f>_xlfn.XLOOKUP(C96,products!A:A,products!B:B)</f>
        <v>SKU-0110</v>
      </c>
      <c r="J96" t="str">
        <f>_xlfn.XLOOKUP(B96,customer_orders!A:A,customer_orders!G:G)</f>
        <v>2026-w07</v>
      </c>
      <c r="K96">
        <f>IFERROR(_xlfn.XLOOKUP(B96,shipments!B:B,shipments!H:H),0)</f>
        <v>0</v>
      </c>
      <c r="L96">
        <f t="shared" si="4"/>
        <v>0</v>
      </c>
      <c r="M96" t="str">
        <f>_xlfn.XLOOKUP(B96,customer_orders!A:A,customer_orders!D:D)</f>
        <v>Amazon</v>
      </c>
      <c r="N96" t="str">
        <f>_xlfn.XLOOKUP(C96,inventory!B:B,inventory!C:C)</f>
        <v>Draper</v>
      </c>
      <c r="O96">
        <f>IF(_xlfn.XLOOKUP(C96,products!A:A,products!E:E)="NULL",0,_xlfn.XLOOKUP(C96,products!A:A,products!E:E))</f>
        <v>144.62</v>
      </c>
      <c r="P96">
        <f t="shared" si="5"/>
        <v>79.38</v>
      </c>
      <c r="Q96" s="2" t="str">
        <f>_xlfn.XLOOKUP(I96,products!B:B,products!D:D)</f>
        <v>Beauty</v>
      </c>
      <c r="S96" s="2"/>
    </row>
    <row r="97" spans="1:19">
      <c r="A97">
        <v>96</v>
      </c>
      <c r="B97">
        <v>1038</v>
      </c>
      <c r="C97">
        <v>3</v>
      </c>
      <c r="D97">
        <v>1</v>
      </c>
      <c r="E97">
        <v>22.56</v>
      </c>
      <c r="F97">
        <v>0</v>
      </c>
      <c r="G97">
        <f t="shared" si="3"/>
        <v>22.56</v>
      </c>
      <c r="H97" t="str">
        <f>_xlfn.XLOOKUP(B97,customer_orders!A:A,customer_orders!F:F)</f>
        <v>2026-01</v>
      </c>
      <c r="I97" t="str">
        <f>_xlfn.XLOOKUP(C97,products!A:A,products!B:B)</f>
        <v>SKU-0003</v>
      </c>
      <c r="J97" t="str">
        <f>_xlfn.XLOOKUP(B97,customer_orders!A:A,customer_orders!G:G)</f>
        <v>2026-w04</v>
      </c>
      <c r="K97">
        <f>IFERROR(_xlfn.XLOOKUP(B97,shipments!B:B,shipments!H:H),0)</f>
        <v>78.42</v>
      </c>
      <c r="L97">
        <f t="shared" si="4"/>
        <v>3.48</v>
      </c>
      <c r="M97" t="str">
        <f>_xlfn.XLOOKUP(B97,customer_orders!A:A,customer_orders!D:D)</f>
        <v>Amazon</v>
      </c>
      <c r="N97" t="str">
        <f>_xlfn.XLOOKUP(C97,inventory!B:B,inventory!C:C)</f>
        <v>South Jordan</v>
      </c>
      <c r="O97">
        <f>IF(_xlfn.XLOOKUP(C97,products!A:A,products!E:E)="NULL",0,_xlfn.XLOOKUP(C97,products!A:A,products!E:E))</f>
        <v>93.44</v>
      </c>
      <c r="P97">
        <f t="shared" si="5"/>
        <v>-70.88</v>
      </c>
      <c r="Q97" s="2" t="str">
        <f>_xlfn.XLOOKUP(I97,products!B:B,products!D:D)</f>
        <v>Beauty</v>
      </c>
      <c r="S97" s="2"/>
    </row>
    <row r="98" spans="1:19">
      <c r="A98">
        <v>97</v>
      </c>
      <c r="B98">
        <v>1038</v>
      </c>
      <c r="C98">
        <v>109</v>
      </c>
      <c r="D98">
        <v>3</v>
      </c>
      <c r="E98">
        <v>257.52</v>
      </c>
      <c r="F98">
        <v>0</v>
      </c>
      <c r="G98">
        <f t="shared" si="3"/>
        <v>772.56</v>
      </c>
      <c r="H98" t="str">
        <f>_xlfn.XLOOKUP(B98,customer_orders!A:A,customer_orders!F:F)</f>
        <v>2026-01</v>
      </c>
      <c r="I98" t="str">
        <f>_xlfn.XLOOKUP(C98,products!A:A,products!B:B)</f>
        <v>SKU-0109</v>
      </c>
      <c r="J98" t="str">
        <f>_xlfn.XLOOKUP(B98,customer_orders!A:A,customer_orders!G:G)</f>
        <v>2026-w04</v>
      </c>
      <c r="K98">
        <f>IFERROR(_xlfn.XLOOKUP(B98,shipments!B:B,shipments!H:H),0)</f>
        <v>78.42</v>
      </c>
      <c r="L98">
        <f t="shared" si="4"/>
        <v>0.1</v>
      </c>
      <c r="M98" t="str">
        <f>_xlfn.XLOOKUP(B98,customer_orders!A:A,customer_orders!D:D)</f>
        <v>Amazon</v>
      </c>
      <c r="N98" t="str">
        <f>_xlfn.XLOOKUP(C98,inventory!B:B,inventory!C:C)</f>
        <v>Draper</v>
      </c>
      <c r="O98">
        <f>IF(_xlfn.XLOOKUP(C98,products!A:A,products!E:E)="NULL",0,_xlfn.XLOOKUP(C98,products!A:A,products!E:E))</f>
        <v>10.02</v>
      </c>
      <c r="P98">
        <f t="shared" si="5"/>
        <v>762.54</v>
      </c>
      <c r="Q98" s="2" t="str">
        <f>_xlfn.XLOOKUP(I98,products!B:B,products!D:D)</f>
        <v>Office</v>
      </c>
      <c r="S98" s="2"/>
    </row>
    <row r="99" spans="1:19">
      <c r="A99">
        <v>98</v>
      </c>
      <c r="B99">
        <v>1038</v>
      </c>
      <c r="C99">
        <v>99</v>
      </c>
      <c r="D99">
        <v>2</v>
      </c>
      <c r="E99">
        <v>50.97</v>
      </c>
      <c r="F99">
        <v>0</v>
      </c>
      <c r="G99">
        <f t="shared" si="3"/>
        <v>101.94</v>
      </c>
      <c r="H99" t="str">
        <f>_xlfn.XLOOKUP(B99,customer_orders!A:A,customer_orders!F:F)</f>
        <v>2026-01</v>
      </c>
      <c r="I99" t="str">
        <f>_xlfn.XLOOKUP(C99,products!A:A,products!B:B)</f>
        <v>SKU-0099</v>
      </c>
      <c r="J99" t="str">
        <f>_xlfn.XLOOKUP(B99,customer_orders!A:A,customer_orders!G:G)</f>
        <v>2026-w04</v>
      </c>
      <c r="K99">
        <f>IFERROR(_xlfn.XLOOKUP(B99,shipments!B:B,shipments!H:H),0)</f>
        <v>78.42</v>
      </c>
      <c r="L99">
        <f t="shared" si="4"/>
        <v>0.77</v>
      </c>
      <c r="M99" t="str">
        <f>_xlfn.XLOOKUP(B99,customer_orders!A:A,customer_orders!D:D)</f>
        <v>Amazon</v>
      </c>
      <c r="N99" t="str">
        <f>_xlfn.XLOOKUP(C99,inventory!B:B,inventory!C:C)</f>
        <v>Lehi</v>
      </c>
      <c r="O99">
        <f>IF(_xlfn.XLOOKUP(C99,products!A:A,products!E:E)="NULL",0,_xlfn.XLOOKUP(C99,products!A:A,products!E:E))</f>
        <v>31.67</v>
      </c>
      <c r="P99">
        <f t="shared" si="5"/>
        <v>70.27</v>
      </c>
      <c r="Q99" s="2" t="str">
        <f>_xlfn.XLOOKUP(I99,products!B:B,products!D:D)</f>
        <v>Electronics</v>
      </c>
      <c r="S99" s="2"/>
    </row>
    <row r="100" spans="1:19">
      <c r="A100">
        <v>99</v>
      </c>
      <c r="B100">
        <v>1038</v>
      </c>
      <c r="C100">
        <v>27</v>
      </c>
      <c r="D100">
        <v>6</v>
      </c>
      <c r="E100">
        <v>165.39</v>
      </c>
      <c r="F100">
        <v>0</v>
      </c>
      <c r="G100">
        <f t="shared" si="3"/>
        <v>992.33999999999992</v>
      </c>
      <c r="H100" t="str">
        <f>_xlfn.XLOOKUP(B100,customer_orders!A:A,customer_orders!F:F)</f>
        <v>2026-01</v>
      </c>
      <c r="I100" t="str">
        <f>_xlfn.XLOOKUP(C100,products!A:A,products!B:B)</f>
        <v>SKU-0027</v>
      </c>
      <c r="J100" t="str">
        <f>_xlfn.XLOOKUP(B100,customer_orders!A:A,customer_orders!G:G)</f>
        <v>2026-w04</v>
      </c>
      <c r="K100">
        <f>IFERROR(_xlfn.XLOOKUP(B100,shipments!B:B,shipments!H:H),0)</f>
        <v>78.42</v>
      </c>
      <c r="L100">
        <f t="shared" si="4"/>
        <v>0.08</v>
      </c>
      <c r="M100" t="str">
        <f>_xlfn.XLOOKUP(B100,customer_orders!A:A,customer_orders!D:D)</f>
        <v>Amazon</v>
      </c>
      <c r="N100" t="str">
        <f>_xlfn.XLOOKUP(C100,inventory!B:B,inventory!C:C)</f>
        <v>Salt Lake City</v>
      </c>
      <c r="O100">
        <f>IF(_xlfn.XLOOKUP(C100,products!A:A,products!E:E)="NULL",0,_xlfn.XLOOKUP(C100,products!A:A,products!E:E))</f>
        <v>33.9</v>
      </c>
      <c r="P100">
        <f t="shared" si="5"/>
        <v>958.43999999999994</v>
      </c>
      <c r="Q100" s="2" t="str">
        <f>_xlfn.XLOOKUP(I100,products!B:B,products!D:D)</f>
        <v>Pet</v>
      </c>
      <c r="S100" s="2"/>
    </row>
    <row r="101" spans="1:19">
      <c r="A101">
        <v>100</v>
      </c>
      <c r="B101">
        <v>1039</v>
      </c>
      <c r="C101">
        <v>39</v>
      </c>
      <c r="D101">
        <v>7</v>
      </c>
      <c r="E101">
        <v>129.30000000000001</v>
      </c>
      <c r="F101">
        <v>9.6300000000000008</v>
      </c>
      <c r="G101">
        <f t="shared" si="3"/>
        <v>895.47000000000014</v>
      </c>
      <c r="H101" t="str">
        <f>_xlfn.XLOOKUP(B101,customer_orders!A:A,customer_orders!F:F)</f>
        <v>2026-02</v>
      </c>
      <c r="I101" t="str">
        <f>_xlfn.XLOOKUP(C101,products!A:A,products!B:B)</f>
        <v>SKU-0039</v>
      </c>
      <c r="J101" t="str">
        <f>_xlfn.XLOOKUP(B101,customer_orders!A:A,customer_orders!G:G)</f>
        <v>2026-w07</v>
      </c>
      <c r="K101">
        <f>IFERROR(_xlfn.XLOOKUP(B101,shipments!B:B,shipments!H:H),0)</f>
        <v>44.78</v>
      </c>
      <c r="L101">
        <f t="shared" si="4"/>
        <v>0.05</v>
      </c>
      <c r="M101" t="str">
        <f>_xlfn.XLOOKUP(B101,customer_orders!A:A,customer_orders!D:D)</f>
        <v>Ebay</v>
      </c>
      <c r="N101" t="str">
        <f>_xlfn.XLOOKUP(C101,inventory!B:B,inventory!C:C)</f>
        <v>West Valley</v>
      </c>
      <c r="O101">
        <f>IF(_xlfn.XLOOKUP(C101,products!A:A,products!E:E)="NULL",0,_xlfn.XLOOKUP(C101,products!A:A,products!E:E))</f>
        <v>42.41</v>
      </c>
      <c r="P101">
        <f t="shared" si="5"/>
        <v>853.06000000000017</v>
      </c>
      <c r="Q101" s="2" t="str">
        <f>_xlfn.XLOOKUP(I101,products!B:B,products!D:D)</f>
        <v>Pet</v>
      </c>
      <c r="S101" s="2"/>
    </row>
    <row r="102" spans="1:19">
      <c r="A102">
        <v>101</v>
      </c>
      <c r="B102">
        <v>1039</v>
      </c>
      <c r="C102">
        <v>56</v>
      </c>
      <c r="D102">
        <v>2</v>
      </c>
      <c r="E102">
        <v>172.23</v>
      </c>
      <c r="F102">
        <v>0</v>
      </c>
      <c r="G102">
        <f t="shared" si="3"/>
        <v>344.46</v>
      </c>
      <c r="H102" t="str">
        <f>_xlfn.XLOOKUP(B102,customer_orders!A:A,customer_orders!F:F)</f>
        <v>2026-02</v>
      </c>
      <c r="I102" t="str">
        <f>_xlfn.XLOOKUP(C102,products!A:A,products!B:B)</f>
        <v>SKU-0056</v>
      </c>
      <c r="J102" t="str">
        <f>_xlfn.XLOOKUP(B102,customer_orders!A:A,customer_orders!G:G)</f>
        <v>2026-w07</v>
      </c>
      <c r="K102">
        <f>IFERROR(_xlfn.XLOOKUP(B102,shipments!B:B,shipments!H:H),0)</f>
        <v>44.78</v>
      </c>
      <c r="L102">
        <f t="shared" si="4"/>
        <v>0.13</v>
      </c>
      <c r="M102" t="str">
        <f>_xlfn.XLOOKUP(B102,customer_orders!A:A,customer_orders!D:D)</f>
        <v>Ebay</v>
      </c>
      <c r="N102" t="str">
        <f>_xlfn.XLOOKUP(C102,inventory!B:B,inventory!C:C)</f>
        <v>South Jordan</v>
      </c>
      <c r="O102">
        <f>IF(_xlfn.XLOOKUP(C102,products!A:A,products!E:E)="NULL",0,_xlfn.XLOOKUP(C102,products!A:A,products!E:E))</f>
        <v>134.72</v>
      </c>
      <c r="P102">
        <f t="shared" si="5"/>
        <v>209.73999999999998</v>
      </c>
      <c r="Q102" s="2" t="str">
        <f>_xlfn.XLOOKUP(I102,products!B:B,products!D:D)</f>
        <v>Sports</v>
      </c>
      <c r="S102" s="2"/>
    </row>
    <row r="103" spans="1:19">
      <c r="A103">
        <v>102</v>
      </c>
      <c r="B103">
        <v>1040</v>
      </c>
      <c r="C103">
        <v>7</v>
      </c>
      <c r="D103">
        <v>5</v>
      </c>
      <c r="E103">
        <v>292.33999999999997</v>
      </c>
      <c r="F103">
        <v>0</v>
      </c>
      <c r="G103">
        <f t="shared" si="3"/>
        <v>1461.6999999999998</v>
      </c>
      <c r="H103" t="str">
        <f>_xlfn.XLOOKUP(B103,customer_orders!A:A,customer_orders!F:F)</f>
        <v>2026-01</v>
      </c>
      <c r="I103" t="str">
        <f>_xlfn.XLOOKUP(C103,products!A:A,products!B:B)</f>
        <v>SKU-0007</v>
      </c>
      <c r="J103" t="str">
        <f>_xlfn.XLOOKUP(B103,customer_orders!A:A,customer_orders!G:G)</f>
        <v>2026-w04</v>
      </c>
      <c r="K103">
        <f>IFERROR(_xlfn.XLOOKUP(B103,shipments!B:B,shipments!H:H),0)</f>
        <v>65.28</v>
      </c>
      <c r="L103">
        <f t="shared" si="4"/>
        <v>0.04</v>
      </c>
      <c r="M103" t="str">
        <f>_xlfn.XLOOKUP(B103,customer_orders!A:A,customer_orders!D:D)</f>
        <v>Amazon</v>
      </c>
      <c r="N103" t="str">
        <f>_xlfn.XLOOKUP(C103,inventory!B:B,inventory!C:C)</f>
        <v>Unknown</v>
      </c>
      <c r="O103">
        <f>IF(_xlfn.XLOOKUP(C103,products!A:A,products!E:E)="NULL",0,_xlfn.XLOOKUP(C103,products!A:A,products!E:E))</f>
        <v>98.84</v>
      </c>
      <c r="P103">
        <f t="shared" si="5"/>
        <v>1362.86</v>
      </c>
      <c r="Q103" s="2" t="str">
        <f>_xlfn.XLOOKUP(I103,products!B:B,products!D:D)</f>
        <v>Electronics</v>
      </c>
      <c r="S103" s="2"/>
    </row>
    <row r="104" spans="1:19">
      <c r="A104">
        <v>103</v>
      </c>
      <c r="B104">
        <v>1040</v>
      </c>
      <c r="C104">
        <v>101</v>
      </c>
      <c r="D104">
        <v>5</v>
      </c>
      <c r="E104">
        <v>45.81</v>
      </c>
      <c r="F104">
        <v>0</v>
      </c>
      <c r="G104">
        <f t="shared" si="3"/>
        <v>229.05</v>
      </c>
      <c r="H104" t="str">
        <f>_xlfn.XLOOKUP(B104,customer_orders!A:A,customer_orders!F:F)</f>
        <v>2026-01</v>
      </c>
      <c r="I104" t="str">
        <f>_xlfn.XLOOKUP(C104,products!A:A,products!B:B)</f>
        <v>SKU-0101</v>
      </c>
      <c r="J104" t="str">
        <f>_xlfn.XLOOKUP(B104,customer_orders!A:A,customer_orders!G:G)</f>
        <v>2026-w04</v>
      </c>
      <c r="K104">
        <f>IFERROR(_xlfn.XLOOKUP(B104,shipments!B:B,shipments!H:H),0)</f>
        <v>65.28</v>
      </c>
      <c r="L104">
        <f t="shared" si="4"/>
        <v>0.28999999999999998</v>
      </c>
      <c r="M104" t="str">
        <f>_xlfn.XLOOKUP(B104,customer_orders!A:A,customer_orders!D:D)</f>
        <v>Amazon</v>
      </c>
      <c r="N104" t="str">
        <f>_xlfn.XLOOKUP(C104,inventory!B:B,inventory!C:C)</f>
        <v>South Jordan</v>
      </c>
      <c r="O104">
        <f>IF(_xlfn.XLOOKUP(C104,products!A:A,products!E:E)="NULL",0,_xlfn.XLOOKUP(C104,products!A:A,products!E:E))</f>
        <v>173.83</v>
      </c>
      <c r="P104">
        <f t="shared" si="5"/>
        <v>55.22</v>
      </c>
      <c r="Q104" s="2" t="str">
        <f>_xlfn.XLOOKUP(I104,products!B:B,products!D:D)</f>
        <v>Home</v>
      </c>
      <c r="S104" s="2"/>
    </row>
    <row r="105" spans="1:19">
      <c r="A105">
        <v>104</v>
      </c>
      <c r="B105">
        <v>1040</v>
      </c>
      <c r="C105">
        <v>127</v>
      </c>
      <c r="D105">
        <v>7</v>
      </c>
      <c r="E105">
        <v>38.14</v>
      </c>
      <c r="F105">
        <v>2.58</v>
      </c>
      <c r="G105">
        <f t="shared" si="3"/>
        <v>264.40000000000003</v>
      </c>
      <c r="H105" t="str">
        <f>_xlfn.XLOOKUP(B105,customer_orders!A:A,customer_orders!F:F)</f>
        <v>2026-01</v>
      </c>
      <c r="I105" t="str">
        <f>_xlfn.XLOOKUP(C105,products!A:A,products!B:B)</f>
        <v>SKU-0127</v>
      </c>
      <c r="J105" t="str">
        <f>_xlfn.XLOOKUP(B105,customer_orders!A:A,customer_orders!G:G)</f>
        <v>2026-w04</v>
      </c>
      <c r="K105">
        <f>IFERROR(_xlfn.XLOOKUP(B105,shipments!B:B,shipments!H:H),0)</f>
        <v>65.28</v>
      </c>
      <c r="L105">
        <f t="shared" si="4"/>
        <v>0.25</v>
      </c>
      <c r="M105" t="str">
        <f>_xlfn.XLOOKUP(B105,customer_orders!A:A,customer_orders!D:D)</f>
        <v>Amazon</v>
      </c>
      <c r="N105" t="str">
        <f>_xlfn.XLOOKUP(C105,inventory!B:B,inventory!C:C)</f>
        <v>South Jordan</v>
      </c>
      <c r="O105">
        <f>IF(_xlfn.XLOOKUP(C105,products!A:A,products!E:E)="NULL",0,_xlfn.XLOOKUP(C105,products!A:A,products!E:E))</f>
        <v>51.31</v>
      </c>
      <c r="P105">
        <f t="shared" si="5"/>
        <v>213.09000000000003</v>
      </c>
      <c r="Q105" s="2" t="str">
        <f>_xlfn.XLOOKUP(I105,products!B:B,products!D:D)</f>
        <v>Beauty</v>
      </c>
      <c r="S105" s="2"/>
    </row>
    <row r="106" spans="1:19">
      <c r="A106">
        <v>105</v>
      </c>
      <c r="B106">
        <v>1041</v>
      </c>
      <c r="C106">
        <v>121</v>
      </c>
      <c r="D106">
        <v>2</v>
      </c>
      <c r="E106">
        <v>151.43</v>
      </c>
      <c r="F106">
        <v>0</v>
      </c>
      <c r="G106">
        <f t="shared" si="3"/>
        <v>302.86</v>
      </c>
      <c r="H106" t="str">
        <f>_xlfn.XLOOKUP(B106,customer_orders!A:A,customer_orders!F:F)</f>
        <v>2026-04</v>
      </c>
      <c r="I106" t="str">
        <f>_xlfn.XLOOKUP(C106,products!A:A,products!B:B)</f>
        <v>SKU-0121</v>
      </c>
      <c r="J106" t="str">
        <f>_xlfn.XLOOKUP(B106,customer_orders!A:A,customer_orders!G:G)</f>
        <v>2026-w15</v>
      </c>
      <c r="K106">
        <f>IFERROR(_xlfn.XLOOKUP(B106,shipments!B:B,shipments!H:H),0)</f>
        <v>76.91</v>
      </c>
      <c r="L106">
        <f t="shared" si="4"/>
        <v>0.25</v>
      </c>
      <c r="M106" t="str">
        <f>_xlfn.XLOOKUP(B106,customer_orders!A:A,customer_orders!D:D)</f>
        <v>Walmart</v>
      </c>
      <c r="N106" t="str">
        <f>_xlfn.XLOOKUP(C106,inventory!B:B,inventory!C:C)</f>
        <v>South Jordan</v>
      </c>
      <c r="O106">
        <f>IF(_xlfn.XLOOKUP(C106,products!A:A,products!E:E)="NULL",0,_xlfn.XLOOKUP(C106,products!A:A,products!E:E))</f>
        <v>54.76</v>
      </c>
      <c r="P106">
        <f t="shared" si="5"/>
        <v>248.10000000000002</v>
      </c>
      <c r="Q106" s="2" t="str">
        <f>_xlfn.XLOOKUP(I106,products!B:B,products!D:D)</f>
        <v>Electronics</v>
      </c>
      <c r="S106" s="2"/>
    </row>
    <row r="107" spans="1:19">
      <c r="A107">
        <v>106</v>
      </c>
      <c r="B107">
        <v>1041</v>
      </c>
      <c r="C107">
        <v>4</v>
      </c>
      <c r="D107">
        <v>5</v>
      </c>
      <c r="E107">
        <v>94.28</v>
      </c>
      <c r="F107">
        <v>0</v>
      </c>
      <c r="G107">
        <f t="shared" si="3"/>
        <v>471.4</v>
      </c>
      <c r="H107" t="str">
        <f>_xlfn.XLOOKUP(B107,customer_orders!A:A,customer_orders!F:F)</f>
        <v>2026-04</v>
      </c>
      <c r="I107" t="str">
        <f>_xlfn.XLOOKUP(C107,products!A:A,products!B:B)</f>
        <v>SKU-0004</v>
      </c>
      <c r="J107" t="str">
        <f>_xlfn.XLOOKUP(B107,customer_orders!A:A,customer_orders!G:G)</f>
        <v>2026-w15</v>
      </c>
      <c r="K107">
        <f>IFERROR(_xlfn.XLOOKUP(B107,shipments!B:B,shipments!H:H),0)</f>
        <v>76.91</v>
      </c>
      <c r="L107">
        <f t="shared" si="4"/>
        <v>0.16</v>
      </c>
      <c r="M107" t="str">
        <f>_xlfn.XLOOKUP(B107,customer_orders!A:A,customer_orders!D:D)</f>
        <v>Walmart</v>
      </c>
      <c r="N107" t="str">
        <f>_xlfn.XLOOKUP(C107,inventory!B:B,inventory!C:C)</f>
        <v>Draper</v>
      </c>
      <c r="O107">
        <f>IF(_xlfn.XLOOKUP(C107,products!A:A,products!E:E)="NULL",0,_xlfn.XLOOKUP(C107,products!A:A,products!E:E))</f>
        <v>83.61</v>
      </c>
      <c r="P107">
        <f t="shared" si="5"/>
        <v>387.78999999999996</v>
      </c>
      <c r="Q107" s="2" t="str">
        <f>_xlfn.XLOOKUP(I107,products!B:B,products!D:D)</f>
        <v>Office</v>
      </c>
      <c r="S107" s="2"/>
    </row>
    <row r="108" spans="1:19">
      <c r="A108">
        <v>107</v>
      </c>
      <c r="B108">
        <v>1042</v>
      </c>
      <c r="C108">
        <v>72</v>
      </c>
      <c r="D108">
        <v>2</v>
      </c>
      <c r="E108">
        <v>205.06</v>
      </c>
      <c r="F108">
        <v>0</v>
      </c>
      <c r="G108">
        <f t="shared" si="3"/>
        <v>410.12</v>
      </c>
      <c r="H108" t="str">
        <f>_xlfn.XLOOKUP(B108,customer_orders!A:A,customer_orders!F:F)</f>
        <v>2026-01</v>
      </c>
      <c r="I108" t="str">
        <f>_xlfn.XLOOKUP(C108,products!A:A,products!B:B)</f>
        <v>SKU-0072</v>
      </c>
      <c r="J108" t="str">
        <f>_xlfn.XLOOKUP(B108,customer_orders!A:A,customer_orders!G:G)</f>
        <v>2026-w04</v>
      </c>
      <c r="K108">
        <f>IFERROR(_xlfn.XLOOKUP(B108,shipments!B:B,shipments!H:H),0)</f>
        <v>88.68</v>
      </c>
      <c r="L108">
        <f t="shared" si="4"/>
        <v>0.22</v>
      </c>
      <c r="M108" t="str">
        <f>_xlfn.XLOOKUP(B108,customer_orders!A:A,customer_orders!D:D)</f>
        <v>Amazon</v>
      </c>
      <c r="N108" t="str">
        <f>_xlfn.XLOOKUP(C108,inventory!B:B,inventory!C:C)</f>
        <v>Salt Lake City</v>
      </c>
      <c r="O108">
        <f>IF(_xlfn.XLOOKUP(C108,products!A:A,products!E:E)="NULL",0,_xlfn.XLOOKUP(C108,products!A:A,products!E:E))</f>
        <v>93.75</v>
      </c>
      <c r="P108">
        <f t="shared" si="5"/>
        <v>316.37</v>
      </c>
      <c r="Q108" s="2" t="str">
        <f>_xlfn.XLOOKUP(I108,products!B:B,products!D:D)</f>
        <v>Home</v>
      </c>
      <c r="S108" s="2"/>
    </row>
    <row r="109" spans="1:19">
      <c r="A109">
        <v>108</v>
      </c>
      <c r="B109">
        <v>1042</v>
      </c>
      <c r="C109">
        <v>40</v>
      </c>
      <c r="D109">
        <v>6</v>
      </c>
      <c r="E109">
        <v>90.58</v>
      </c>
      <c r="F109">
        <v>0</v>
      </c>
      <c r="G109">
        <f t="shared" si="3"/>
        <v>543.48</v>
      </c>
      <c r="H109" t="str">
        <f>_xlfn.XLOOKUP(B109,customer_orders!A:A,customer_orders!F:F)</f>
        <v>2026-01</v>
      </c>
      <c r="I109" t="str">
        <f>_xlfn.XLOOKUP(C109,products!A:A,products!B:B)</f>
        <v>SKU-0040</v>
      </c>
      <c r="J109" t="str">
        <f>_xlfn.XLOOKUP(B109,customer_orders!A:A,customer_orders!G:G)</f>
        <v>2026-w04</v>
      </c>
      <c r="K109">
        <f>IFERROR(_xlfn.XLOOKUP(B109,shipments!B:B,shipments!H:H),0)</f>
        <v>88.68</v>
      </c>
      <c r="L109">
        <f t="shared" si="4"/>
        <v>0.16</v>
      </c>
      <c r="M109" t="str">
        <f>_xlfn.XLOOKUP(B109,customer_orders!A:A,customer_orders!D:D)</f>
        <v>Amazon</v>
      </c>
      <c r="N109" t="str">
        <f>_xlfn.XLOOKUP(C109,inventory!B:B,inventory!C:C)</f>
        <v>Salt Lake City</v>
      </c>
      <c r="O109">
        <f>IF(_xlfn.XLOOKUP(C109,products!A:A,products!E:E)="NULL",0,_xlfn.XLOOKUP(C109,products!A:A,products!E:E))</f>
        <v>177.43</v>
      </c>
      <c r="P109">
        <f t="shared" si="5"/>
        <v>366.05</v>
      </c>
      <c r="Q109" s="2" t="str">
        <f>_xlfn.XLOOKUP(I109,products!B:B,products!D:D)</f>
        <v>Office</v>
      </c>
      <c r="S109" s="2"/>
    </row>
    <row r="110" spans="1:19">
      <c r="A110">
        <v>109</v>
      </c>
      <c r="B110">
        <v>1043</v>
      </c>
      <c r="C110">
        <v>80</v>
      </c>
      <c r="D110">
        <v>3</v>
      </c>
      <c r="E110">
        <v>84.54</v>
      </c>
      <c r="F110">
        <v>0</v>
      </c>
      <c r="G110">
        <f t="shared" si="3"/>
        <v>253.62</v>
      </c>
      <c r="H110" t="str">
        <f>_xlfn.XLOOKUP(B110,customer_orders!A:A,customer_orders!F:F)</f>
        <v>2026-04</v>
      </c>
      <c r="I110" t="str">
        <f>_xlfn.XLOOKUP(C110,products!A:A,products!B:B)</f>
        <v>SKU-0080</v>
      </c>
      <c r="J110" t="str">
        <f>_xlfn.XLOOKUP(B110,customer_orders!A:A,customer_orders!G:G)</f>
        <v>2026-w17</v>
      </c>
      <c r="K110">
        <f>IFERROR(_xlfn.XLOOKUP(B110,shipments!B:B,shipments!H:H),0)</f>
        <v>114.55</v>
      </c>
      <c r="L110">
        <f t="shared" si="4"/>
        <v>0.45</v>
      </c>
      <c r="M110" t="str">
        <f>_xlfn.XLOOKUP(B110,customer_orders!A:A,customer_orders!D:D)</f>
        <v>Walmart</v>
      </c>
      <c r="N110" t="str">
        <f>_xlfn.XLOOKUP(C110,inventory!B:B,inventory!C:C)</f>
        <v>Salt Lake City</v>
      </c>
      <c r="O110">
        <f>IF(_xlfn.XLOOKUP(C110,products!A:A,products!E:E)="NULL",0,_xlfn.XLOOKUP(C110,products!A:A,products!E:E))</f>
        <v>91.52</v>
      </c>
      <c r="P110">
        <f t="shared" si="5"/>
        <v>162.10000000000002</v>
      </c>
      <c r="Q110" s="2" t="str">
        <f>_xlfn.XLOOKUP(I110,products!B:B,products!D:D)</f>
        <v>Beauty</v>
      </c>
      <c r="S110" s="2"/>
    </row>
    <row r="111" spans="1:19">
      <c r="A111">
        <v>110</v>
      </c>
      <c r="B111">
        <v>1044</v>
      </c>
      <c r="C111">
        <v>8</v>
      </c>
      <c r="D111">
        <v>6</v>
      </c>
      <c r="E111">
        <v>118.07</v>
      </c>
      <c r="F111">
        <v>0</v>
      </c>
      <c r="G111">
        <f t="shared" si="3"/>
        <v>708.42</v>
      </c>
      <c r="H111" t="str">
        <f>_xlfn.XLOOKUP(B111,customer_orders!A:A,customer_orders!F:F)</f>
        <v>2026-04</v>
      </c>
      <c r="I111" t="str">
        <f>_xlfn.XLOOKUP(C111,products!A:A,products!B:B)</f>
        <v>SKU-0008</v>
      </c>
      <c r="J111" t="str">
        <f>_xlfn.XLOOKUP(B111,customer_orders!A:A,customer_orders!G:G)</f>
        <v>2026-w15</v>
      </c>
      <c r="K111">
        <f>IFERROR(_xlfn.XLOOKUP(B111,shipments!B:B,shipments!H:H),0)</f>
        <v>86.63</v>
      </c>
      <c r="L111">
        <f t="shared" si="4"/>
        <v>0.12</v>
      </c>
      <c r="M111" t="str">
        <f>_xlfn.XLOOKUP(B111,customer_orders!A:A,customer_orders!D:D)</f>
        <v>Shopify</v>
      </c>
      <c r="N111" t="str">
        <f>_xlfn.XLOOKUP(C111,inventory!B:B,inventory!C:C)</f>
        <v>Salt Lake City</v>
      </c>
      <c r="O111">
        <f>IF(_xlfn.XLOOKUP(C111,products!A:A,products!E:E)="NULL",0,_xlfn.XLOOKUP(C111,products!A:A,products!E:E))</f>
        <v>159.94999999999999</v>
      </c>
      <c r="P111">
        <f t="shared" si="5"/>
        <v>548.47</v>
      </c>
      <c r="Q111" s="2" t="str">
        <f>_xlfn.XLOOKUP(I111,products!B:B,products!D:D)</f>
        <v>Sports</v>
      </c>
      <c r="S111" s="2"/>
    </row>
    <row r="112" spans="1:19">
      <c r="A112">
        <v>111</v>
      </c>
      <c r="B112">
        <v>1045</v>
      </c>
      <c r="C112">
        <v>95</v>
      </c>
      <c r="D112">
        <v>3</v>
      </c>
      <c r="E112">
        <v>75.319999999999993</v>
      </c>
      <c r="F112">
        <v>0</v>
      </c>
      <c r="G112">
        <f t="shared" si="3"/>
        <v>225.95999999999998</v>
      </c>
      <c r="H112" t="str">
        <f>_xlfn.XLOOKUP(B112,customer_orders!A:A,customer_orders!F:F)</f>
        <v>2026-05</v>
      </c>
      <c r="I112" t="str">
        <f>_xlfn.XLOOKUP(C112,products!A:A,products!B:B)</f>
        <v>SKU-0095</v>
      </c>
      <c r="J112" t="str">
        <f>_xlfn.XLOOKUP(B112,customer_orders!A:A,customer_orders!G:G)</f>
        <v>2026-w20</v>
      </c>
      <c r="K112">
        <f>IFERROR(_xlfn.XLOOKUP(B112,shipments!B:B,shipments!H:H),0)</f>
        <v>58.72</v>
      </c>
      <c r="L112">
        <f t="shared" si="4"/>
        <v>0.26</v>
      </c>
      <c r="M112" t="str">
        <f>_xlfn.XLOOKUP(B112,customer_orders!A:A,customer_orders!D:D)</f>
        <v>Amazon</v>
      </c>
      <c r="N112" t="str">
        <f>_xlfn.XLOOKUP(C112,inventory!B:B,inventory!C:C)</f>
        <v>Draper</v>
      </c>
      <c r="O112">
        <f>IF(_xlfn.XLOOKUP(C112,products!A:A,products!E:E)="NULL",0,_xlfn.XLOOKUP(C112,products!A:A,products!E:E))</f>
        <v>71.34</v>
      </c>
      <c r="P112">
        <f t="shared" si="5"/>
        <v>154.61999999999998</v>
      </c>
      <c r="Q112" s="2" t="str">
        <f>_xlfn.XLOOKUP(I112,products!B:B,products!D:D)</f>
        <v>Electronics</v>
      </c>
      <c r="S112" s="2"/>
    </row>
    <row r="113" spans="1:19">
      <c r="A113">
        <v>112</v>
      </c>
      <c r="B113">
        <v>1045</v>
      </c>
      <c r="C113">
        <v>147</v>
      </c>
      <c r="D113">
        <v>2</v>
      </c>
      <c r="E113">
        <v>133.41</v>
      </c>
      <c r="F113">
        <v>0</v>
      </c>
      <c r="G113">
        <f t="shared" si="3"/>
        <v>266.82</v>
      </c>
      <c r="H113" t="str">
        <f>_xlfn.XLOOKUP(B113,customer_orders!A:A,customer_orders!F:F)</f>
        <v>2026-05</v>
      </c>
      <c r="I113" t="str">
        <f>_xlfn.XLOOKUP(C113,products!A:A,products!B:B)</f>
        <v>SKU-0147</v>
      </c>
      <c r="J113" t="str">
        <f>_xlfn.XLOOKUP(B113,customer_orders!A:A,customer_orders!G:G)</f>
        <v>2026-w20</v>
      </c>
      <c r="K113">
        <f>IFERROR(_xlfn.XLOOKUP(B113,shipments!B:B,shipments!H:H),0)</f>
        <v>58.72</v>
      </c>
      <c r="L113">
        <f t="shared" si="4"/>
        <v>0.22</v>
      </c>
      <c r="M113" t="str">
        <f>_xlfn.XLOOKUP(B113,customer_orders!A:A,customer_orders!D:D)</f>
        <v>Amazon</v>
      </c>
      <c r="N113" t="str">
        <f>_xlfn.XLOOKUP(C113,inventory!B:B,inventory!C:C)</f>
        <v>Draper</v>
      </c>
      <c r="O113">
        <f>IF(_xlfn.XLOOKUP(C113,products!A:A,products!E:E)="NULL",0,_xlfn.XLOOKUP(C113,products!A:A,products!E:E))</f>
        <v>128.44999999999999</v>
      </c>
      <c r="P113">
        <f t="shared" si="5"/>
        <v>138.37</v>
      </c>
      <c r="Q113" s="2" t="str">
        <f>_xlfn.XLOOKUP(I113,products!B:B,products!D:D)</f>
        <v>Sports</v>
      </c>
      <c r="S113" s="2"/>
    </row>
    <row r="114" spans="1:19">
      <c r="A114">
        <v>113</v>
      </c>
      <c r="B114">
        <v>1046</v>
      </c>
      <c r="C114">
        <v>82</v>
      </c>
      <c r="D114">
        <v>5</v>
      </c>
      <c r="E114">
        <v>243.4</v>
      </c>
      <c r="F114">
        <v>0</v>
      </c>
      <c r="G114">
        <f t="shared" si="3"/>
        <v>1217</v>
      </c>
      <c r="H114" t="str">
        <f>_xlfn.XLOOKUP(B114,customer_orders!A:A,customer_orders!F:F)</f>
        <v>2026-04</v>
      </c>
      <c r="I114" t="str">
        <f>_xlfn.XLOOKUP(C114,products!A:A,products!B:B)</f>
        <v>SKU-0082</v>
      </c>
      <c r="J114" t="str">
        <f>_xlfn.XLOOKUP(B114,customer_orders!A:A,customer_orders!G:G)</f>
        <v>2026-w16</v>
      </c>
      <c r="K114">
        <f>IFERROR(_xlfn.XLOOKUP(B114,shipments!B:B,shipments!H:H),0)</f>
        <v>37.83</v>
      </c>
      <c r="L114">
        <f t="shared" si="4"/>
        <v>0.03</v>
      </c>
      <c r="M114" t="str">
        <f>_xlfn.XLOOKUP(B114,customer_orders!A:A,customer_orders!D:D)</f>
        <v>Ebay</v>
      </c>
      <c r="N114" t="str">
        <f>_xlfn.XLOOKUP(C114,inventory!B:B,inventory!C:C)</f>
        <v>Unknown</v>
      </c>
      <c r="O114">
        <f>IF(_xlfn.XLOOKUP(C114,products!A:A,products!E:E)="NULL",0,_xlfn.XLOOKUP(C114,products!A:A,products!E:E))</f>
        <v>84.88</v>
      </c>
      <c r="P114">
        <f t="shared" si="5"/>
        <v>1132.1199999999999</v>
      </c>
      <c r="Q114" s="2" t="str">
        <f>_xlfn.XLOOKUP(I114,products!B:B,products!D:D)</f>
        <v>Beauty</v>
      </c>
      <c r="S114" s="2"/>
    </row>
    <row r="115" spans="1:19">
      <c r="A115">
        <v>114</v>
      </c>
      <c r="B115">
        <v>1046</v>
      </c>
      <c r="C115">
        <v>31</v>
      </c>
      <c r="D115">
        <v>1</v>
      </c>
      <c r="E115">
        <v>35.19</v>
      </c>
      <c r="F115">
        <v>0</v>
      </c>
      <c r="G115">
        <f t="shared" si="3"/>
        <v>35.19</v>
      </c>
      <c r="H115" t="str">
        <f>_xlfn.XLOOKUP(B115,customer_orders!A:A,customer_orders!F:F)</f>
        <v>2026-04</v>
      </c>
      <c r="I115" t="str">
        <f>_xlfn.XLOOKUP(C115,products!A:A,products!B:B)</f>
        <v>SKU-0031</v>
      </c>
      <c r="J115" t="str">
        <f>_xlfn.XLOOKUP(B115,customer_orders!A:A,customer_orders!G:G)</f>
        <v>2026-w16</v>
      </c>
      <c r="K115">
        <f>IFERROR(_xlfn.XLOOKUP(B115,shipments!B:B,shipments!H:H),0)</f>
        <v>37.83</v>
      </c>
      <c r="L115">
        <f t="shared" si="4"/>
        <v>1.08</v>
      </c>
      <c r="M115" t="str">
        <f>_xlfn.XLOOKUP(B115,customer_orders!A:A,customer_orders!D:D)</f>
        <v>Ebay</v>
      </c>
      <c r="N115" t="str">
        <f>_xlfn.XLOOKUP(C115,inventory!B:B,inventory!C:C)</f>
        <v>Salt Lake City</v>
      </c>
      <c r="O115">
        <f>IF(_xlfn.XLOOKUP(C115,products!A:A,products!E:E)="NULL",0,_xlfn.XLOOKUP(C115,products!A:A,products!E:E))</f>
        <v>155.44</v>
      </c>
      <c r="P115">
        <f t="shared" si="5"/>
        <v>-120.25</v>
      </c>
      <c r="Q115" s="2" t="str">
        <f>_xlfn.XLOOKUP(I115,products!B:B,products!D:D)</f>
        <v>Home</v>
      </c>
      <c r="S115" s="2"/>
    </row>
    <row r="116" spans="1:19">
      <c r="A116">
        <v>115</v>
      </c>
      <c r="B116">
        <v>1046</v>
      </c>
      <c r="C116">
        <v>103</v>
      </c>
      <c r="D116">
        <v>2</v>
      </c>
      <c r="E116">
        <v>241.92</v>
      </c>
      <c r="F116">
        <v>0</v>
      </c>
      <c r="G116">
        <f t="shared" si="3"/>
        <v>483.84</v>
      </c>
      <c r="H116" t="str">
        <f>_xlfn.XLOOKUP(B116,customer_orders!A:A,customer_orders!F:F)</f>
        <v>2026-04</v>
      </c>
      <c r="I116" t="str">
        <f>_xlfn.XLOOKUP(C116,products!A:A,products!B:B)</f>
        <v>SKU-0103</v>
      </c>
      <c r="J116" t="str">
        <f>_xlfn.XLOOKUP(B116,customer_orders!A:A,customer_orders!G:G)</f>
        <v>2026-w16</v>
      </c>
      <c r="K116">
        <f>IFERROR(_xlfn.XLOOKUP(B116,shipments!B:B,shipments!H:H),0)</f>
        <v>37.83</v>
      </c>
      <c r="L116">
        <f t="shared" si="4"/>
        <v>0.08</v>
      </c>
      <c r="M116" t="str">
        <f>_xlfn.XLOOKUP(B116,customer_orders!A:A,customer_orders!D:D)</f>
        <v>Ebay</v>
      </c>
      <c r="N116" t="str">
        <f>_xlfn.XLOOKUP(C116,inventory!B:B,inventory!C:C)</f>
        <v>Draper</v>
      </c>
      <c r="O116">
        <f>IF(_xlfn.XLOOKUP(C116,products!A:A,products!E:E)="NULL",0,_xlfn.XLOOKUP(C116,products!A:A,products!E:E))</f>
        <v>145.97</v>
      </c>
      <c r="P116">
        <f t="shared" si="5"/>
        <v>337.87</v>
      </c>
      <c r="Q116" s="2" t="str">
        <f>_xlfn.XLOOKUP(I116,products!B:B,products!D:D)</f>
        <v>Sports</v>
      </c>
      <c r="S116" s="2"/>
    </row>
    <row r="117" spans="1:19">
      <c r="A117">
        <v>116</v>
      </c>
      <c r="B117">
        <v>1046</v>
      </c>
      <c r="C117">
        <v>80</v>
      </c>
      <c r="D117">
        <v>6</v>
      </c>
      <c r="E117">
        <v>84.54</v>
      </c>
      <c r="F117">
        <v>2.21</v>
      </c>
      <c r="G117">
        <f t="shared" si="3"/>
        <v>505.03000000000003</v>
      </c>
      <c r="H117" t="str">
        <f>_xlfn.XLOOKUP(B117,customer_orders!A:A,customer_orders!F:F)</f>
        <v>2026-04</v>
      </c>
      <c r="I117" t="str">
        <f>_xlfn.XLOOKUP(C117,products!A:A,products!B:B)</f>
        <v>SKU-0080</v>
      </c>
      <c r="J117" t="str">
        <f>_xlfn.XLOOKUP(B117,customer_orders!A:A,customer_orders!G:G)</f>
        <v>2026-w16</v>
      </c>
      <c r="K117">
        <f>IFERROR(_xlfn.XLOOKUP(B117,shipments!B:B,shipments!H:H),0)</f>
        <v>37.83</v>
      </c>
      <c r="L117">
        <f t="shared" si="4"/>
        <v>7.0000000000000007E-2</v>
      </c>
      <c r="M117" t="str">
        <f>_xlfn.XLOOKUP(B117,customer_orders!A:A,customer_orders!D:D)</f>
        <v>Ebay</v>
      </c>
      <c r="N117" t="str">
        <f>_xlfn.XLOOKUP(C117,inventory!B:B,inventory!C:C)</f>
        <v>Salt Lake City</v>
      </c>
      <c r="O117">
        <f>IF(_xlfn.XLOOKUP(C117,products!A:A,products!E:E)="NULL",0,_xlfn.XLOOKUP(C117,products!A:A,products!E:E))</f>
        <v>91.52</v>
      </c>
      <c r="P117">
        <f t="shared" si="5"/>
        <v>413.51000000000005</v>
      </c>
      <c r="Q117" s="2" t="str">
        <f>_xlfn.XLOOKUP(I117,products!B:B,products!D:D)</f>
        <v>Beauty</v>
      </c>
      <c r="S117" s="2"/>
    </row>
    <row r="118" spans="1:19">
      <c r="A118">
        <v>117</v>
      </c>
      <c r="B118">
        <v>1047</v>
      </c>
      <c r="C118">
        <v>39</v>
      </c>
      <c r="D118">
        <v>1</v>
      </c>
      <c r="E118">
        <v>129.30000000000001</v>
      </c>
      <c r="F118">
        <v>0</v>
      </c>
      <c r="G118">
        <f t="shared" si="3"/>
        <v>129.30000000000001</v>
      </c>
      <c r="H118" t="str">
        <f>_xlfn.XLOOKUP(B118,customer_orders!A:A,customer_orders!F:F)</f>
        <v>2026-04</v>
      </c>
      <c r="I118" t="str">
        <f>_xlfn.XLOOKUP(C118,products!A:A,products!B:B)</f>
        <v>SKU-0039</v>
      </c>
      <c r="J118" t="str">
        <f>_xlfn.XLOOKUP(B118,customer_orders!A:A,customer_orders!G:G)</f>
        <v>2026-w15</v>
      </c>
      <c r="K118">
        <f>IFERROR(_xlfn.XLOOKUP(B118,shipments!B:B,shipments!H:H),0)</f>
        <v>102.48</v>
      </c>
      <c r="L118">
        <f t="shared" si="4"/>
        <v>0.79</v>
      </c>
      <c r="M118" t="str">
        <f>_xlfn.XLOOKUP(B118,customer_orders!A:A,customer_orders!D:D)</f>
        <v>Walmart</v>
      </c>
      <c r="N118" t="str">
        <f>_xlfn.XLOOKUP(C118,inventory!B:B,inventory!C:C)</f>
        <v>West Valley</v>
      </c>
      <c r="O118">
        <f>IF(_xlfn.XLOOKUP(C118,products!A:A,products!E:E)="NULL",0,_xlfn.XLOOKUP(C118,products!A:A,products!E:E))</f>
        <v>42.41</v>
      </c>
      <c r="P118">
        <f t="shared" si="5"/>
        <v>86.890000000000015</v>
      </c>
      <c r="Q118" s="2" t="str">
        <f>_xlfn.XLOOKUP(I118,products!B:B,products!D:D)</f>
        <v>Pet</v>
      </c>
      <c r="S118" s="2"/>
    </row>
    <row r="119" spans="1:19">
      <c r="A119">
        <v>118</v>
      </c>
      <c r="B119">
        <v>1047</v>
      </c>
      <c r="C119">
        <v>60</v>
      </c>
      <c r="D119">
        <v>6</v>
      </c>
      <c r="E119">
        <v>115.8</v>
      </c>
      <c r="F119">
        <v>0</v>
      </c>
      <c r="G119">
        <f t="shared" si="3"/>
        <v>694.8</v>
      </c>
      <c r="H119" t="str">
        <f>_xlfn.XLOOKUP(B119,customer_orders!A:A,customer_orders!F:F)</f>
        <v>2026-04</v>
      </c>
      <c r="I119" t="str">
        <f>_xlfn.XLOOKUP(C119,products!A:A,products!B:B)</f>
        <v>SKU-0060</v>
      </c>
      <c r="J119" t="str">
        <f>_xlfn.XLOOKUP(B119,customer_orders!A:A,customer_orders!G:G)</f>
        <v>2026-w15</v>
      </c>
      <c r="K119">
        <f>IFERROR(_xlfn.XLOOKUP(B119,shipments!B:B,shipments!H:H),0)</f>
        <v>102.48</v>
      </c>
      <c r="L119">
        <f t="shared" si="4"/>
        <v>0.15</v>
      </c>
      <c r="M119" t="str">
        <f>_xlfn.XLOOKUP(B119,customer_orders!A:A,customer_orders!D:D)</f>
        <v>Walmart</v>
      </c>
      <c r="N119" t="str">
        <f>_xlfn.XLOOKUP(C119,inventory!B:B,inventory!C:C)</f>
        <v>Draper</v>
      </c>
      <c r="O119">
        <f>IF(_xlfn.XLOOKUP(C119,products!A:A,products!E:E)="NULL",0,_xlfn.XLOOKUP(C119,products!A:A,products!E:E))</f>
        <v>121.71</v>
      </c>
      <c r="P119">
        <f t="shared" si="5"/>
        <v>573.08999999999992</v>
      </c>
      <c r="Q119" s="2" t="str">
        <f>_xlfn.XLOOKUP(I119,products!B:B,products!D:D)</f>
        <v>Beauty</v>
      </c>
      <c r="S119" s="2"/>
    </row>
    <row r="120" spans="1:19">
      <c r="A120">
        <v>119</v>
      </c>
      <c r="B120">
        <v>1048</v>
      </c>
      <c r="C120">
        <v>72</v>
      </c>
      <c r="D120">
        <v>2</v>
      </c>
      <c r="E120">
        <v>205.06</v>
      </c>
      <c r="F120">
        <v>0</v>
      </c>
      <c r="G120">
        <f t="shared" si="3"/>
        <v>410.12</v>
      </c>
      <c r="H120" t="str">
        <f>_xlfn.XLOOKUP(B120,customer_orders!A:A,customer_orders!F:F)</f>
        <v>2026-03</v>
      </c>
      <c r="I120" t="str">
        <f>_xlfn.XLOOKUP(C120,products!A:A,products!B:B)</f>
        <v>SKU-0072</v>
      </c>
      <c r="J120" t="str">
        <f>_xlfn.XLOOKUP(B120,customer_orders!A:A,customer_orders!G:G)</f>
        <v>2026-w10</v>
      </c>
      <c r="K120">
        <f>IFERROR(_xlfn.XLOOKUP(B120,shipments!B:B,shipments!H:H),0)</f>
        <v>71.37</v>
      </c>
      <c r="L120">
        <f t="shared" si="4"/>
        <v>0.17</v>
      </c>
      <c r="M120" t="str">
        <f>_xlfn.XLOOKUP(B120,customer_orders!A:A,customer_orders!D:D)</f>
        <v>Walmart</v>
      </c>
      <c r="N120" t="str">
        <f>_xlfn.XLOOKUP(C120,inventory!B:B,inventory!C:C)</f>
        <v>Salt Lake City</v>
      </c>
      <c r="O120">
        <f>IF(_xlfn.XLOOKUP(C120,products!A:A,products!E:E)="NULL",0,_xlfn.XLOOKUP(C120,products!A:A,products!E:E))</f>
        <v>93.75</v>
      </c>
      <c r="P120">
        <f t="shared" si="5"/>
        <v>316.37</v>
      </c>
      <c r="Q120" s="2" t="str">
        <f>_xlfn.XLOOKUP(I120,products!B:B,products!D:D)</f>
        <v>Home</v>
      </c>
      <c r="S120" s="2"/>
    </row>
    <row r="121" spans="1:19">
      <c r="A121">
        <v>120</v>
      </c>
      <c r="B121">
        <v>1048</v>
      </c>
      <c r="C121">
        <v>134</v>
      </c>
      <c r="D121">
        <v>7</v>
      </c>
      <c r="E121">
        <v>26.36</v>
      </c>
      <c r="F121">
        <v>0</v>
      </c>
      <c r="G121">
        <f t="shared" si="3"/>
        <v>184.51999999999998</v>
      </c>
      <c r="H121" t="str">
        <f>_xlfn.XLOOKUP(B121,customer_orders!A:A,customer_orders!F:F)</f>
        <v>2026-03</v>
      </c>
      <c r="I121" t="str">
        <f>_xlfn.XLOOKUP(C121,products!A:A,products!B:B)</f>
        <v>SKU-0134</v>
      </c>
      <c r="J121" t="str">
        <f>_xlfn.XLOOKUP(B121,customer_orders!A:A,customer_orders!G:G)</f>
        <v>2026-w10</v>
      </c>
      <c r="K121">
        <f>IFERROR(_xlfn.XLOOKUP(B121,shipments!B:B,shipments!H:H),0)</f>
        <v>71.37</v>
      </c>
      <c r="L121">
        <f t="shared" si="4"/>
        <v>0.39</v>
      </c>
      <c r="M121" t="str">
        <f>_xlfn.XLOOKUP(B121,customer_orders!A:A,customer_orders!D:D)</f>
        <v>Walmart</v>
      </c>
      <c r="N121" t="str">
        <f>_xlfn.XLOOKUP(C121,inventory!B:B,inventory!C:C)</f>
        <v>Draper</v>
      </c>
      <c r="O121">
        <f>IF(_xlfn.XLOOKUP(C121,products!A:A,products!E:E)="NULL",0,_xlfn.XLOOKUP(C121,products!A:A,products!E:E))</f>
        <v>19.079999999999998</v>
      </c>
      <c r="P121">
        <f t="shared" si="5"/>
        <v>165.44</v>
      </c>
      <c r="Q121" s="2" t="str">
        <f>_xlfn.XLOOKUP(I121,products!B:B,products!D:D)</f>
        <v>Pet</v>
      </c>
      <c r="S121" s="2"/>
    </row>
    <row r="122" spans="1:19">
      <c r="A122">
        <v>121</v>
      </c>
      <c r="B122">
        <v>1049</v>
      </c>
      <c r="C122">
        <v>75</v>
      </c>
      <c r="D122">
        <v>5</v>
      </c>
      <c r="E122">
        <v>180.3</v>
      </c>
      <c r="F122">
        <v>12.91</v>
      </c>
      <c r="G122">
        <f t="shared" si="3"/>
        <v>888.59</v>
      </c>
      <c r="H122" t="str">
        <f>_xlfn.XLOOKUP(B122,customer_orders!A:A,customer_orders!F:F)</f>
        <v>2026-01</v>
      </c>
      <c r="I122" t="str">
        <f>_xlfn.XLOOKUP(C122,products!A:A,products!B:B)</f>
        <v>SKU-0075</v>
      </c>
      <c r="J122" t="str">
        <f>_xlfn.XLOOKUP(B122,customer_orders!A:A,customer_orders!G:G)</f>
        <v>2026-w03</v>
      </c>
      <c r="K122">
        <f>IFERROR(_xlfn.XLOOKUP(B122,shipments!B:B,shipments!H:H),0)</f>
        <v>94.47</v>
      </c>
      <c r="L122">
        <f t="shared" si="4"/>
        <v>0.11</v>
      </c>
      <c r="M122" t="str">
        <f>_xlfn.XLOOKUP(B122,customer_orders!A:A,customer_orders!D:D)</f>
        <v>Shopify</v>
      </c>
      <c r="N122" t="str">
        <f>_xlfn.XLOOKUP(C122,inventory!B:B,inventory!C:C)</f>
        <v>Salt Lake City</v>
      </c>
      <c r="O122">
        <f>IF(_xlfn.XLOOKUP(C122,products!A:A,products!E:E)="NULL",0,_xlfn.XLOOKUP(C122,products!A:A,products!E:E))</f>
        <v>80.23</v>
      </c>
      <c r="P122">
        <f t="shared" si="5"/>
        <v>808.36</v>
      </c>
      <c r="Q122" s="2" t="str">
        <f>_xlfn.XLOOKUP(I122,products!B:B,products!D:D)</f>
        <v>Sports</v>
      </c>
      <c r="S122" s="2"/>
    </row>
    <row r="123" spans="1:19">
      <c r="A123">
        <v>122</v>
      </c>
      <c r="B123">
        <v>1049</v>
      </c>
      <c r="C123">
        <v>84</v>
      </c>
      <c r="D123">
        <v>6</v>
      </c>
      <c r="E123">
        <v>150.28</v>
      </c>
      <c r="F123">
        <v>0</v>
      </c>
      <c r="G123">
        <f t="shared" si="3"/>
        <v>901.68000000000006</v>
      </c>
      <c r="H123" t="str">
        <f>_xlfn.XLOOKUP(B123,customer_orders!A:A,customer_orders!F:F)</f>
        <v>2026-01</v>
      </c>
      <c r="I123" t="str">
        <f>_xlfn.XLOOKUP(C123,products!A:A,products!B:B)</f>
        <v>SKU-0084</v>
      </c>
      <c r="J123" t="str">
        <f>_xlfn.XLOOKUP(B123,customer_orders!A:A,customer_orders!G:G)</f>
        <v>2026-w03</v>
      </c>
      <c r="K123">
        <f>IFERROR(_xlfn.XLOOKUP(B123,shipments!B:B,shipments!H:H),0)</f>
        <v>94.47</v>
      </c>
      <c r="L123">
        <f t="shared" si="4"/>
        <v>0.1</v>
      </c>
      <c r="M123" t="str">
        <f>_xlfn.XLOOKUP(B123,customer_orders!A:A,customer_orders!D:D)</f>
        <v>Shopify</v>
      </c>
      <c r="N123" t="str">
        <f>_xlfn.XLOOKUP(C123,inventory!B:B,inventory!C:C)</f>
        <v>Draper</v>
      </c>
      <c r="O123">
        <f>IF(_xlfn.XLOOKUP(C123,products!A:A,products!E:E)="NULL",0,_xlfn.XLOOKUP(C123,products!A:A,products!E:E))</f>
        <v>135.13999999999999</v>
      </c>
      <c r="P123">
        <f t="shared" si="5"/>
        <v>766.54000000000008</v>
      </c>
      <c r="Q123" s="2" t="str">
        <f>_xlfn.XLOOKUP(I123,products!B:B,products!D:D)</f>
        <v>Pet</v>
      </c>
      <c r="S123" s="2"/>
    </row>
    <row r="124" spans="1:19">
      <c r="A124">
        <v>123</v>
      </c>
      <c r="B124">
        <v>1050</v>
      </c>
      <c r="C124">
        <v>138</v>
      </c>
      <c r="D124">
        <v>6</v>
      </c>
      <c r="E124">
        <v>106.5</v>
      </c>
      <c r="F124">
        <v>0</v>
      </c>
      <c r="G124">
        <f t="shared" si="3"/>
        <v>639</v>
      </c>
      <c r="H124" t="str">
        <f>_xlfn.XLOOKUP(B124,customer_orders!A:A,customer_orders!F:F)</f>
        <v>2026-04</v>
      </c>
      <c r="I124" t="str">
        <f>_xlfn.XLOOKUP(C124,products!A:A,products!B:B)</f>
        <v>SKU-0138</v>
      </c>
      <c r="J124" t="str">
        <f>_xlfn.XLOOKUP(B124,customer_orders!A:A,customer_orders!G:G)</f>
        <v>2026-w18</v>
      </c>
      <c r="K124">
        <f>IFERROR(_xlfn.XLOOKUP(B124,shipments!B:B,shipments!H:H),0)</f>
        <v>34.74</v>
      </c>
      <c r="L124">
        <f t="shared" si="4"/>
        <v>0.05</v>
      </c>
      <c r="M124" t="str">
        <f>_xlfn.XLOOKUP(B124,customer_orders!A:A,customer_orders!D:D)</f>
        <v>Ebay</v>
      </c>
      <c r="N124" t="str">
        <f>_xlfn.XLOOKUP(C124,inventory!B:B,inventory!C:C)</f>
        <v>South Jordan</v>
      </c>
      <c r="O124">
        <f>IF(_xlfn.XLOOKUP(C124,products!A:A,products!E:E)="NULL",0,_xlfn.XLOOKUP(C124,products!A:A,products!E:E))</f>
        <v>76.459999999999994</v>
      </c>
      <c r="P124">
        <f t="shared" si="5"/>
        <v>562.54</v>
      </c>
      <c r="Q124" s="2" t="str">
        <f>_xlfn.XLOOKUP(I124,products!B:B,products!D:D)</f>
        <v>Pet</v>
      </c>
      <c r="S124" s="2"/>
    </row>
    <row r="125" spans="1:19">
      <c r="A125">
        <v>124</v>
      </c>
      <c r="B125">
        <v>1051</v>
      </c>
      <c r="C125">
        <v>64</v>
      </c>
      <c r="D125">
        <v>6</v>
      </c>
      <c r="E125">
        <v>247.73</v>
      </c>
      <c r="F125">
        <v>0</v>
      </c>
      <c r="G125">
        <f t="shared" si="3"/>
        <v>1486.3799999999999</v>
      </c>
      <c r="H125" t="str">
        <f>_xlfn.XLOOKUP(B125,customer_orders!A:A,customer_orders!F:F)</f>
        <v>2026-01</v>
      </c>
      <c r="I125" t="str">
        <f>_xlfn.XLOOKUP(C125,products!A:A,products!B:B)</f>
        <v>SKU-0064</v>
      </c>
      <c r="J125" t="str">
        <f>_xlfn.XLOOKUP(B125,customer_orders!A:A,customer_orders!G:G)</f>
        <v>2026-w03</v>
      </c>
      <c r="K125">
        <f>IFERROR(_xlfn.XLOOKUP(B125,shipments!B:B,shipments!H:H),0)</f>
        <v>99.13</v>
      </c>
      <c r="L125">
        <f t="shared" si="4"/>
        <v>7.0000000000000007E-2</v>
      </c>
      <c r="M125" t="str">
        <f>_xlfn.XLOOKUP(B125,customer_orders!A:A,customer_orders!D:D)</f>
        <v>Ebay</v>
      </c>
      <c r="N125" t="str">
        <f>_xlfn.XLOOKUP(C125,inventory!B:B,inventory!C:C)</f>
        <v>Unknown</v>
      </c>
      <c r="O125">
        <f>IF(_xlfn.XLOOKUP(C125,products!A:A,products!E:E)="NULL",0,_xlfn.XLOOKUP(C125,products!A:A,products!E:E))</f>
        <v>43.93</v>
      </c>
      <c r="P125">
        <f t="shared" si="5"/>
        <v>1442.4499999999998</v>
      </c>
      <c r="Q125" s="2" t="str">
        <f>_xlfn.XLOOKUP(I125,products!B:B,products!D:D)</f>
        <v>Electronics</v>
      </c>
      <c r="S125" s="2"/>
    </row>
    <row r="126" spans="1:19">
      <c r="A126">
        <v>125</v>
      </c>
      <c r="B126">
        <v>1052</v>
      </c>
      <c r="C126">
        <v>32</v>
      </c>
      <c r="D126">
        <v>1</v>
      </c>
      <c r="E126">
        <v>221.16</v>
      </c>
      <c r="F126">
        <v>0</v>
      </c>
      <c r="G126">
        <f t="shared" si="3"/>
        <v>221.16</v>
      </c>
      <c r="H126" t="str">
        <f>_xlfn.XLOOKUP(B126,customer_orders!A:A,customer_orders!F:F)</f>
        <v>2026-03</v>
      </c>
      <c r="I126" t="str">
        <f>_xlfn.XLOOKUP(C126,products!A:A,products!B:B)</f>
        <v>SKU-0032</v>
      </c>
      <c r="J126" t="str">
        <f>_xlfn.XLOOKUP(B126,customer_orders!A:A,customer_orders!G:G)</f>
        <v>2026-w10</v>
      </c>
      <c r="K126">
        <f>IFERROR(_xlfn.XLOOKUP(B126,shipments!B:B,shipments!H:H),0)</f>
        <v>71.55</v>
      </c>
      <c r="L126">
        <f t="shared" si="4"/>
        <v>0.32</v>
      </c>
      <c r="M126" t="str">
        <f>_xlfn.XLOOKUP(B126,customer_orders!A:A,customer_orders!D:D)</f>
        <v>Walmart</v>
      </c>
      <c r="N126" t="str">
        <f>_xlfn.XLOOKUP(C126,inventory!B:B,inventory!C:C)</f>
        <v>Salt Lake City</v>
      </c>
      <c r="O126">
        <f>IF(_xlfn.XLOOKUP(C126,products!A:A,products!E:E)="NULL",0,_xlfn.XLOOKUP(C126,products!A:A,products!E:E))</f>
        <v>99.37</v>
      </c>
      <c r="P126">
        <f t="shared" si="5"/>
        <v>121.78999999999999</v>
      </c>
      <c r="Q126" s="2" t="str">
        <f>_xlfn.XLOOKUP(I126,products!B:B,products!D:D)</f>
        <v>Pet</v>
      </c>
      <c r="S126" s="2"/>
    </row>
    <row r="127" spans="1:19">
      <c r="A127">
        <v>126</v>
      </c>
      <c r="B127">
        <v>1052</v>
      </c>
      <c r="C127">
        <v>34</v>
      </c>
      <c r="D127">
        <v>4</v>
      </c>
      <c r="E127">
        <v>222.79</v>
      </c>
      <c r="F127">
        <v>0</v>
      </c>
      <c r="G127">
        <f t="shared" si="3"/>
        <v>891.16</v>
      </c>
      <c r="H127" t="str">
        <f>_xlfn.XLOOKUP(B127,customer_orders!A:A,customer_orders!F:F)</f>
        <v>2026-03</v>
      </c>
      <c r="I127" t="str">
        <f>_xlfn.XLOOKUP(C127,products!A:A,products!B:B)</f>
        <v>SKU-0034</v>
      </c>
      <c r="J127" t="str">
        <f>_xlfn.XLOOKUP(B127,customer_orders!A:A,customer_orders!G:G)</f>
        <v>2026-w10</v>
      </c>
      <c r="K127">
        <f>IFERROR(_xlfn.XLOOKUP(B127,shipments!B:B,shipments!H:H),0)</f>
        <v>71.55</v>
      </c>
      <c r="L127">
        <f t="shared" si="4"/>
        <v>0.08</v>
      </c>
      <c r="M127" t="str">
        <f>_xlfn.XLOOKUP(B127,customer_orders!A:A,customer_orders!D:D)</f>
        <v>Walmart</v>
      </c>
      <c r="N127" t="str">
        <f>_xlfn.XLOOKUP(C127,inventory!B:B,inventory!C:C)</f>
        <v>Salt Lake City</v>
      </c>
      <c r="O127">
        <f>IF(_xlfn.XLOOKUP(C127,products!A:A,products!E:E)="NULL",0,_xlfn.XLOOKUP(C127,products!A:A,products!E:E))</f>
        <v>86.73</v>
      </c>
      <c r="P127">
        <f t="shared" si="5"/>
        <v>804.43</v>
      </c>
      <c r="Q127" s="2" t="str">
        <f>_xlfn.XLOOKUP(I127,products!B:B,products!D:D)</f>
        <v>Office</v>
      </c>
      <c r="S127" s="2"/>
    </row>
    <row r="128" spans="1:19">
      <c r="A128">
        <v>127</v>
      </c>
      <c r="B128">
        <v>1053</v>
      </c>
      <c r="C128">
        <v>85</v>
      </c>
      <c r="D128">
        <v>2</v>
      </c>
      <c r="E128">
        <v>163.57</v>
      </c>
      <c r="F128">
        <v>1.6</v>
      </c>
      <c r="G128">
        <f t="shared" si="3"/>
        <v>325.53999999999996</v>
      </c>
      <c r="H128" t="str">
        <f>_xlfn.XLOOKUP(B128,customer_orders!A:A,customer_orders!F:F)</f>
        <v>2026-02</v>
      </c>
      <c r="I128" t="str">
        <f>_xlfn.XLOOKUP(C128,products!A:A,products!B:B)</f>
        <v>SKU-0085</v>
      </c>
      <c r="J128" t="str">
        <f>_xlfn.XLOOKUP(B128,customer_orders!A:A,customer_orders!G:G)</f>
        <v>2026-w08</v>
      </c>
      <c r="K128">
        <f>IFERROR(_xlfn.XLOOKUP(B128,shipments!B:B,shipments!H:H),0)</f>
        <v>54.25</v>
      </c>
      <c r="L128">
        <f t="shared" si="4"/>
        <v>0.17</v>
      </c>
      <c r="M128" t="str">
        <f>_xlfn.XLOOKUP(B128,customer_orders!A:A,customer_orders!D:D)</f>
        <v>Walmart</v>
      </c>
      <c r="N128" t="str">
        <f>_xlfn.XLOOKUP(C128,inventory!B:B,inventory!C:C)</f>
        <v>Draper</v>
      </c>
      <c r="O128">
        <f>IF(_xlfn.XLOOKUP(C128,products!A:A,products!E:E)="NULL",0,_xlfn.XLOOKUP(C128,products!A:A,products!E:E))</f>
        <v>139.02000000000001</v>
      </c>
      <c r="P128">
        <f t="shared" si="5"/>
        <v>186.51999999999995</v>
      </c>
      <c r="Q128" s="2" t="str">
        <f>_xlfn.XLOOKUP(I128,products!B:B,products!D:D)</f>
        <v>Beauty</v>
      </c>
      <c r="S128" s="2"/>
    </row>
    <row r="129" spans="1:19">
      <c r="A129">
        <v>128</v>
      </c>
      <c r="B129">
        <v>1054</v>
      </c>
      <c r="C129">
        <v>71</v>
      </c>
      <c r="D129">
        <v>5</v>
      </c>
      <c r="E129">
        <v>277.42</v>
      </c>
      <c r="F129">
        <v>0</v>
      </c>
      <c r="G129">
        <f t="shared" si="3"/>
        <v>1387.1000000000001</v>
      </c>
      <c r="H129" t="str">
        <f>_xlfn.XLOOKUP(B129,customer_orders!A:A,customer_orders!F:F)</f>
        <v>2026-04</v>
      </c>
      <c r="I129" t="str">
        <f>_xlfn.XLOOKUP(C129,products!A:A,products!B:B)</f>
        <v>SKU-0071</v>
      </c>
      <c r="J129" t="str">
        <f>_xlfn.XLOOKUP(B129,customer_orders!A:A,customer_orders!G:G)</f>
        <v>2026-w17</v>
      </c>
      <c r="K129">
        <f>IFERROR(_xlfn.XLOOKUP(B129,shipments!B:B,shipments!H:H),0)</f>
        <v>11.07</v>
      </c>
      <c r="L129">
        <f t="shared" si="4"/>
        <v>0.01</v>
      </c>
      <c r="M129" t="str">
        <f>_xlfn.XLOOKUP(B129,customer_orders!A:A,customer_orders!D:D)</f>
        <v>Ebay</v>
      </c>
      <c r="N129" t="str">
        <f>_xlfn.XLOOKUP(C129,inventory!B:B,inventory!C:C)</f>
        <v>West Valley</v>
      </c>
      <c r="O129">
        <f>IF(_xlfn.XLOOKUP(C129,products!A:A,products!E:E)="NULL",0,_xlfn.XLOOKUP(C129,products!A:A,products!E:E))</f>
        <v>171.05</v>
      </c>
      <c r="P129">
        <f t="shared" si="5"/>
        <v>1216.0500000000002</v>
      </c>
      <c r="Q129" s="2" t="str">
        <f>_xlfn.XLOOKUP(I129,products!B:B,products!D:D)</f>
        <v>Office</v>
      </c>
      <c r="S129" s="2"/>
    </row>
    <row r="130" spans="1:19">
      <c r="A130">
        <v>129</v>
      </c>
      <c r="B130">
        <v>1054</v>
      </c>
      <c r="C130">
        <v>9</v>
      </c>
      <c r="D130">
        <v>4</v>
      </c>
      <c r="E130">
        <v>235.32</v>
      </c>
      <c r="F130">
        <v>10.06</v>
      </c>
      <c r="G130">
        <f t="shared" si="3"/>
        <v>931.22</v>
      </c>
      <c r="H130" t="str">
        <f>_xlfn.XLOOKUP(B130,customer_orders!A:A,customer_orders!F:F)</f>
        <v>2026-04</v>
      </c>
      <c r="I130" t="str">
        <f>_xlfn.XLOOKUP(C130,products!A:A,products!B:B)</f>
        <v>SKU-0009</v>
      </c>
      <c r="J130" t="str">
        <f>_xlfn.XLOOKUP(B130,customer_orders!A:A,customer_orders!G:G)</f>
        <v>2026-w17</v>
      </c>
      <c r="K130">
        <f>IFERROR(_xlfn.XLOOKUP(B130,shipments!B:B,shipments!H:H),0)</f>
        <v>11.07</v>
      </c>
      <c r="L130">
        <f t="shared" si="4"/>
        <v>0.01</v>
      </c>
      <c r="M130" t="str">
        <f>_xlfn.XLOOKUP(B130,customer_orders!A:A,customer_orders!D:D)</f>
        <v>Ebay</v>
      </c>
      <c r="N130" t="str">
        <f>_xlfn.XLOOKUP(C130,inventory!B:B,inventory!C:C)</f>
        <v>Salt Lake City</v>
      </c>
      <c r="O130">
        <f>IF(_xlfn.XLOOKUP(C130,products!A:A,products!E:E)="NULL",0,_xlfn.XLOOKUP(C130,products!A:A,products!E:E))</f>
        <v>120.72</v>
      </c>
      <c r="P130">
        <f t="shared" si="5"/>
        <v>810.5</v>
      </c>
      <c r="Q130" s="2" t="str">
        <f>_xlfn.XLOOKUP(I130,products!B:B,products!D:D)</f>
        <v>Home</v>
      </c>
      <c r="S130" s="2"/>
    </row>
    <row r="131" spans="1:19">
      <c r="A131">
        <v>130</v>
      </c>
      <c r="B131">
        <v>1055</v>
      </c>
      <c r="C131">
        <v>92</v>
      </c>
      <c r="D131">
        <v>8</v>
      </c>
      <c r="E131">
        <v>23.27</v>
      </c>
      <c r="F131">
        <v>8.6199999999999992</v>
      </c>
      <c r="G131">
        <f t="shared" ref="G131:G194" si="6">E131*D131-F131</f>
        <v>177.54</v>
      </c>
      <c r="H131" t="str">
        <f>_xlfn.XLOOKUP(B131,customer_orders!A:A,customer_orders!F:F)</f>
        <v>2026-03</v>
      </c>
      <c r="I131" t="str">
        <f>_xlfn.XLOOKUP(C131,products!A:A,products!B:B)</f>
        <v>SKU-0092</v>
      </c>
      <c r="J131" t="str">
        <f>_xlfn.XLOOKUP(B131,customer_orders!A:A,customer_orders!G:G)</f>
        <v>2026-w10</v>
      </c>
      <c r="K131">
        <f>IFERROR(_xlfn.XLOOKUP(B131,shipments!B:B,shipments!H:H),0)</f>
        <v>119.95</v>
      </c>
      <c r="L131">
        <f t="shared" ref="L131:L194" si="7">ROUND(K131/G131,2)</f>
        <v>0.68</v>
      </c>
      <c r="M131" t="str">
        <f>_xlfn.XLOOKUP(B131,customer_orders!A:A,customer_orders!D:D)</f>
        <v>Amazon</v>
      </c>
      <c r="N131" t="str">
        <f>_xlfn.XLOOKUP(C131,inventory!B:B,inventory!C:C)</f>
        <v>Salt Lake City</v>
      </c>
      <c r="O131">
        <f>IF(_xlfn.XLOOKUP(C131,products!A:A,products!E:E)="NULL",0,_xlfn.XLOOKUP(C131,products!A:A,products!E:E))</f>
        <v>81.27</v>
      </c>
      <c r="P131">
        <f t="shared" ref="P131:P194" si="8">G131-O131</f>
        <v>96.27</v>
      </c>
      <c r="Q131" s="2" t="str">
        <f>_xlfn.XLOOKUP(I131,products!B:B,products!D:D)</f>
        <v>Beauty</v>
      </c>
      <c r="S131" s="2"/>
    </row>
    <row r="132" spans="1:19">
      <c r="A132">
        <v>131</v>
      </c>
      <c r="B132">
        <v>1055</v>
      </c>
      <c r="C132">
        <v>89</v>
      </c>
      <c r="D132">
        <v>6</v>
      </c>
      <c r="E132">
        <v>126</v>
      </c>
      <c r="F132">
        <v>0</v>
      </c>
      <c r="G132">
        <f t="shared" si="6"/>
        <v>756</v>
      </c>
      <c r="H132" t="str">
        <f>_xlfn.XLOOKUP(B132,customer_orders!A:A,customer_orders!F:F)</f>
        <v>2026-03</v>
      </c>
      <c r="I132" t="str">
        <f>_xlfn.XLOOKUP(C132,products!A:A,products!B:B)</f>
        <v>SKU-0089</v>
      </c>
      <c r="J132" t="str">
        <f>_xlfn.XLOOKUP(B132,customer_orders!A:A,customer_orders!G:G)</f>
        <v>2026-w10</v>
      </c>
      <c r="K132">
        <f>IFERROR(_xlfn.XLOOKUP(B132,shipments!B:B,shipments!H:H),0)</f>
        <v>119.95</v>
      </c>
      <c r="L132">
        <f t="shared" si="7"/>
        <v>0.16</v>
      </c>
      <c r="M132" t="str">
        <f>_xlfn.XLOOKUP(B132,customer_orders!A:A,customer_orders!D:D)</f>
        <v>Amazon</v>
      </c>
      <c r="N132" t="str">
        <f>_xlfn.XLOOKUP(C132,inventory!B:B,inventory!C:C)</f>
        <v>South Jordan</v>
      </c>
      <c r="O132">
        <f>IF(_xlfn.XLOOKUP(C132,products!A:A,products!E:E)="NULL",0,_xlfn.XLOOKUP(C132,products!A:A,products!E:E))</f>
        <v>150.76</v>
      </c>
      <c r="P132">
        <f t="shared" si="8"/>
        <v>605.24</v>
      </c>
      <c r="Q132" s="2" t="str">
        <f>_xlfn.XLOOKUP(I132,products!B:B,products!D:D)</f>
        <v>Electronics</v>
      </c>
      <c r="S132" s="2"/>
    </row>
    <row r="133" spans="1:19">
      <c r="A133">
        <v>132</v>
      </c>
      <c r="B133">
        <v>1055</v>
      </c>
      <c r="C133">
        <v>7</v>
      </c>
      <c r="D133">
        <v>6</v>
      </c>
      <c r="E133">
        <v>292.33999999999997</v>
      </c>
      <c r="F133">
        <v>0</v>
      </c>
      <c r="G133">
        <f t="shared" si="6"/>
        <v>1754.04</v>
      </c>
      <c r="H133" t="str">
        <f>_xlfn.XLOOKUP(B133,customer_orders!A:A,customer_orders!F:F)</f>
        <v>2026-03</v>
      </c>
      <c r="I133" t="str">
        <f>_xlfn.XLOOKUP(C133,products!A:A,products!B:B)</f>
        <v>SKU-0007</v>
      </c>
      <c r="J133" t="str">
        <f>_xlfn.XLOOKUP(B133,customer_orders!A:A,customer_orders!G:G)</f>
        <v>2026-w10</v>
      </c>
      <c r="K133">
        <f>IFERROR(_xlfn.XLOOKUP(B133,shipments!B:B,shipments!H:H),0)</f>
        <v>119.95</v>
      </c>
      <c r="L133">
        <f t="shared" si="7"/>
        <v>7.0000000000000007E-2</v>
      </c>
      <c r="M133" t="str">
        <f>_xlfn.XLOOKUP(B133,customer_orders!A:A,customer_orders!D:D)</f>
        <v>Amazon</v>
      </c>
      <c r="N133" t="str">
        <f>_xlfn.XLOOKUP(C133,inventory!B:B,inventory!C:C)</f>
        <v>Unknown</v>
      </c>
      <c r="O133">
        <f>IF(_xlfn.XLOOKUP(C133,products!A:A,products!E:E)="NULL",0,_xlfn.XLOOKUP(C133,products!A:A,products!E:E))</f>
        <v>98.84</v>
      </c>
      <c r="P133">
        <f t="shared" si="8"/>
        <v>1655.2</v>
      </c>
      <c r="Q133" s="2" t="str">
        <f>_xlfn.XLOOKUP(I133,products!B:B,products!D:D)</f>
        <v>Electronics</v>
      </c>
      <c r="S133" s="2"/>
    </row>
    <row r="134" spans="1:19">
      <c r="A134">
        <v>133</v>
      </c>
      <c r="B134">
        <v>1055</v>
      </c>
      <c r="C134">
        <v>72</v>
      </c>
      <c r="D134">
        <v>1</v>
      </c>
      <c r="E134">
        <v>205.06</v>
      </c>
      <c r="F134">
        <v>12.32</v>
      </c>
      <c r="G134">
        <f t="shared" si="6"/>
        <v>192.74</v>
      </c>
      <c r="H134" t="str">
        <f>_xlfn.XLOOKUP(B134,customer_orders!A:A,customer_orders!F:F)</f>
        <v>2026-03</v>
      </c>
      <c r="I134" t="str">
        <f>_xlfn.XLOOKUP(C134,products!A:A,products!B:B)</f>
        <v>SKU-0072</v>
      </c>
      <c r="J134" t="str">
        <f>_xlfn.XLOOKUP(B134,customer_orders!A:A,customer_orders!G:G)</f>
        <v>2026-w10</v>
      </c>
      <c r="K134">
        <f>IFERROR(_xlfn.XLOOKUP(B134,shipments!B:B,shipments!H:H),0)</f>
        <v>119.95</v>
      </c>
      <c r="L134">
        <f t="shared" si="7"/>
        <v>0.62</v>
      </c>
      <c r="M134" t="str">
        <f>_xlfn.XLOOKUP(B134,customer_orders!A:A,customer_orders!D:D)</f>
        <v>Amazon</v>
      </c>
      <c r="N134" t="str">
        <f>_xlfn.XLOOKUP(C134,inventory!B:B,inventory!C:C)</f>
        <v>Salt Lake City</v>
      </c>
      <c r="O134">
        <f>IF(_xlfn.XLOOKUP(C134,products!A:A,products!E:E)="NULL",0,_xlfn.XLOOKUP(C134,products!A:A,products!E:E))</f>
        <v>93.75</v>
      </c>
      <c r="P134">
        <f t="shared" si="8"/>
        <v>98.990000000000009</v>
      </c>
      <c r="Q134" s="2" t="str">
        <f>_xlfn.XLOOKUP(I134,products!B:B,products!D:D)</f>
        <v>Home</v>
      </c>
      <c r="S134" s="2"/>
    </row>
    <row r="135" spans="1:19">
      <c r="A135">
        <v>134</v>
      </c>
      <c r="B135">
        <v>1056</v>
      </c>
      <c r="C135">
        <v>148</v>
      </c>
      <c r="D135">
        <v>7</v>
      </c>
      <c r="E135">
        <v>124.32</v>
      </c>
      <c r="F135">
        <v>0</v>
      </c>
      <c r="G135">
        <f t="shared" si="6"/>
        <v>870.24</v>
      </c>
      <c r="H135" t="str">
        <f>_xlfn.XLOOKUP(B135,customer_orders!A:A,customer_orders!F:F)</f>
        <v>2026-03</v>
      </c>
      <c r="I135" t="str">
        <f>_xlfn.XLOOKUP(C135,products!A:A,products!B:B)</f>
        <v>SKU0148</v>
      </c>
      <c r="J135" t="str">
        <f>_xlfn.XLOOKUP(B135,customer_orders!A:A,customer_orders!G:G)</f>
        <v>2026-w11</v>
      </c>
      <c r="K135">
        <f>IFERROR(_xlfn.XLOOKUP(B135,shipments!B:B,shipments!H:H),0)</f>
        <v>113.92</v>
      </c>
      <c r="L135">
        <f t="shared" si="7"/>
        <v>0.13</v>
      </c>
      <c r="M135" t="str">
        <f>_xlfn.XLOOKUP(B135,customer_orders!A:A,customer_orders!D:D)</f>
        <v>Shopify</v>
      </c>
      <c r="N135" t="str">
        <f>_xlfn.XLOOKUP(C135,inventory!B:B,inventory!C:C)</f>
        <v>Draper</v>
      </c>
      <c r="O135">
        <f>IF(_xlfn.XLOOKUP(C135,products!A:A,products!E:E)="NULL",0,_xlfn.XLOOKUP(C135,products!A:A,products!E:E))</f>
        <v>101.47</v>
      </c>
      <c r="P135">
        <f t="shared" si="8"/>
        <v>768.77</v>
      </c>
      <c r="Q135" s="2" t="str">
        <f>_xlfn.XLOOKUP(I135,products!B:B,products!D:D)</f>
        <v>Beauty</v>
      </c>
      <c r="S135" s="2"/>
    </row>
    <row r="136" spans="1:19">
      <c r="A136">
        <v>135</v>
      </c>
      <c r="B136">
        <v>1056</v>
      </c>
      <c r="C136">
        <v>46</v>
      </c>
      <c r="D136">
        <v>4</v>
      </c>
      <c r="E136">
        <v>219.11</v>
      </c>
      <c r="F136">
        <v>0</v>
      </c>
      <c r="G136">
        <f t="shared" si="6"/>
        <v>876.44</v>
      </c>
      <c r="H136" t="str">
        <f>_xlfn.XLOOKUP(B136,customer_orders!A:A,customer_orders!F:F)</f>
        <v>2026-03</v>
      </c>
      <c r="I136" t="str">
        <f>_xlfn.XLOOKUP(C136,products!A:A,products!B:B)</f>
        <v>SKU-0046</v>
      </c>
      <c r="J136" t="str">
        <f>_xlfn.XLOOKUP(B136,customer_orders!A:A,customer_orders!G:G)</f>
        <v>2026-w11</v>
      </c>
      <c r="K136">
        <f>IFERROR(_xlfn.XLOOKUP(B136,shipments!B:B,shipments!H:H),0)</f>
        <v>113.92</v>
      </c>
      <c r="L136">
        <f t="shared" si="7"/>
        <v>0.13</v>
      </c>
      <c r="M136" t="str">
        <f>_xlfn.XLOOKUP(B136,customer_orders!A:A,customer_orders!D:D)</f>
        <v>Shopify</v>
      </c>
      <c r="N136" t="str">
        <f>_xlfn.XLOOKUP(C136,inventory!B:B,inventory!C:C)</f>
        <v>Unknown</v>
      </c>
      <c r="O136">
        <f>IF(_xlfn.XLOOKUP(C136,products!A:A,products!E:E)="NULL",0,_xlfn.XLOOKUP(C136,products!A:A,products!E:E))</f>
        <v>40.75</v>
      </c>
      <c r="P136">
        <f t="shared" si="8"/>
        <v>835.69</v>
      </c>
      <c r="Q136" s="2" t="str">
        <f>_xlfn.XLOOKUP(I136,products!B:B,products!D:D)</f>
        <v>Kitchen</v>
      </c>
      <c r="S136" s="2"/>
    </row>
    <row r="137" spans="1:19">
      <c r="A137">
        <v>136</v>
      </c>
      <c r="B137">
        <v>1057</v>
      </c>
      <c r="C137">
        <v>15</v>
      </c>
      <c r="D137">
        <v>4</v>
      </c>
      <c r="E137">
        <v>198.21</v>
      </c>
      <c r="F137">
        <v>0</v>
      </c>
      <c r="G137">
        <f t="shared" si="6"/>
        <v>792.84</v>
      </c>
      <c r="H137" t="str">
        <f>_xlfn.XLOOKUP(B137,customer_orders!A:A,customer_orders!F:F)</f>
        <v>2026-03</v>
      </c>
      <c r="I137" t="str">
        <f>_xlfn.XLOOKUP(C137,products!A:A,products!B:B)</f>
        <v>SKU-0015</v>
      </c>
      <c r="J137" t="str">
        <f>_xlfn.XLOOKUP(B137,customer_orders!A:A,customer_orders!G:G)</f>
        <v>2026-w12</v>
      </c>
      <c r="K137">
        <f>IFERROR(_xlfn.XLOOKUP(B137,shipments!B:B,shipments!H:H),0)</f>
        <v>42.48</v>
      </c>
      <c r="L137">
        <f t="shared" si="7"/>
        <v>0.05</v>
      </c>
      <c r="M137" t="str">
        <f>_xlfn.XLOOKUP(B137,customer_orders!A:A,customer_orders!D:D)</f>
        <v>Walmart</v>
      </c>
      <c r="N137" t="str">
        <f>_xlfn.XLOOKUP(C137,inventory!B:B,inventory!C:C)</f>
        <v>South Jordan</v>
      </c>
      <c r="O137">
        <f>IF(_xlfn.XLOOKUP(C137,products!A:A,products!E:E)="NULL",0,_xlfn.XLOOKUP(C137,products!A:A,products!E:E))</f>
        <v>159.82</v>
      </c>
      <c r="P137">
        <f t="shared" si="8"/>
        <v>633.02</v>
      </c>
      <c r="Q137" s="2" t="str">
        <f>_xlfn.XLOOKUP(I137,products!B:B,products!D:D)</f>
        <v>Pet</v>
      </c>
      <c r="S137" s="2"/>
    </row>
    <row r="138" spans="1:19">
      <c r="A138">
        <v>137</v>
      </c>
      <c r="B138">
        <v>1058</v>
      </c>
      <c r="C138">
        <v>29</v>
      </c>
      <c r="D138">
        <v>6</v>
      </c>
      <c r="E138">
        <v>33.25</v>
      </c>
      <c r="F138">
        <v>0</v>
      </c>
      <c r="G138">
        <f t="shared" si="6"/>
        <v>199.5</v>
      </c>
      <c r="H138" t="str">
        <f>_xlfn.XLOOKUP(B138,customer_orders!A:A,customer_orders!F:F)</f>
        <v>2026-03</v>
      </c>
      <c r="I138" t="str">
        <f>_xlfn.XLOOKUP(C138,products!A:A,products!B:B)</f>
        <v>SKU-0029</v>
      </c>
      <c r="J138" t="str">
        <f>_xlfn.XLOOKUP(B138,customer_orders!A:A,customer_orders!G:G)</f>
        <v>2026-w13</v>
      </c>
      <c r="K138">
        <f>IFERROR(_xlfn.XLOOKUP(B138,shipments!B:B,shipments!H:H),0)</f>
        <v>95.85</v>
      </c>
      <c r="L138">
        <f t="shared" si="7"/>
        <v>0.48</v>
      </c>
      <c r="M138" t="str">
        <f>_xlfn.XLOOKUP(B138,customer_orders!A:A,customer_orders!D:D)</f>
        <v>Amazon</v>
      </c>
      <c r="N138" t="str">
        <f>_xlfn.XLOOKUP(C138,inventory!B:B,inventory!C:C)</f>
        <v>Salt Lake City</v>
      </c>
      <c r="O138">
        <f>IF(_xlfn.XLOOKUP(C138,products!A:A,products!E:E)="NULL",0,_xlfn.XLOOKUP(C138,products!A:A,products!E:E))</f>
        <v>48.38</v>
      </c>
      <c r="P138">
        <f t="shared" si="8"/>
        <v>151.12</v>
      </c>
      <c r="Q138" s="2" t="str">
        <f>_xlfn.XLOOKUP(I138,products!B:B,products!D:D)</f>
        <v>Pet</v>
      </c>
      <c r="S138" s="2"/>
    </row>
    <row r="139" spans="1:19">
      <c r="A139">
        <v>138</v>
      </c>
      <c r="B139">
        <v>1058</v>
      </c>
      <c r="C139">
        <v>102</v>
      </c>
      <c r="D139">
        <v>2</v>
      </c>
      <c r="E139">
        <v>71.52</v>
      </c>
      <c r="F139">
        <v>0</v>
      </c>
      <c r="G139">
        <f t="shared" si="6"/>
        <v>143.04</v>
      </c>
      <c r="H139" t="str">
        <f>_xlfn.XLOOKUP(B139,customer_orders!A:A,customer_orders!F:F)</f>
        <v>2026-03</v>
      </c>
      <c r="I139" t="str">
        <f>_xlfn.XLOOKUP(C139,products!A:A,products!B:B)</f>
        <v>SKU-0102</v>
      </c>
      <c r="J139" t="str">
        <f>_xlfn.XLOOKUP(B139,customer_orders!A:A,customer_orders!G:G)</f>
        <v>2026-w13</v>
      </c>
      <c r="K139">
        <f>IFERROR(_xlfn.XLOOKUP(B139,shipments!B:B,shipments!H:H),0)</f>
        <v>95.85</v>
      </c>
      <c r="L139">
        <f t="shared" si="7"/>
        <v>0.67</v>
      </c>
      <c r="M139" t="str">
        <f>_xlfn.XLOOKUP(B139,customer_orders!A:A,customer_orders!D:D)</f>
        <v>Amazon</v>
      </c>
      <c r="N139" t="str">
        <f>_xlfn.XLOOKUP(C139,inventory!B:B,inventory!C:C)</f>
        <v>West Valley</v>
      </c>
      <c r="O139">
        <f>IF(_xlfn.XLOOKUP(C139,products!A:A,products!E:E)="NULL",0,_xlfn.XLOOKUP(C139,products!A:A,products!E:E))</f>
        <v>169.76</v>
      </c>
      <c r="P139">
        <f t="shared" si="8"/>
        <v>-26.72</v>
      </c>
      <c r="Q139" s="2" t="str">
        <f>_xlfn.XLOOKUP(I139,products!B:B,products!D:D)</f>
        <v>Office</v>
      </c>
      <c r="S139" s="2"/>
    </row>
    <row r="140" spans="1:19">
      <c r="A140">
        <v>139</v>
      </c>
      <c r="B140">
        <v>1059</v>
      </c>
      <c r="C140">
        <v>97</v>
      </c>
      <c r="D140">
        <v>5</v>
      </c>
      <c r="E140">
        <v>168.73</v>
      </c>
      <c r="F140">
        <v>0</v>
      </c>
      <c r="G140">
        <f t="shared" si="6"/>
        <v>843.65</v>
      </c>
      <c r="H140" t="str">
        <f>_xlfn.XLOOKUP(B140,customer_orders!A:A,customer_orders!F:F)</f>
        <v>2026-04</v>
      </c>
      <c r="I140" t="str">
        <f>_xlfn.XLOOKUP(C140,products!A:A,products!B:B)</f>
        <v>SKU-0097</v>
      </c>
      <c r="J140" t="str">
        <f>_xlfn.XLOOKUP(B140,customer_orders!A:A,customer_orders!G:G)</f>
        <v>2026-w14</v>
      </c>
      <c r="K140">
        <f>IFERROR(_xlfn.XLOOKUP(B140,shipments!B:B,shipments!H:H),0)</f>
        <v>73.88</v>
      </c>
      <c r="L140">
        <f t="shared" si="7"/>
        <v>0.09</v>
      </c>
      <c r="M140" t="str">
        <f>_xlfn.XLOOKUP(B140,customer_orders!A:A,customer_orders!D:D)</f>
        <v>Shopify</v>
      </c>
      <c r="N140" t="str">
        <f>_xlfn.XLOOKUP(C140,inventory!B:B,inventory!C:C)</f>
        <v>West Valley</v>
      </c>
      <c r="O140">
        <f>IF(_xlfn.XLOOKUP(C140,products!A:A,products!E:E)="NULL",0,_xlfn.XLOOKUP(C140,products!A:A,products!E:E))</f>
        <v>8.39</v>
      </c>
      <c r="P140">
        <f t="shared" si="8"/>
        <v>835.26</v>
      </c>
      <c r="Q140" s="2" t="str">
        <f>_xlfn.XLOOKUP(I140,products!B:B,products!D:D)</f>
        <v>Home</v>
      </c>
      <c r="S140" s="2"/>
    </row>
    <row r="141" spans="1:19">
      <c r="A141">
        <v>140</v>
      </c>
      <c r="B141">
        <v>1059</v>
      </c>
      <c r="C141">
        <v>33</v>
      </c>
      <c r="D141">
        <v>3</v>
      </c>
      <c r="E141">
        <v>42.63</v>
      </c>
      <c r="F141">
        <v>11.2</v>
      </c>
      <c r="G141">
        <f t="shared" si="6"/>
        <v>116.69000000000001</v>
      </c>
      <c r="H141" t="str">
        <f>_xlfn.XLOOKUP(B141,customer_orders!A:A,customer_orders!F:F)</f>
        <v>2026-04</v>
      </c>
      <c r="I141" t="str">
        <f>_xlfn.XLOOKUP(C141,products!A:A,products!B:B)</f>
        <v>SKU-0033</v>
      </c>
      <c r="J141" t="str">
        <f>_xlfn.XLOOKUP(B141,customer_orders!A:A,customer_orders!G:G)</f>
        <v>2026-w14</v>
      </c>
      <c r="K141">
        <f>IFERROR(_xlfn.XLOOKUP(B141,shipments!B:B,shipments!H:H),0)</f>
        <v>73.88</v>
      </c>
      <c r="L141">
        <f t="shared" si="7"/>
        <v>0.63</v>
      </c>
      <c r="M141" t="str">
        <f>_xlfn.XLOOKUP(B141,customer_orders!A:A,customer_orders!D:D)</f>
        <v>Shopify</v>
      </c>
      <c r="N141" t="str">
        <f>_xlfn.XLOOKUP(C141,inventory!B:B,inventory!C:C)</f>
        <v>South Jordan</v>
      </c>
      <c r="O141">
        <f>IF(_xlfn.XLOOKUP(C141,products!A:A,products!E:E)="NULL",0,_xlfn.XLOOKUP(C141,products!A:A,products!E:E))</f>
        <v>38.32</v>
      </c>
      <c r="P141">
        <f t="shared" si="8"/>
        <v>78.37</v>
      </c>
      <c r="Q141" s="2" t="str">
        <f>_xlfn.XLOOKUP(I141,products!B:B,products!D:D)</f>
        <v>Pet</v>
      </c>
      <c r="S141" s="2"/>
    </row>
    <row r="142" spans="1:19">
      <c r="A142">
        <v>141</v>
      </c>
      <c r="B142">
        <v>1060</v>
      </c>
      <c r="C142">
        <v>61</v>
      </c>
      <c r="D142">
        <v>6</v>
      </c>
      <c r="E142">
        <v>293.22000000000003</v>
      </c>
      <c r="F142">
        <v>0</v>
      </c>
      <c r="G142">
        <f t="shared" si="6"/>
        <v>1759.3200000000002</v>
      </c>
      <c r="H142" t="str">
        <f>_xlfn.XLOOKUP(B142,customer_orders!A:A,customer_orders!F:F)</f>
        <v>2026-01</v>
      </c>
      <c r="I142" t="str">
        <f>_xlfn.XLOOKUP(C142,products!A:A,products!B:B)</f>
        <v>SKU-0061</v>
      </c>
      <c r="J142" t="str">
        <f>_xlfn.XLOOKUP(B142,customer_orders!A:A,customer_orders!G:G)</f>
        <v>2026-w05</v>
      </c>
      <c r="K142">
        <f>IFERROR(_xlfn.XLOOKUP(B142,shipments!B:B,shipments!H:H),0)</f>
        <v>55.81</v>
      </c>
      <c r="L142">
        <f t="shared" si="7"/>
        <v>0.03</v>
      </c>
      <c r="M142" t="str">
        <f>_xlfn.XLOOKUP(B142,customer_orders!A:A,customer_orders!D:D)</f>
        <v>Shopify</v>
      </c>
      <c r="N142" t="str">
        <f>_xlfn.XLOOKUP(C142,inventory!B:B,inventory!C:C)</f>
        <v>South Jordan</v>
      </c>
      <c r="O142">
        <f>IF(_xlfn.XLOOKUP(C142,products!A:A,products!E:E)="NULL",0,_xlfn.XLOOKUP(C142,products!A:A,products!E:E))</f>
        <v>156.31</v>
      </c>
      <c r="P142">
        <f t="shared" si="8"/>
        <v>1603.0100000000002</v>
      </c>
      <c r="Q142" s="2" t="str">
        <f>_xlfn.XLOOKUP(I142,products!B:B,products!D:D)</f>
        <v>Toys</v>
      </c>
      <c r="S142" s="2"/>
    </row>
    <row r="143" spans="1:19">
      <c r="A143">
        <v>142</v>
      </c>
      <c r="B143">
        <v>1061</v>
      </c>
      <c r="C143">
        <v>99</v>
      </c>
      <c r="D143">
        <v>8</v>
      </c>
      <c r="E143">
        <v>50.97</v>
      </c>
      <c r="F143">
        <v>0</v>
      </c>
      <c r="G143">
        <f t="shared" si="6"/>
        <v>407.76</v>
      </c>
      <c r="H143" t="str">
        <f>_xlfn.XLOOKUP(B143,customer_orders!A:A,customer_orders!F:F)</f>
        <v>2026-03</v>
      </c>
      <c r="I143" t="str">
        <f>_xlfn.XLOOKUP(C143,products!A:A,products!B:B)</f>
        <v>SKU-0099</v>
      </c>
      <c r="J143" t="str">
        <f>_xlfn.XLOOKUP(B143,customer_orders!A:A,customer_orders!G:G)</f>
        <v>2026-w10</v>
      </c>
      <c r="K143">
        <f>IFERROR(_xlfn.XLOOKUP(B143,shipments!B:B,shipments!H:H),0)</f>
        <v>44.74</v>
      </c>
      <c r="L143">
        <f t="shared" si="7"/>
        <v>0.11</v>
      </c>
      <c r="M143" t="str">
        <f>_xlfn.XLOOKUP(B143,customer_orders!A:A,customer_orders!D:D)</f>
        <v>Shopify</v>
      </c>
      <c r="N143" t="str">
        <f>_xlfn.XLOOKUP(C143,inventory!B:B,inventory!C:C)</f>
        <v>Lehi</v>
      </c>
      <c r="O143">
        <f>IF(_xlfn.XLOOKUP(C143,products!A:A,products!E:E)="NULL",0,_xlfn.XLOOKUP(C143,products!A:A,products!E:E))</f>
        <v>31.67</v>
      </c>
      <c r="P143">
        <f t="shared" si="8"/>
        <v>376.09</v>
      </c>
      <c r="Q143" s="2" t="str">
        <f>_xlfn.XLOOKUP(I143,products!B:B,products!D:D)</f>
        <v>Electronics</v>
      </c>
      <c r="S143" s="2"/>
    </row>
    <row r="144" spans="1:19">
      <c r="A144">
        <v>143</v>
      </c>
      <c r="B144">
        <v>1062</v>
      </c>
      <c r="C144">
        <v>82</v>
      </c>
      <c r="D144">
        <v>5</v>
      </c>
      <c r="E144">
        <v>243.4</v>
      </c>
      <c r="F144">
        <v>0</v>
      </c>
      <c r="G144">
        <f t="shared" si="6"/>
        <v>1217</v>
      </c>
      <c r="H144" t="str">
        <f>_xlfn.XLOOKUP(B144,customer_orders!A:A,customer_orders!F:F)</f>
        <v>2026-04</v>
      </c>
      <c r="I144" t="str">
        <f>_xlfn.XLOOKUP(C144,products!A:A,products!B:B)</f>
        <v>SKU-0082</v>
      </c>
      <c r="J144" t="str">
        <f>_xlfn.XLOOKUP(B144,customer_orders!A:A,customer_orders!G:G)</f>
        <v>2026-w18</v>
      </c>
      <c r="K144">
        <f>IFERROR(_xlfn.XLOOKUP(B144,shipments!B:B,shipments!H:H),0)</f>
        <v>22.66</v>
      </c>
      <c r="L144">
        <f t="shared" si="7"/>
        <v>0.02</v>
      </c>
      <c r="M144" t="str">
        <f>_xlfn.XLOOKUP(B144,customer_orders!A:A,customer_orders!D:D)</f>
        <v>Amazon</v>
      </c>
      <c r="N144" t="str">
        <f>_xlfn.XLOOKUP(C144,inventory!B:B,inventory!C:C)</f>
        <v>Unknown</v>
      </c>
      <c r="O144">
        <f>IF(_xlfn.XLOOKUP(C144,products!A:A,products!E:E)="NULL",0,_xlfn.XLOOKUP(C144,products!A:A,products!E:E))</f>
        <v>84.88</v>
      </c>
      <c r="P144">
        <f t="shared" si="8"/>
        <v>1132.1199999999999</v>
      </c>
      <c r="Q144" s="2" t="str">
        <f>_xlfn.XLOOKUP(I144,products!B:B,products!D:D)</f>
        <v>Beauty</v>
      </c>
      <c r="S144" s="2"/>
    </row>
    <row r="145" spans="1:19">
      <c r="A145">
        <v>144</v>
      </c>
      <c r="B145">
        <v>1063</v>
      </c>
      <c r="C145">
        <v>112</v>
      </c>
      <c r="D145">
        <v>3</v>
      </c>
      <c r="E145">
        <v>154.88</v>
      </c>
      <c r="F145">
        <v>0</v>
      </c>
      <c r="G145">
        <f t="shared" si="6"/>
        <v>464.64</v>
      </c>
      <c r="H145" t="str">
        <f>_xlfn.XLOOKUP(B145,customer_orders!A:A,customer_orders!F:F)</f>
        <v>2026-05</v>
      </c>
      <c r="I145" t="str">
        <f>_xlfn.XLOOKUP(C145,products!A:A,products!B:B)</f>
        <v>SKU-0112</v>
      </c>
      <c r="J145" t="str">
        <f>_xlfn.XLOOKUP(B145,customer_orders!A:A,customer_orders!G:G)</f>
        <v>2026-w19</v>
      </c>
      <c r="K145">
        <f>IFERROR(_xlfn.XLOOKUP(B145,shipments!B:B,shipments!H:H),0)</f>
        <v>31.56</v>
      </c>
      <c r="L145">
        <f t="shared" si="7"/>
        <v>7.0000000000000007E-2</v>
      </c>
      <c r="M145" t="str">
        <f>_xlfn.XLOOKUP(B145,customer_orders!A:A,customer_orders!D:D)</f>
        <v>Amazon</v>
      </c>
      <c r="N145" t="str">
        <f>_xlfn.XLOOKUP(C145,inventory!B:B,inventory!C:C)</f>
        <v>South Jordan</v>
      </c>
      <c r="O145">
        <f>IF(_xlfn.XLOOKUP(C145,products!A:A,products!E:E)="NULL",0,_xlfn.XLOOKUP(C145,products!A:A,products!E:E))</f>
        <v>118.03</v>
      </c>
      <c r="P145">
        <f t="shared" si="8"/>
        <v>346.61</v>
      </c>
      <c r="Q145" s="2" t="str">
        <f>_xlfn.XLOOKUP(I145,products!B:B,products!D:D)</f>
        <v>Beauty</v>
      </c>
      <c r="S145" s="2"/>
    </row>
    <row r="146" spans="1:19">
      <c r="A146">
        <v>145</v>
      </c>
      <c r="B146">
        <v>1063</v>
      </c>
      <c r="C146">
        <v>53</v>
      </c>
      <c r="D146">
        <v>4</v>
      </c>
      <c r="E146">
        <v>73.03</v>
      </c>
      <c r="F146">
        <v>0</v>
      </c>
      <c r="G146">
        <f t="shared" si="6"/>
        <v>292.12</v>
      </c>
      <c r="H146" t="str">
        <f>_xlfn.XLOOKUP(B146,customer_orders!A:A,customer_orders!F:F)</f>
        <v>2026-05</v>
      </c>
      <c r="I146" t="str">
        <f>_xlfn.XLOOKUP(C146,products!A:A,products!B:B)</f>
        <v>SKU-0053</v>
      </c>
      <c r="J146" t="str">
        <f>_xlfn.XLOOKUP(B146,customer_orders!A:A,customer_orders!G:G)</f>
        <v>2026-w19</v>
      </c>
      <c r="K146">
        <f>IFERROR(_xlfn.XLOOKUP(B146,shipments!B:B,shipments!H:H),0)</f>
        <v>31.56</v>
      </c>
      <c r="L146">
        <f t="shared" si="7"/>
        <v>0.11</v>
      </c>
      <c r="M146" t="str">
        <f>_xlfn.XLOOKUP(B146,customer_orders!A:A,customer_orders!D:D)</f>
        <v>Amazon</v>
      </c>
      <c r="N146" t="str">
        <f>_xlfn.XLOOKUP(C146,inventory!B:B,inventory!C:C)</f>
        <v>Unknown</v>
      </c>
      <c r="O146">
        <f>IF(_xlfn.XLOOKUP(C146,products!A:A,products!E:E)="NULL",0,_xlfn.XLOOKUP(C146,products!A:A,products!E:E))</f>
        <v>0</v>
      </c>
      <c r="P146">
        <f t="shared" si="8"/>
        <v>292.12</v>
      </c>
      <c r="Q146" s="2" t="str">
        <f>_xlfn.XLOOKUP(I146,products!B:B,products!D:D)</f>
        <v>Beauty</v>
      </c>
      <c r="S146" s="2"/>
    </row>
    <row r="147" spans="1:19">
      <c r="A147">
        <v>146</v>
      </c>
      <c r="B147">
        <v>1064</v>
      </c>
      <c r="C147">
        <v>76</v>
      </c>
      <c r="D147">
        <v>8</v>
      </c>
      <c r="E147">
        <v>160.68</v>
      </c>
      <c r="F147">
        <v>0</v>
      </c>
      <c r="G147">
        <f t="shared" si="6"/>
        <v>1285.44</v>
      </c>
      <c r="H147" t="str">
        <f>_xlfn.XLOOKUP(B147,customer_orders!A:A,customer_orders!F:F)</f>
        <v>2026-01</v>
      </c>
      <c r="I147" t="str">
        <f>_xlfn.XLOOKUP(C147,products!A:A,products!B:B)</f>
        <v>SKU-0076</v>
      </c>
      <c r="J147" t="str">
        <f>_xlfn.XLOOKUP(B147,customer_orders!A:A,customer_orders!G:G)</f>
        <v>2026-w03</v>
      </c>
      <c r="K147">
        <f>IFERROR(_xlfn.XLOOKUP(B147,shipments!B:B,shipments!H:H),0)</f>
        <v>0</v>
      </c>
      <c r="L147">
        <f t="shared" si="7"/>
        <v>0</v>
      </c>
      <c r="M147" t="str">
        <f>_xlfn.XLOOKUP(B147,customer_orders!A:A,customer_orders!D:D)</f>
        <v>Amazon</v>
      </c>
      <c r="N147" t="str">
        <f>_xlfn.XLOOKUP(C147,inventory!B:B,inventory!C:C)</f>
        <v>South Jordan</v>
      </c>
      <c r="O147">
        <f>IF(_xlfn.XLOOKUP(C147,products!A:A,products!E:E)="NULL",0,_xlfn.XLOOKUP(C147,products!A:A,products!E:E))</f>
        <v>123.23</v>
      </c>
      <c r="P147">
        <f t="shared" si="8"/>
        <v>1162.21</v>
      </c>
      <c r="Q147" s="2" t="str">
        <f>_xlfn.XLOOKUP(I147,products!B:B,products!D:D)</f>
        <v>Pet</v>
      </c>
      <c r="S147" s="2"/>
    </row>
    <row r="148" spans="1:19">
      <c r="A148">
        <v>147</v>
      </c>
      <c r="B148">
        <v>1065</v>
      </c>
      <c r="C148">
        <v>102</v>
      </c>
      <c r="D148">
        <v>8</v>
      </c>
      <c r="E148">
        <v>71.52</v>
      </c>
      <c r="F148">
        <v>0</v>
      </c>
      <c r="G148">
        <f t="shared" si="6"/>
        <v>572.16</v>
      </c>
      <c r="H148" t="str">
        <f>_xlfn.XLOOKUP(B148,customer_orders!A:A,customer_orders!F:F)</f>
        <v>2026-03</v>
      </c>
      <c r="I148" t="str">
        <f>_xlfn.XLOOKUP(C148,products!A:A,products!B:B)</f>
        <v>SKU-0102</v>
      </c>
      <c r="J148" t="str">
        <f>_xlfn.XLOOKUP(B148,customer_orders!A:A,customer_orders!G:G)</f>
        <v>2026-w12</v>
      </c>
      <c r="K148">
        <f>IFERROR(_xlfn.XLOOKUP(B148,shipments!B:B,shipments!H:H),0)</f>
        <v>30.24</v>
      </c>
      <c r="L148">
        <f t="shared" si="7"/>
        <v>0.05</v>
      </c>
      <c r="M148" t="str">
        <f>_xlfn.XLOOKUP(B148,customer_orders!A:A,customer_orders!D:D)</f>
        <v>Walmart</v>
      </c>
      <c r="N148" t="str">
        <f>_xlfn.XLOOKUP(C148,inventory!B:B,inventory!C:C)</f>
        <v>West Valley</v>
      </c>
      <c r="O148">
        <f>IF(_xlfn.XLOOKUP(C148,products!A:A,products!E:E)="NULL",0,_xlfn.XLOOKUP(C148,products!A:A,products!E:E))</f>
        <v>169.76</v>
      </c>
      <c r="P148">
        <f t="shared" si="8"/>
        <v>402.4</v>
      </c>
      <c r="Q148" s="2" t="str">
        <f>_xlfn.XLOOKUP(I148,products!B:B,products!D:D)</f>
        <v>Office</v>
      </c>
      <c r="S148" s="2"/>
    </row>
    <row r="149" spans="1:19">
      <c r="A149">
        <v>148</v>
      </c>
      <c r="B149">
        <v>1065</v>
      </c>
      <c r="C149">
        <v>24</v>
      </c>
      <c r="D149">
        <v>7</v>
      </c>
      <c r="E149">
        <v>20.55</v>
      </c>
      <c r="F149">
        <v>3.59</v>
      </c>
      <c r="G149">
        <f t="shared" si="6"/>
        <v>140.26</v>
      </c>
      <c r="H149" t="str">
        <f>_xlfn.XLOOKUP(B149,customer_orders!A:A,customer_orders!F:F)</f>
        <v>2026-03</v>
      </c>
      <c r="I149" t="str">
        <f>_xlfn.XLOOKUP(C149,products!A:A,products!B:B)</f>
        <v>SKU-0024</v>
      </c>
      <c r="J149" t="str">
        <f>_xlfn.XLOOKUP(B149,customer_orders!A:A,customer_orders!G:G)</f>
        <v>2026-w12</v>
      </c>
      <c r="K149">
        <f>IFERROR(_xlfn.XLOOKUP(B149,shipments!B:B,shipments!H:H),0)</f>
        <v>30.24</v>
      </c>
      <c r="L149">
        <f t="shared" si="7"/>
        <v>0.22</v>
      </c>
      <c r="M149" t="str">
        <f>_xlfn.XLOOKUP(B149,customer_orders!A:A,customer_orders!D:D)</f>
        <v>Walmart</v>
      </c>
      <c r="N149" t="str">
        <f>_xlfn.XLOOKUP(C149,inventory!B:B,inventory!C:C)</f>
        <v>Draper</v>
      </c>
      <c r="O149">
        <f>IF(_xlfn.XLOOKUP(C149,products!A:A,products!E:E)="NULL",0,_xlfn.XLOOKUP(C149,products!A:A,products!E:E))</f>
        <v>61.73</v>
      </c>
      <c r="P149">
        <f t="shared" si="8"/>
        <v>78.53</v>
      </c>
      <c r="Q149" s="2" t="str">
        <f>_xlfn.XLOOKUP(I149,products!B:B,products!D:D)</f>
        <v>Electronics</v>
      </c>
      <c r="S149" s="2"/>
    </row>
    <row r="150" spans="1:19">
      <c r="A150">
        <v>149</v>
      </c>
      <c r="B150">
        <v>1065</v>
      </c>
      <c r="C150">
        <v>95</v>
      </c>
      <c r="D150">
        <v>3</v>
      </c>
      <c r="E150">
        <v>75.319999999999993</v>
      </c>
      <c r="F150">
        <v>0</v>
      </c>
      <c r="G150">
        <f t="shared" si="6"/>
        <v>225.95999999999998</v>
      </c>
      <c r="H150" t="str">
        <f>_xlfn.XLOOKUP(B150,customer_orders!A:A,customer_orders!F:F)</f>
        <v>2026-03</v>
      </c>
      <c r="I150" t="str">
        <f>_xlfn.XLOOKUP(C150,products!A:A,products!B:B)</f>
        <v>SKU-0095</v>
      </c>
      <c r="J150" t="str">
        <f>_xlfn.XLOOKUP(B150,customer_orders!A:A,customer_orders!G:G)</f>
        <v>2026-w12</v>
      </c>
      <c r="K150">
        <f>IFERROR(_xlfn.XLOOKUP(B150,shipments!B:B,shipments!H:H),0)</f>
        <v>30.24</v>
      </c>
      <c r="L150">
        <f t="shared" si="7"/>
        <v>0.13</v>
      </c>
      <c r="M150" t="str">
        <f>_xlfn.XLOOKUP(B150,customer_orders!A:A,customer_orders!D:D)</f>
        <v>Walmart</v>
      </c>
      <c r="N150" t="str">
        <f>_xlfn.XLOOKUP(C150,inventory!B:B,inventory!C:C)</f>
        <v>Draper</v>
      </c>
      <c r="O150">
        <f>IF(_xlfn.XLOOKUP(C150,products!A:A,products!E:E)="NULL",0,_xlfn.XLOOKUP(C150,products!A:A,products!E:E))</f>
        <v>71.34</v>
      </c>
      <c r="P150">
        <f t="shared" si="8"/>
        <v>154.61999999999998</v>
      </c>
      <c r="Q150" s="2" t="str">
        <f>_xlfn.XLOOKUP(I150,products!B:B,products!D:D)</f>
        <v>Electronics</v>
      </c>
      <c r="S150" s="2"/>
    </row>
    <row r="151" spans="1:19">
      <c r="A151">
        <v>150</v>
      </c>
      <c r="B151">
        <v>1066</v>
      </c>
      <c r="C151">
        <v>59</v>
      </c>
      <c r="D151">
        <v>1</v>
      </c>
      <c r="E151">
        <v>213.38</v>
      </c>
      <c r="F151">
        <v>12.46</v>
      </c>
      <c r="G151">
        <f t="shared" si="6"/>
        <v>200.92</v>
      </c>
      <c r="H151" t="str">
        <f>_xlfn.XLOOKUP(B151,customer_orders!A:A,customer_orders!F:F)</f>
        <v>2026-01</v>
      </c>
      <c r="I151" t="str">
        <f>_xlfn.XLOOKUP(C151,products!A:A,products!B:B)</f>
        <v>SKU-0059</v>
      </c>
      <c r="J151" t="str">
        <f>_xlfn.XLOOKUP(B151,customer_orders!A:A,customer_orders!G:G)</f>
        <v>2026-w04</v>
      </c>
      <c r="K151">
        <f>IFERROR(_xlfn.XLOOKUP(B151,shipments!B:B,shipments!H:H),0)</f>
        <v>97.78</v>
      </c>
      <c r="L151">
        <f t="shared" si="7"/>
        <v>0.49</v>
      </c>
      <c r="M151" t="str">
        <f>_xlfn.XLOOKUP(B151,customer_orders!A:A,customer_orders!D:D)</f>
        <v>Ebay</v>
      </c>
      <c r="N151" t="str">
        <f>_xlfn.XLOOKUP(C151,inventory!B:B,inventory!C:C)</f>
        <v>Unknown</v>
      </c>
      <c r="O151">
        <f>IF(_xlfn.XLOOKUP(C151,products!A:A,products!E:E)="NULL",0,_xlfn.XLOOKUP(C151,products!A:A,products!E:E))</f>
        <v>162.32</v>
      </c>
      <c r="P151">
        <f t="shared" si="8"/>
        <v>38.599999999999994</v>
      </c>
      <c r="Q151" s="2" t="str">
        <f>_xlfn.XLOOKUP(I151,products!B:B,products!D:D)</f>
        <v>Sports</v>
      </c>
      <c r="S151" s="2"/>
    </row>
    <row r="152" spans="1:19">
      <c r="A152">
        <v>151</v>
      </c>
      <c r="B152">
        <v>1066</v>
      </c>
      <c r="C152">
        <v>138</v>
      </c>
      <c r="D152">
        <v>8</v>
      </c>
      <c r="E152">
        <v>106.5</v>
      </c>
      <c r="F152">
        <v>0</v>
      </c>
      <c r="G152">
        <f t="shared" si="6"/>
        <v>852</v>
      </c>
      <c r="H152" t="str">
        <f>_xlfn.XLOOKUP(B152,customer_orders!A:A,customer_orders!F:F)</f>
        <v>2026-01</v>
      </c>
      <c r="I152" t="str">
        <f>_xlfn.XLOOKUP(C152,products!A:A,products!B:B)</f>
        <v>SKU-0138</v>
      </c>
      <c r="J152" t="str">
        <f>_xlfn.XLOOKUP(B152,customer_orders!A:A,customer_orders!G:G)</f>
        <v>2026-w04</v>
      </c>
      <c r="K152">
        <f>IFERROR(_xlfn.XLOOKUP(B152,shipments!B:B,shipments!H:H),0)</f>
        <v>97.78</v>
      </c>
      <c r="L152">
        <f t="shared" si="7"/>
        <v>0.11</v>
      </c>
      <c r="M152" t="str">
        <f>_xlfn.XLOOKUP(B152,customer_orders!A:A,customer_orders!D:D)</f>
        <v>Ebay</v>
      </c>
      <c r="N152" t="str">
        <f>_xlfn.XLOOKUP(C152,inventory!B:B,inventory!C:C)</f>
        <v>South Jordan</v>
      </c>
      <c r="O152">
        <f>IF(_xlfn.XLOOKUP(C152,products!A:A,products!E:E)="NULL",0,_xlfn.XLOOKUP(C152,products!A:A,products!E:E))</f>
        <v>76.459999999999994</v>
      </c>
      <c r="P152">
        <f t="shared" si="8"/>
        <v>775.54</v>
      </c>
      <c r="Q152" s="2" t="str">
        <f>_xlfn.XLOOKUP(I152,products!B:B,products!D:D)</f>
        <v>Pet</v>
      </c>
    </row>
    <row r="153" spans="1:19">
      <c r="A153">
        <v>152</v>
      </c>
      <c r="B153">
        <v>1066</v>
      </c>
      <c r="C153">
        <v>122</v>
      </c>
      <c r="D153">
        <v>5</v>
      </c>
      <c r="E153">
        <v>151.15</v>
      </c>
      <c r="F153">
        <v>0</v>
      </c>
      <c r="G153">
        <f t="shared" si="6"/>
        <v>755.75</v>
      </c>
      <c r="H153" t="str">
        <f>_xlfn.XLOOKUP(B153,customer_orders!A:A,customer_orders!F:F)</f>
        <v>2026-01</v>
      </c>
      <c r="I153" t="str">
        <f>_xlfn.XLOOKUP(C153,products!A:A,products!B:B)</f>
        <v>SKU-0122</v>
      </c>
      <c r="J153" t="str">
        <f>_xlfn.XLOOKUP(B153,customer_orders!A:A,customer_orders!G:G)</f>
        <v>2026-w04</v>
      </c>
      <c r="K153">
        <f>IFERROR(_xlfn.XLOOKUP(B153,shipments!B:B,shipments!H:H),0)</f>
        <v>97.78</v>
      </c>
      <c r="L153">
        <f t="shared" si="7"/>
        <v>0.13</v>
      </c>
      <c r="M153" t="str">
        <f>_xlfn.XLOOKUP(B153,customer_orders!A:A,customer_orders!D:D)</f>
        <v>Ebay</v>
      </c>
      <c r="N153" t="str">
        <f>_xlfn.XLOOKUP(C153,inventory!B:B,inventory!C:C)</f>
        <v>South Jordan</v>
      </c>
      <c r="O153">
        <f>IF(_xlfn.XLOOKUP(C153,products!A:A,products!E:E)="NULL",0,_xlfn.XLOOKUP(C153,products!A:A,products!E:E))</f>
        <v>169.69</v>
      </c>
      <c r="P153">
        <f t="shared" si="8"/>
        <v>586.05999999999995</v>
      </c>
      <c r="Q153" s="2" t="str">
        <f>_xlfn.XLOOKUP(I153,products!B:B,products!D:D)</f>
        <v>Electronics</v>
      </c>
    </row>
    <row r="154" spans="1:19">
      <c r="A154">
        <v>153</v>
      </c>
      <c r="B154">
        <v>1066</v>
      </c>
      <c r="C154">
        <v>129</v>
      </c>
      <c r="D154">
        <v>3</v>
      </c>
      <c r="E154">
        <v>95.57</v>
      </c>
      <c r="F154">
        <v>2.68</v>
      </c>
      <c r="G154">
        <f t="shared" si="6"/>
        <v>284.02999999999997</v>
      </c>
      <c r="H154" t="str">
        <f>_xlfn.XLOOKUP(B154,customer_orders!A:A,customer_orders!F:F)</f>
        <v>2026-01</v>
      </c>
      <c r="I154" t="str">
        <f>_xlfn.XLOOKUP(C154,products!A:A,products!B:B)</f>
        <v>SKU-0129</v>
      </c>
      <c r="J154" t="str">
        <f>_xlfn.XLOOKUP(B154,customer_orders!A:A,customer_orders!G:G)</f>
        <v>2026-w04</v>
      </c>
      <c r="K154">
        <f>IFERROR(_xlfn.XLOOKUP(B154,shipments!B:B,shipments!H:H),0)</f>
        <v>97.78</v>
      </c>
      <c r="L154">
        <f t="shared" si="7"/>
        <v>0.34</v>
      </c>
      <c r="M154" t="str">
        <f>_xlfn.XLOOKUP(B154,customer_orders!A:A,customer_orders!D:D)</f>
        <v>Ebay</v>
      </c>
      <c r="N154" t="str">
        <f>_xlfn.XLOOKUP(C154,inventory!B:B,inventory!C:C)</f>
        <v>South Jordan</v>
      </c>
      <c r="O154">
        <f>IF(_xlfn.XLOOKUP(C154,products!A:A,products!E:E)="NULL",0,_xlfn.XLOOKUP(C154,products!A:A,products!E:E))</f>
        <v>55.42</v>
      </c>
      <c r="P154">
        <f t="shared" si="8"/>
        <v>228.60999999999996</v>
      </c>
      <c r="Q154" s="2" t="str">
        <f>_xlfn.XLOOKUP(I154,products!B:B,products!D:D)</f>
        <v>Electronics</v>
      </c>
    </row>
    <row r="155" spans="1:19">
      <c r="A155">
        <v>154</v>
      </c>
      <c r="B155">
        <v>1067</v>
      </c>
      <c r="C155">
        <v>82</v>
      </c>
      <c r="D155">
        <v>2</v>
      </c>
      <c r="E155">
        <v>243.4</v>
      </c>
      <c r="F155">
        <v>2.2200000000000002</v>
      </c>
      <c r="G155">
        <f t="shared" si="6"/>
        <v>484.58</v>
      </c>
      <c r="H155" t="str">
        <f>_xlfn.XLOOKUP(B155,customer_orders!A:A,customer_orders!F:F)</f>
        <v>2026-02</v>
      </c>
      <c r="I155" t="str">
        <f>_xlfn.XLOOKUP(C155,products!A:A,products!B:B)</f>
        <v>SKU-0082</v>
      </c>
      <c r="J155" t="str">
        <f>_xlfn.XLOOKUP(B155,customer_orders!A:A,customer_orders!G:G)</f>
        <v>2026-w08</v>
      </c>
      <c r="K155">
        <f>IFERROR(_xlfn.XLOOKUP(B155,shipments!B:B,shipments!H:H),0)</f>
        <v>71.59</v>
      </c>
      <c r="L155">
        <f t="shared" si="7"/>
        <v>0.15</v>
      </c>
      <c r="M155" t="str">
        <f>_xlfn.XLOOKUP(B155,customer_orders!A:A,customer_orders!D:D)</f>
        <v>Shopify</v>
      </c>
      <c r="N155" t="str">
        <f>_xlfn.XLOOKUP(C155,inventory!B:B,inventory!C:C)</f>
        <v>Unknown</v>
      </c>
      <c r="O155">
        <f>IF(_xlfn.XLOOKUP(C155,products!A:A,products!E:E)="NULL",0,_xlfn.XLOOKUP(C155,products!A:A,products!E:E))</f>
        <v>84.88</v>
      </c>
      <c r="P155">
        <f t="shared" si="8"/>
        <v>399.7</v>
      </c>
      <c r="Q155" s="2" t="str">
        <f>_xlfn.XLOOKUP(I155,products!B:B,products!D:D)</f>
        <v>Beauty</v>
      </c>
    </row>
    <row r="156" spans="1:19">
      <c r="A156">
        <v>155</v>
      </c>
      <c r="B156">
        <v>1067</v>
      </c>
      <c r="C156">
        <v>142</v>
      </c>
      <c r="D156">
        <v>6</v>
      </c>
      <c r="E156">
        <v>192.45</v>
      </c>
      <c r="F156">
        <v>12.99</v>
      </c>
      <c r="G156">
        <f t="shared" si="6"/>
        <v>1141.7099999999998</v>
      </c>
      <c r="H156" t="str">
        <f>_xlfn.XLOOKUP(B156,customer_orders!A:A,customer_orders!F:F)</f>
        <v>2026-02</v>
      </c>
      <c r="I156" t="str">
        <f>_xlfn.XLOOKUP(C156,products!A:A,products!B:B)</f>
        <v>SKU-0142</v>
      </c>
      <c r="J156" t="str">
        <f>_xlfn.XLOOKUP(B156,customer_orders!A:A,customer_orders!G:G)</f>
        <v>2026-w08</v>
      </c>
      <c r="K156">
        <f>IFERROR(_xlfn.XLOOKUP(B156,shipments!B:B,shipments!H:H),0)</f>
        <v>71.59</v>
      </c>
      <c r="L156">
        <f t="shared" si="7"/>
        <v>0.06</v>
      </c>
      <c r="M156" t="str">
        <f>_xlfn.XLOOKUP(B156,customer_orders!A:A,customer_orders!D:D)</f>
        <v>Shopify</v>
      </c>
      <c r="N156" t="str">
        <f>_xlfn.XLOOKUP(C156,inventory!B:B,inventory!C:C)</f>
        <v>Lehi</v>
      </c>
      <c r="O156">
        <f>IF(_xlfn.XLOOKUP(C156,products!A:A,products!E:E)="NULL",0,_xlfn.XLOOKUP(C156,products!A:A,products!E:E))</f>
        <v>95.73</v>
      </c>
      <c r="P156">
        <f t="shared" si="8"/>
        <v>1045.9799999999998</v>
      </c>
      <c r="Q156" s="2" t="str">
        <f>_xlfn.XLOOKUP(I156,products!B:B,products!D:D)</f>
        <v>Electronics</v>
      </c>
    </row>
    <row r="157" spans="1:19">
      <c r="A157">
        <v>156</v>
      </c>
      <c r="B157">
        <v>1067</v>
      </c>
      <c r="C157">
        <v>4</v>
      </c>
      <c r="D157">
        <v>7</v>
      </c>
      <c r="E157">
        <v>94.28</v>
      </c>
      <c r="F157">
        <v>0</v>
      </c>
      <c r="G157">
        <f t="shared" si="6"/>
        <v>659.96</v>
      </c>
      <c r="H157" t="str">
        <f>_xlfn.XLOOKUP(B157,customer_orders!A:A,customer_orders!F:F)</f>
        <v>2026-02</v>
      </c>
      <c r="I157" t="str">
        <f>_xlfn.XLOOKUP(C157,products!A:A,products!B:B)</f>
        <v>SKU-0004</v>
      </c>
      <c r="J157" t="str">
        <f>_xlfn.XLOOKUP(B157,customer_orders!A:A,customer_orders!G:G)</f>
        <v>2026-w08</v>
      </c>
      <c r="K157">
        <f>IFERROR(_xlfn.XLOOKUP(B157,shipments!B:B,shipments!H:H),0)</f>
        <v>71.59</v>
      </c>
      <c r="L157">
        <f t="shared" si="7"/>
        <v>0.11</v>
      </c>
      <c r="M157" t="str">
        <f>_xlfn.XLOOKUP(B157,customer_orders!A:A,customer_orders!D:D)</f>
        <v>Shopify</v>
      </c>
      <c r="N157" t="str">
        <f>_xlfn.XLOOKUP(C157,inventory!B:B,inventory!C:C)</f>
        <v>Draper</v>
      </c>
      <c r="O157">
        <f>IF(_xlfn.XLOOKUP(C157,products!A:A,products!E:E)="NULL",0,_xlfn.XLOOKUP(C157,products!A:A,products!E:E))</f>
        <v>83.61</v>
      </c>
      <c r="P157">
        <f t="shared" si="8"/>
        <v>576.35</v>
      </c>
      <c r="Q157" s="2" t="str">
        <f>_xlfn.XLOOKUP(I157,products!B:B,products!D:D)</f>
        <v>Office</v>
      </c>
    </row>
    <row r="158" spans="1:19">
      <c r="A158">
        <v>157</v>
      </c>
      <c r="B158">
        <v>1068</v>
      </c>
      <c r="C158">
        <v>68</v>
      </c>
      <c r="D158">
        <v>7</v>
      </c>
      <c r="E158">
        <v>138.85</v>
      </c>
      <c r="F158">
        <v>10.17</v>
      </c>
      <c r="G158">
        <f t="shared" si="6"/>
        <v>961.78</v>
      </c>
      <c r="H158" t="str">
        <f>_xlfn.XLOOKUP(B158,customer_orders!A:A,customer_orders!F:F)</f>
        <v>2026-01</v>
      </c>
      <c r="I158" t="str">
        <f>_xlfn.XLOOKUP(C158,products!A:A,products!B:B)</f>
        <v>SKU-0068</v>
      </c>
      <c r="J158" t="str">
        <f>_xlfn.XLOOKUP(B158,customer_orders!A:A,customer_orders!G:G)</f>
        <v>2026-w05</v>
      </c>
      <c r="K158">
        <f>IFERROR(_xlfn.XLOOKUP(B158,shipments!B:B,shipments!H:H),0)</f>
        <v>0</v>
      </c>
      <c r="L158">
        <f t="shared" si="7"/>
        <v>0</v>
      </c>
      <c r="M158" t="str">
        <f>_xlfn.XLOOKUP(B158,customer_orders!A:A,customer_orders!D:D)</f>
        <v>Amazon</v>
      </c>
      <c r="N158" t="str">
        <f>_xlfn.XLOOKUP(C158,inventory!B:B,inventory!C:C)</f>
        <v>West Valley</v>
      </c>
      <c r="O158">
        <f>IF(_xlfn.XLOOKUP(C158,products!A:A,products!E:E)="NULL",0,_xlfn.XLOOKUP(C158,products!A:A,products!E:E))</f>
        <v>23.97</v>
      </c>
      <c r="P158">
        <f t="shared" si="8"/>
        <v>937.81</v>
      </c>
      <c r="Q158" s="2" t="str">
        <f>_xlfn.XLOOKUP(I158,products!B:B,products!D:D)</f>
        <v>Sports</v>
      </c>
    </row>
    <row r="159" spans="1:19">
      <c r="A159">
        <v>158</v>
      </c>
      <c r="B159">
        <v>1068</v>
      </c>
      <c r="C159">
        <v>10</v>
      </c>
      <c r="D159">
        <v>3</v>
      </c>
      <c r="E159">
        <v>144.22</v>
      </c>
      <c r="F159">
        <v>0</v>
      </c>
      <c r="G159">
        <f t="shared" si="6"/>
        <v>432.65999999999997</v>
      </c>
      <c r="H159" t="str">
        <f>_xlfn.XLOOKUP(B159,customer_orders!A:A,customer_orders!F:F)</f>
        <v>2026-01</v>
      </c>
      <c r="I159" t="str">
        <f>_xlfn.XLOOKUP(C159,products!A:A,products!B:B)</f>
        <v>SKU-0010</v>
      </c>
      <c r="J159" t="str">
        <f>_xlfn.XLOOKUP(B159,customer_orders!A:A,customer_orders!G:G)</f>
        <v>2026-w05</v>
      </c>
      <c r="K159">
        <f>IFERROR(_xlfn.XLOOKUP(B159,shipments!B:B,shipments!H:H),0)</f>
        <v>0</v>
      </c>
      <c r="L159">
        <f t="shared" si="7"/>
        <v>0</v>
      </c>
      <c r="M159" t="str">
        <f>_xlfn.XLOOKUP(B159,customer_orders!A:A,customer_orders!D:D)</f>
        <v>Amazon</v>
      </c>
      <c r="N159" t="str">
        <f>_xlfn.XLOOKUP(C159,inventory!B:B,inventory!C:C)</f>
        <v>Draper</v>
      </c>
      <c r="O159">
        <f>IF(_xlfn.XLOOKUP(C159,products!A:A,products!E:E)="NULL",0,_xlfn.XLOOKUP(C159,products!A:A,products!E:E))</f>
        <v>71.52</v>
      </c>
      <c r="P159">
        <f t="shared" si="8"/>
        <v>361.14</v>
      </c>
      <c r="Q159" s="2" t="str">
        <f>_xlfn.XLOOKUP(I159,products!B:B,products!D:D)</f>
        <v>Beauty</v>
      </c>
    </row>
    <row r="160" spans="1:19">
      <c r="A160">
        <v>159</v>
      </c>
      <c r="B160">
        <v>1068</v>
      </c>
      <c r="C160">
        <v>103</v>
      </c>
      <c r="D160">
        <v>1</v>
      </c>
      <c r="E160">
        <v>241.92</v>
      </c>
      <c r="F160">
        <v>0</v>
      </c>
      <c r="G160">
        <f t="shared" si="6"/>
        <v>241.92</v>
      </c>
      <c r="H160" t="str">
        <f>_xlfn.XLOOKUP(B160,customer_orders!A:A,customer_orders!F:F)</f>
        <v>2026-01</v>
      </c>
      <c r="I160" t="str">
        <f>_xlfn.XLOOKUP(C160,products!A:A,products!B:B)</f>
        <v>SKU-0103</v>
      </c>
      <c r="J160" t="str">
        <f>_xlfn.XLOOKUP(B160,customer_orders!A:A,customer_orders!G:G)</f>
        <v>2026-w05</v>
      </c>
      <c r="K160">
        <f>IFERROR(_xlfn.XLOOKUP(B160,shipments!B:B,shipments!H:H),0)</f>
        <v>0</v>
      </c>
      <c r="L160">
        <f t="shared" si="7"/>
        <v>0</v>
      </c>
      <c r="M160" t="str">
        <f>_xlfn.XLOOKUP(B160,customer_orders!A:A,customer_orders!D:D)</f>
        <v>Amazon</v>
      </c>
      <c r="N160" t="str">
        <f>_xlfn.XLOOKUP(C160,inventory!B:B,inventory!C:C)</f>
        <v>Draper</v>
      </c>
      <c r="O160">
        <f>IF(_xlfn.XLOOKUP(C160,products!A:A,products!E:E)="NULL",0,_xlfn.XLOOKUP(C160,products!A:A,products!E:E))</f>
        <v>145.97</v>
      </c>
      <c r="P160">
        <f t="shared" si="8"/>
        <v>95.949999999999989</v>
      </c>
      <c r="Q160" s="2" t="str">
        <f>_xlfn.XLOOKUP(I160,products!B:B,products!D:D)</f>
        <v>Sports</v>
      </c>
    </row>
    <row r="161" spans="1:17">
      <c r="A161">
        <v>160</v>
      </c>
      <c r="B161">
        <v>1068</v>
      </c>
      <c r="C161">
        <v>61</v>
      </c>
      <c r="D161">
        <v>1</v>
      </c>
      <c r="E161">
        <v>293.22000000000003</v>
      </c>
      <c r="F161">
        <v>0</v>
      </c>
      <c r="G161">
        <f t="shared" si="6"/>
        <v>293.22000000000003</v>
      </c>
      <c r="H161" t="str">
        <f>_xlfn.XLOOKUP(B161,customer_orders!A:A,customer_orders!F:F)</f>
        <v>2026-01</v>
      </c>
      <c r="I161" t="str">
        <f>_xlfn.XLOOKUP(C161,products!A:A,products!B:B)</f>
        <v>SKU-0061</v>
      </c>
      <c r="J161" t="str">
        <f>_xlfn.XLOOKUP(B161,customer_orders!A:A,customer_orders!G:G)</f>
        <v>2026-w05</v>
      </c>
      <c r="K161">
        <f>IFERROR(_xlfn.XLOOKUP(B161,shipments!B:B,shipments!H:H),0)</f>
        <v>0</v>
      </c>
      <c r="L161">
        <f t="shared" si="7"/>
        <v>0</v>
      </c>
      <c r="M161" t="str">
        <f>_xlfn.XLOOKUP(B161,customer_orders!A:A,customer_orders!D:D)</f>
        <v>Amazon</v>
      </c>
      <c r="N161" t="str">
        <f>_xlfn.XLOOKUP(C161,inventory!B:B,inventory!C:C)</f>
        <v>South Jordan</v>
      </c>
      <c r="O161">
        <f>IF(_xlfn.XLOOKUP(C161,products!A:A,products!E:E)="NULL",0,_xlfn.XLOOKUP(C161,products!A:A,products!E:E))</f>
        <v>156.31</v>
      </c>
      <c r="P161">
        <f t="shared" si="8"/>
        <v>136.91000000000003</v>
      </c>
      <c r="Q161" s="2" t="str">
        <f>_xlfn.XLOOKUP(I161,products!B:B,products!D:D)</f>
        <v>Toys</v>
      </c>
    </row>
    <row r="162" spans="1:17">
      <c r="A162">
        <v>161</v>
      </c>
      <c r="B162">
        <v>1069</v>
      </c>
      <c r="C162">
        <v>126</v>
      </c>
      <c r="D162">
        <v>2</v>
      </c>
      <c r="E162">
        <v>32.17</v>
      </c>
      <c r="F162">
        <v>0</v>
      </c>
      <c r="G162">
        <f t="shared" si="6"/>
        <v>64.34</v>
      </c>
      <c r="H162" t="str">
        <f>_xlfn.XLOOKUP(B162,customer_orders!A:A,customer_orders!F:F)</f>
        <v>2026-01</v>
      </c>
      <c r="I162" t="str">
        <f>_xlfn.XLOOKUP(C162,products!A:A,products!B:B)</f>
        <v>SKU-0126</v>
      </c>
      <c r="J162" t="str">
        <f>_xlfn.XLOOKUP(B162,customer_orders!A:A,customer_orders!G:G)</f>
        <v>2026-w02</v>
      </c>
      <c r="K162">
        <f>IFERROR(_xlfn.XLOOKUP(B162,shipments!B:B,shipments!H:H),0)</f>
        <v>92.1</v>
      </c>
      <c r="L162">
        <f t="shared" si="7"/>
        <v>1.43</v>
      </c>
      <c r="M162" t="str">
        <f>_xlfn.XLOOKUP(B162,customer_orders!A:A,customer_orders!D:D)</f>
        <v>Ebay</v>
      </c>
      <c r="N162" t="str">
        <f>_xlfn.XLOOKUP(C162,inventory!B:B,inventory!C:C)</f>
        <v>South Jordan</v>
      </c>
      <c r="O162">
        <f>IF(_xlfn.XLOOKUP(C162,products!A:A,products!E:E)="NULL",0,_xlfn.XLOOKUP(C162,products!A:A,products!E:E))</f>
        <v>104.51</v>
      </c>
      <c r="P162">
        <f t="shared" si="8"/>
        <v>-40.17</v>
      </c>
      <c r="Q162" s="2" t="str">
        <f>_xlfn.XLOOKUP(I162,products!B:B,products!D:D)</f>
        <v>Office</v>
      </c>
    </row>
    <row r="163" spans="1:17">
      <c r="A163">
        <v>162</v>
      </c>
      <c r="B163">
        <v>1069</v>
      </c>
      <c r="C163">
        <v>35</v>
      </c>
      <c r="D163">
        <v>5</v>
      </c>
      <c r="E163">
        <v>46.14</v>
      </c>
      <c r="F163">
        <v>14.64</v>
      </c>
      <c r="G163">
        <f t="shared" si="6"/>
        <v>216.06</v>
      </c>
      <c r="H163" t="str">
        <f>_xlfn.XLOOKUP(B163,customer_orders!A:A,customer_orders!F:F)</f>
        <v>2026-01</v>
      </c>
      <c r="I163" t="str">
        <f>_xlfn.XLOOKUP(C163,products!A:A,products!B:B)</f>
        <v>SKU-0035</v>
      </c>
      <c r="J163" t="str">
        <f>_xlfn.XLOOKUP(B163,customer_orders!A:A,customer_orders!G:G)</f>
        <v>2026-w02</v>
      </c>
      <c r="K163">
        <f>IFERROR(_xlfn.XLOOKUP(B163,shipments!B:B,shipments!H:H),0)</f>
        <v>92.1</v>
      </c>
      <c r="L163">
        <f t="shared" si="7"/>
        <v>0.43</v>
      </c>
      <c r="M163" t="str">
        <f>_xlfn.XLOOKUP(B163,customer_orders!A:A,customer_orders!D:D)</f>
        <v>Ebay</v>
      </c>
      <c r="N163" t="str">
        <f>_xlfn.XLOOKUP(C163,inventory!B:B,inventory!C:C)</f>
        <v>Salt Lake City</v>
      </c>
      <c r="O163">
        <f>IF(_xlfn.XLOOKUP(C163,products!A:A,products!E:E)="NULL",0,_xlfn.XLOOKUP(C163,products!A:A,products!E:E))</f>
        <v>145.1</v>
      </c>
      <c r="P163">
        <f t="shared" si="8"/>
        <v>70.960000000000008</v>
      </c>
      <c r="Q163" s="2" t="str">
        <f>_xlfn.XLOOKUP(I163,products!B:B,products!D:D)</f>
        <v>Office</v>
      </c>
    </row>
    <row r="164" spans="1:17">
      <c r="A164">
        <v>163</v>
      </c>
      <c r="B164">
        <v>1069</v>
      </c>
      <c r="C164">
        <v>83</v>
      </c>
      <c r="D164">
        <v>5</v>
      </c>
      <c r="E164">
        <v>269.23</v>
      </c>
      <c r="F164">
        <v>0</v>
      </c>
      <c r="G164">
        <f t="shared" si="6"/>
        <v>1346.15</v>
      </c>
      <c r="H164" t="str">
        <f>_xlfn.XLOOKUP(B164,customer_orders!A:A,customer_orders!F:F)</f>
        <v>2026-01</v>
      </c>
      <c r="I164" t="str">
        <f>_xlfn.XLOOKUP(C164,products!A:A,products!B:B)</f>
        <v>SKU-0083</v>
      </c>
      <c r="J164" t="str">
        <f>_xlfn.XLOOKUP(B164,customer_orders!A:A,customer_orders!G:G)</f>
        <v>2026-w02</v>
      </c>
      <c r="K164">
        <f>IFERROR(_xlfn.XLOOKUP(B164,shipments!B:B,shipments!H:H),0)</f>
        <v>92.1</v>
      </c>
      <c r="L164">
        <f t="shared" si="7"/>
        <v>7.0000000000000007E-2</v>
      </c>
      <c r="M164" t="str">
        <f>_xlfn.XLOOKUP(B164,customer_orders!A:A,customer_orders!D:D)</f>
        <v>Ebay</v>
      </c>
      <c r="N164" t="str">
        <f>_xlfn.XLOOKUP(C164,inventory!B:B,inventory!C:C)</f>
        <v>Salt Lake City</v>
      </c>
      <c r="O164">
        <f>IF(_xlfn.XLOOKUP(C164,products!A:A,products!E:E)="NULL",0,_xlfn.XLOOKUP(C164,products!A:A,products!E:E))</f>
        <v>147.63</v>
      </c>
      <c r="P164">
        <f t="shared" si="8"/>
        <v>1198.52</v>
      </c>
      <c r="Q164" s="2" t="str">
        <f>_xlfn.XLOOKUP(I164,products!B:B,products!D:D)</f>
        <v>Pet</v>
      </c>
    </row>
    <row r="165" spans="1:17">
      <c r="A165">
        <v>164</v>
      </c>
      <c r="B165">
        <v>1070</v>
      </c>
      <c r="C165">
        <v>135</v>
      </c>
      <c r="D165">
        <v>1</v>
      </c>
      <c r="E165">
        <v>41.03</v>
      </c>
      <c r="F165">
        <v>0</v>
      </c>
      <c r="G165">
        <f t="shared" si="6"/>
        <v>41.03</v>
      </c>
      <c r="H165" t="str">
        <f>_xlfn.XLOOKUP(B165,customer_orders!A:A,customer_orders!F:F)</f>
        <v>2026-03</v>
      </c>
      <c r="I165" t="str">
        <f>_xlfn.XLOOKUP(C165,products!A:A,products!B:B)</f>
        <v>SKU-0135</v>
      </c>
      <c r="J165" t="str">
        <f>_xlfn.XLOOKUP(B165,customer_orders!A:A,customer_orders!G:G)</f>
        <v>2026-w12</v>
      </c>
      <c r="K165">
        <f>IFERROR(_xlfn.XLOOKUP(B165,shipments!B:B,shipments!H:H),0)</f>
        <v>35.78</v>
      </c>
      <c r="L165">
        <f t="shared" si="7"/>
        <v>0.87</v>
      </c>
      <c r="M165" t="str">
        <f>_xlfn.XLOOKUP(B165,customer_orders!A:A,customer_orders!D:D)</f>
        <v>Amazon</v>
      </c>
      <c r="N165" t="str">
        <f>_xlfn.XLOOKUP(C165,inventory!B:B,inventory!C:C)</f>
        <v>Lehi</v>
      </c>
      <c r="O165">
        <f>IF(_xlfn.XLOOKUP(C165,products!A:A,products!E:E)="NULL",0,_xlfn.XLOOKUP(C165,products!A:A,products!E:E))</f>
        <v>48.81</v>
      </c>
      <c r="P165">
        <f t="shared" si="8"/>
        <v>-7.7800000000000011</v>
      </c>
      <c r="Q165" s="2" t="str">
        <f>_xlfn.XLOOKUP(I165,products!B:B,products!D:D)</f>
        <v>Kitchen</v>
      </c>
    </row>
    <row r="166" spans="1:17">
      <c r="A166">
        <v>165</v>
      </c>
      <c r="B166">
        <v>1070</v>
      </c>
      <c r="C166">
        <v>15</v>
      </c>
      <c r="D166">
        <v>4</v>
      </c>
      <c r="E166">
        <v>198.21</v>
      </c>
      <c r="F166">
        <v>0</v>
      </c>
      <c r="G166">
        <f t="shared" si="6"/>
        <v>792.84</v>
      </c>
      <c r="H166" t="str">
        <f>_xlfn.XLOOKUP(B166,customer_orders!A:A,customer_orders!F:F)</f>
        <v>2026-03</v>
      </c>
      <c r="I166" t="str">
        <f>_xlfn.XLOOKUP(C166,products!A:A,products!B:B)</f>
        <v>SKU-0015</v>
      </c>
      <c r="J166" t="str">
        <f>_xlfn.XLOOKUP(B166,customer_orders!A:A,customer_orders!G:G)</f>
        <v>2026-w12</v>
      </c>
      <c r="K166">
        <f>IFERROR(_xlfn.XLOOKUP(B166,shipments!B:B,shipments!H:H),0)</f>
        <v>35.78</v>
      </c>
      <c r="L166">
        <f t="shared" si="7"/>
        <v>0.05</v>
      </c>
      <c r="M166" t="str">
        <f>_xlfn.XLOOKUP(B166,customer_orders!A:A,customer_orders!D:D)</f>
        <v>Amazon</v>
      </c>
      <c r="N166" t="str">
        <f>_xlfn.XLOOKUP(C166,inventory!B:B,inventory!C:C)</f>
        <v>South Jordan</v>
      </c>
      <c r="O166">
        <f>IF(_xlfn.XLOOKUP(C166,products!A:A,products!E:E)="NULL",0,_xlfn.XLOOKUP(C166,products!A:A,products!E:E))</f>
        <v>159.82</v>
      </c>
      <c r="P166">
        <f t="shared" si="8"/>
        <v>633.02</v>
      </c>
      <c r="Q166" s="2" t="str">
        <f>_xlfn.XLOOKUP(I166,products!B:B,products!D:D)</f>
        <v>Pet</v>
      </c>
    </row>
    <row r="167" spans="1:17">
      <c r="A167">
        <v>166</v>
      </c>
      <c r="B167">
        <v>1071</v>
      </c>
      <c r="C167">
        <v>46</v>
      </c>
      <c r="D167">
        <v>8</v>
      </c>
      <c r="E167">
        <v>219.11</v>
      </c>
      <c r="F167">
        <v>0</v>
      </c>
      <c r="G167">
        <f t="shared" si="6"/>
        <v>1752.88</v>
      </c>
      <c r="H167" t="str">
        <f>_xlfn.XLOOKUP(B167,customer_orders!A:A,customer_orders!F:F)</f>
        <v>2026-01</v>
      </c>
      <c r="I167" t="str">
        <f>_xlfn.XLOOKUP(C167,products!A:A,products!B:B)</f>
        <v>SKU-0046</v>
      </c>
      <c r="J167" t="str">
        <f>_xlfn.XLOOKUP(B167,customer_orders!A:A,customer_orders!G:G)</f>
        <v>2026-w02</v>
      </c>
      <c r="K167">
        <f>IFERROR(_xlfn.XLOOKUP(B167,shipments!B:B,shipments!H:H),0)</f>
        <v>79.58</v>
      </c>
      <c r="L167">
        <f t="shared" si="7"/>
        <v>0.05</v>
      </c>
      <c r="M167" t="str">
        <f>_xlfn.XLOOKUP(B167,customer_orders!A:A,customer_orders!D:D)</f>
        <v>Ebay</v>
      </c>
      <c r="N167" t="str">
        <f>_xlfn.XLOOKUP(C167,inventory!B:B,inventory!C:C)</f>
        <v>Unknown</v>
      </c>
      <c r="O167">
        <f>IF(_xlfn.XLOOKUP(C167,products!A:A,products!E:E)="NULL",0,_xlfn.XLOOKUP(C167,products!A:A,products!E:E))</f>
        <v>40.75</v>
      </c>
      <c r="P167">
        <f t="shared" si="8"/>
        <v>1712.13</v>
      </c>
      <c r="Q167" s="2" t="str">
        <f>_xlfn.XLOOKUP(I167,products!B:B,products!D:D)</f>
        <v>Kitchen</v>
      </c>
    </row>
    <row r="168" spans="1:17">
      <c r="A168">
        <v>167</v>
      </c>
      <c r="B168">
        <v>1071</v>
      </c>
      <c r="C168">
        <v>89</v>
      </c>
      <c r="D168">
        <v>3</v>
      </c>
      <c r="E168">
        <v>126</v>
      </c>
      <c r="F168">
        <v>0</v>
      </c>
      <c r="G168">
        <f t="shared" si="6"/>
        <v>378</v>
      </c>
      <c r="H168" t="str">
        <f>_xlfn.XLOOKUP(B168,customer_orders!A:A,customer_orders!F:F)</f>
        <v>2026-01</v>
      </c>
      <c r="I168" t="str">
        <f>_xlfn.XLOOKUP(C168,products!A:A,products!B:B)</f>
        <v>SKU-0089</v>
      </c>
      <c r="J168" t="str">
        <f>_xlfn.XLOOKUP(B168,customer_orders!A:A,customer_orders!G:G)</f>
        <v>2026-w02</v>
      </c>
      <c r="K168">
        <f>IFERROR(_xlfn.XLOOKUP(B168,shipments!B:B,shipments!H:H),0)</f>
        <v>79.58</v>
      </c>
      <c r="L168">
        <f t="shared" si="7"/>
        <v>0.21</v>
      </c>
      <c r="M168" t="str">
        <f>_xlfn.XLOOKUP(B168,customer_orders!A:A,customer_orders!D:D)</f>
        <v>Ebay</v>
      </c>
      <c r="N168" t="str">
        <f>_xlfn.XLOOKUP(C168,inventory!B:B,inventory!C:C)</f>
        <v>South Jordan</v>
      </c>
      <c r="O168">
        <f>IF(_xlfn.XLOOKUP(C168,products!A:A,products!E:E)="NULL",0,_xlfn.XLOOKUP(C168,products!A:A,products!E:E))</f>
        <v>150.76</v>
      </c>
      <c r="P168">
        <f t="shared" si="8"/>
        <v>227.24</v>
      </c>
      <c r="Q168" s="2" t="str">
        <f>_xlfn.XLOOKUP(I168,products!B:B,products!D:D)</f>
        <v>Electronics</v>
      </c>
    </row>
    <row r="169" spans="1:17">
      <c r="A169">
        <v>168</v>
      </c>
      <c r="B169">
        <v>1071</v>
      </c>
      <c r="C169">
        <v>24</v>
      </c>
      <c r="D169">
        <v>5</v>
      </c>
      <c r="E169">
        <v>20.55</v>
      </c>
      <c r="F169">
        <v>0</v>
      </c>
      <c r="G169">
        <f t="shared" si="6"/>
        <v>102.75</v>
      </c>
      <c r="H169" t="str">
        <f>_xlfn.XLOOKUP(B169,customer_orders!A:A,customer_orders!F:F)</f>
        <v>2026-01</v>
      </c>
      <c r="I169" t="str">
        <f>_xlfn.XLOOKUP(C169,products!A:A,products!B:B)</f>
        <v>SKU-0024</v>
      </c>
      <c r="J169" t="str">
        <f>_xlfn.XLOOKUP(B169,customer_orders!A:A,customer_orders!G:G)</f>
        <v>2026-w02</v>
      </c>
      <c r="K169">
        <f>IFERROR(_xlfn.XLOOKUP(B169,shipments!B:B,shipments!H:H),0)</f>
        <v>79.58</v>
      </c>
      <c r="L169">
        <f t="shared" si="7"/>
        <v>0.77</v>
      </c>
      <c r="M169" t="str">
        <f>_xlfn.XLOOKUP(B169,customer_orders!A:A,customer_orders!D:D)</f>
        <v>Ebay</v>
      </c>
      <c r="N169" t="str">
        <f>_xlfn.XLOOKUP(C169,inventory!B:B,inventory!C:C)</f>
        <v>Draper</v>
      </c>
      <c r="O169">
        <f>IF(_xlfn.XLOOKUP(C169,products!A:A,products!E:E)="NULL",0,_xlfn.XLOOKUP(C169,products!A:A,products!E:E))</f>
        <v>61.73</v>
      </c>
      <c r="P169">
        <f t="shared" si="8"/>
        <v>41.02</v>
      </c>
      <c r="Q169" s="2" t="str">
        <f>_xlfn.XLOOKUP(I169,products!B:B,products!D:D)</f>
        <v>Electronics</v>
      </c>
    </row>
    <row r="170" spans="1:17">
      <c r="A170">
        <v>169</v>
      </c>
      <c r="B170">
        <v>1071</v>
      </c>
      <c r="C170">
        <v>42</v>
      </c>
      <c r="D170">
        <v>4</v>
      </c>
      <c r="E170">
        <v>169.53</v>
      </c>
      <c r="F170">
        <v>0</v>
      </c>
      <c r="G170">
        <f t="shared" si="6"/>
        <v>678.12</v>
      </c>
      <c r="H170" t="str">
        <f>_xlfn.XLOOKUP(B170,customer_orders!A:A,customer_orders!F:F)</f>
        <v>2026-01</v>
      </c>
      <c r="I170" t="str">
        <f>_xlfn.XLOOKUP(C170,products!A:A,products!B:B)</f>
        <v>SKU-0042</v>
      </c>
      <c r="J170" t="str">
        <f>_xlfn.XLOOKUP(B170,customer_orders!A:A,customer_orders!G:G)</f>
        <v>2026-w02</v>
      </c>
      <c r="K170">
        <f>IFERROR(_xlfn.XLOOKUP(B170,shipments!B:B,shipments!H:H),0)</f>
        <v>79.58</v>
      </c>
      <c r="L170">
        <f t="shared" si="7"/>
        <v>0.12</v>
      </c>
      <c r="M170" t="str">
        <f>_xlfn.XLOOKUP(B170,customer_orders!A:A,customer_orders!D:D)</f>
        <v>Ebay</v>
      </c>
      <c r="N170" t="str">
        <f>_xlfn.XLOOKUP(C170,inventory!B:B,inventory!C:C)</f>
        <v>South Jordan</v>
      </c>
      <c r="O170">
        <f>IF(_xlfn.XLOOKUP(C170,products!A:A,products!E:E)="NULL",0,_xlfn.XLOOKUP(C170,products!A:A,products!E:E))</f>
        <v>106.36</v>
      </c>
      <c r="P170">
        <f t="shared" si="8"/>
        <v>571.76</v>
      </c>
      <c r="Q170" s="2" t="str">
        <f>_xlfn.XLOOKUP(I170,products!B:B,products!D:D)</f>
        <v>Beauty</v>
      </c>
    </row>
    <row r="171" spans="1:17">
      <c r="A171">
        <v>170</v>
      </c>
      <c r="B171">
        <v>1072</v>
      </c>
      <c r="C171">
        <v>58</v>
      </c>
      <c r="D171">
        <v>5</v>
      </c>
      <c r="E171">
        <v>57.21</v>
      </c>
      <c r="F171">
        <v>0</v>
      </c>
      <c r="G171">
        <f t="shared" si="6"/>
        <v>286.05</v>
      </c>
      <c r="H171" t="str">
        <f>_xlfn.XLOOKUP(B171,customer_orders!A:A,customer_orders!F:F)</f>
        <v>2026-02</v>
      </c>
      <c r="I171" t="str">
        <f>_xlfn.XLOOKUP(C171,products!A:A,products!B:B)</f>
        <v>SKU-0058</v>
      </c>
      <c r="J171" t="str">
        <f>_xlfn.XLOOKUP(B171,customer_orders!A:A,customer_orders!G:G)</f>
        <v>2026-w06</v>
      </c>
      <c r="K171">
        <f>IFERROR(_xlfn.XLOOKUP(B171,shipments!B:B,shipments!H:H),0)</f>
        <v>107.88</v>
      </c>
      <c r="L171">
        <f t="shared" si="7"/>
        <v>0.38</v>
      </c>
      <c r="M171" t="str">
        <f>_xlfn.XLOOKUP(B171,customer_orders!A:A,customer_orders!D:D)</f>
        <v>Shopify</v>
      </c>
      <c r="N171" t="str">
        <f>_xlfn.XLOOKUP(C171,inventory!B:B,inventory!C:C)</f>
        <v>South Jordan</v>
      </c>
      <c r="O171">
        <f>IF(_xlfn.XLOOKUP(C171,products!A:A,products!E:E)="NULL",0,_xlfn.XLOOKUP(C171,products!A:A,products!E:E))</f>
        <v>106.94</v>
      </c>
      <c r="P171">
        <f t="shared" si="8"/>
        <v>179.11</v>
      </c>
      <c r="Q171" s="2" t="str">
        <f>_xlfn.XLOOKUP(I171,products!B:B,products!D:D)</f>
        <v>Electronics</v>
      </c>
    </row>
    <row r="172" spans="1:17">
      <c r="A172">
        <v>171</v>
      </c>
      <c r="B172">
        <v>1073</v>
      </c>
      <c r="C172">
        <v>150</v>
      </c>
      <c r="D172">
        <v>2</v>
      </c>
      <c r="E172">
        <v>100.09</v>
      </c>
      <c r="F172">
        <v>0</v>
      </c>
      <c r="G172">
        <f t="shared" si="6"/>
        <v>200.18</v>
      </c>
      <c r="H172" t="str">
        <f>_xlfn.XLOOKUP(B172,customer_orders!A:A,customer_orders!F:F)</f>
        <v>2026-04</v>
      </c>
      <c r="I172" t="str">
        <f>_xlfn.XLOOKUP(C172,products!A:A,products!B:B)</f>
        <v>SKU-0150</v>
      </c>
      <c r="J172" t="str">
        <f>_xlfn.XLOOKUP(B172,customer_orders!A:A,customer_orders!G:G)</f>
        <v>2026-w18</v>
      </c>
      <c r="K172">
        <f>IFERROR(_xlfn.XLOOKUP(B172,shipments!B:B,shipments!H:H),0)</f>
        <v>97.43</v>
      </c>
      <c r="L172">
        <f t="shared" si="7"/>
        <v>0.49</v>
      </c>
      <c r="M172" t="str">
        <f>_xlfn.XLOOKUP(B172,customer_orders!A:A,customer_orders!D:D)</f>
        <v>Shopify</v>
      </c>
      <c r="N172" t="str">
        <f>_xlfn.XLOOKUP(C172,inventory!B:B,inventory!C:C)</f>
        <v>South Jordan</v>
      </c>
      <c r="O172">
        <f>IF(_xlfn.XLOOKUP(C172,products!A:A,products!E:E)="NULL",0,_xlfn.XLOOKUP(C172,products!A:A,products!E:E))</f>
        <v>54.5</v>
      </c>
      <c r="P172">
        <f t="shared" si="8"/>
        <v>145.68</v>
      </c>
      <c r="Q172" s="2" t="str">
        <f>_xlfn.XLOOKUP(I172,products!B:B,products!D:D)</f>
        <v>Sports</v>
      </c>
    </row>
    <row r="173" spans="1:17">
      <c r="A173">
        <v>172</v>
      </c>
      <c r="B173">
        <v>1073</v>
      </c>
      <c r="C173">
        <v>144</v>
      </c>
      <c r="D173">
        <v>5</v>
      </c>
      <c r="E173">
        <v>194.56</v>
      </c>
      <c r="F173">
        <v>0</v>
      </c>
      <c r="G173">
        <f t="shared" si="6"/>
        <v>972.8</v>
      </c>
      <c r="H173" t="str">
        <f>_xlfn.XLOOKUP(B173,customer_orders!A:A,customer_orders!F:F)</f>
        <v>2026-04</v>
      </c>
      <c r="I173" t="str">
        <f>_xlfn.XLOOKUP(C173,products!A:A,products!B:B)</f>
        <v>SKU-0144</v>
      </c>
      <c r="J173" t="str">
        <f>_xlfn.XLOOKUP(B173,customer_orders!A:A,customer_orders!G:G)</f>
        <v>2026-w18</v>
      </c>
      <c r="K173">
        <f>IFERROR(_xlfn.XLOOKUP(B173,shipments!B:B,shipments!H:H),0)</f>
        <v>97.43</v>
      </c>
      <c r="L173">
        <f t="shared" si="7"/>
        <v>0.1</v>
      </c>
      <c r="M173" t="str">
        <f>_xlfn.XLOOKUP(B173,customer_orders!A:A,customer_orders!D:D)</f>
        <v>Shopify</v>
      </c>
      <c r="N173" t="str">
        <f>_xlfn.XLOOKUP(C173,inventory!B:B,inventory!C:C)</f>
        <v>South Jordan</v>
      </c>
      <c r="O173">
        <f>IF(_xlfn.XLOOKUP(C173,products!A:A,products!E:E)="NULL",0,_xlfn.XLOOKUP(C173,products!A:A,products!E:E))</f>
        <v>10.050000000000001</v>
      </c>
      <c r="P173">
        <f t="shared" si="8"/>
        <v>962.75</v>
      </c>
      <c r="Q173" s="2" t="str">
        <f>_xlfn.XLOOKUP(I173,products!B:B,products!D:D)</f>
        <v>Pet</v>
      </c>
    </row>
    <row r="174" spans="1:17">
      <c r="A174">
        <v>173</v>
      </c>
      <c r="B174">
        <v>1073</v>
      </c>
      <c r="C174">
        <v>124</v>
      </c>
      <c r="D174">
        <v>2</v>
      </c>
      <c r="E174">
        <v>48.76</v>
      </c>
      <c r="F174">
        <v>0</v>
      </c>
      <c r="G174">
        <f t="shared" si="6"/>
        <v>97.52</v>
      </c>
      <c r="H174" t="str">
        <f>_xlfn.XLOOKUP(B174,customer_orders!A:A,customer_orders!F:F)</f>
        <v>2026-04</v>
      </c>
      <c r="I174" t="str">
        <f>_xlfn.XLOOKUP(C174,products!A:A,products!B:B)</f>
        <v>SKU-0124</v>
      </c>
      <c r="J174" t="str">
        <f>_xlfn.XLOOKUP(B174,customer_orders!A:A,customer_orders!G:G)</f>
        <v>2026-w18</v>
      </c>
      <c r="K174">
        <f>IFERROR(_xlfn.XLOOKUP(B174,shipments!B:B,shipments!H:H),0)</f>
        <v>97.43</v>
      </c>
      <c r="L174">
        <f t="shared" si="7"/>
        <v>1</v>
      </c>
      <c r="M174" t="str">
        <f>_xlfn.XLOOKUP(B174,customer_orders!A:A,customer_orders!D:D)</f>
        <v>Shopify</v>
      </c>
      <c r="N174" t="str">
        <f>_xlfn.XLOOKUP(C174,inventory!B:B,inventory!C:C)</f>
        <v>Lehi</v>
      </c>
      <c r="O174">
        <f>IF(_xlfn.XLOOKUP(C174,products!A:A,products!E:E)="NULL",0,_xlfn.XLOOKUP(C174,products!A:A,products!E:E))</f>
        <v>178.94</v>
      </c>
      <c r="P174">
        <f t="shared" si="8"/>
        <v>-81.42</v>
      </c>
      <c r="Q174" s="2" t="str">
        <f>_xlfn.XLOOKUP(I174,products!B:B,products!D:D)</f>
        <v>Sports</v>
      </c>
    </row>
    <row r="175" spans="1:17">
      <c r="A175">
        <v>174</v>
      </c>
      <c r="B175">
        <v>1073</v>
      </c>
      <c r="C175">
        <v>84</v>
      </c>
      <c r="D175">
        <v>5</v>
      </c>
      <c r="E175">
        <v>150.28</v>
      </c>
      <c r="F175">
        <v>0</v>
      </c>
      <c r="G175">
        <f t="shared" si="6"/>
        <v>751.4</v>
      </c>
      <c r="H175" t="str">
        <f>_xlfn.XLOOKUP(B175,customer_orders!A:A,customer_orders!F:F)</f>
        <v>2026-04</v>
      </c>
      <c r="I175" t="str">
        <f>_xlfn.XLOOKUP(C175,products!A:A,products!B:B)</f>
        <v>SKU-0084</v>
      </c>
      <c r="J175" t="str">
        <f>_xlfn.XLOOKUP(B175,customer_orders!A:A,customer_orders!G:G)</f>
        <v>2026-w18</v>
      </c>
      <c r="K175">
        <f>IFERROR(_xlfn.XLOOKUP(B175,shipments!B:B,shipments!H:H),0)</f>
        <v>97.43</v>
      </c>
      <c r="L175">
        <f t="shared" si="7"/>
        <v>0.13</v>
      </c>
      <c r="M175" t="str">
        <f>_xlfn.XLOOKUP(B175,customer_orders!A:A,customer_orders!D:D)</f>
        <v>Shopify</v>
      </c>
      <c r="N175" t="str">
        <f>_xlfn.XLOOKUP(C175,inventory!B:B,inventory!C:C)</f>
        <v>Draper</v>
      </c>
      <c r="O175">
        <f>IF(_xlfn.XLOOKUP(C175,products!A:A,products!E:E)="NULL",0,_xlfn.XLOOKUP(C175,products!A:A,products!E:E))</f>
        <v>135.13999999999999</v>
      </c>
      <c r="P175">
        <f t="shared" si="8"/>
        <v>616.26</v>
      </c>
      <c r="Q175" s="2" t="str">
        <f>_xlfn.XLOOKUP(I175,products!B:B,products!D:D)</f>
        <v>Pet</v>
      </c>
    </row>
    <row r="176" spans="1:17">
      <c r="A176">
        <v>175</v>
      </c>
      <c r="B176">
        <v>1074</v>
      </c>
      <c r="C176">
        <v>76</v>
      </c>
      <c r="D176">
        <v>5</v>
      </c>
      <c r="E176">
        <v>160.68</v>
      </c>
      <c r="F176">
        <v>13.7</v>
      </c>
      <c r="G176">
        <f t="shared" si="6"/>
        <v>789.7</v>
      </c>
      <c r="H176" t="str">
        <f>_xlfn.XLOOKUP(B176,customer_orders!A:A,customer_orders!F:F)</f>
        <v>2026-02</v>
      </c>
      <c r="I176" t="str">
        <f>_xlfn.XLOOKUP(C176,products!A:A,products!B:B)</f>
        <v>SKU-0076</v>
      </c>
      <c r="J176" t="str">
        <f>_xlfn.XLOOKUP(B176,customer_orders!A:A,customer_orders!G:G)</f>
        <v>2026-w06</v>
      </c>
      <c r="K176">
        <f>IFERROR(_xlfn.XLOOKUP(B176,shipments!B:B,shipments!H:H),0)</f>
        <v>18.84</v>
      </c>
      <c r="L176">
        <f t="shared" si="7"/>
        <v>0.02</v>
      </c>
      <c r="M176" t="str">
        <f>_xlfn.XLOOKUP(B176,customer_orders!A:A,customer_orders!D:D)</f>
        <v>Amazon</v>
      </c>
      <c r="N176" t="str">
        <f>_xlfn.XLOOKUP(C176,inventory!B:B,inventory!C:C)</f>
        <v>South Jordan</v>
      </c>
      <c r="O176">
        <f>IF(_xlfn.XLOOKUP(C176,products!A:A,products!E:E)="NULL",0,_xlfn.XLOOKUP(C176,products!A:A,products!E:E))</f>
        <v>123.23</v>
      </c>
      <c r="P176">
        <f t="shared" si="8"/>
        <v>666.47</v>
      </c>
      <c r="Q176" s="2" t="str">
        <f>_xlfn.XLOOKUP(I176,products!B:B,products!D:D)</f>
        <v>Pet</v>
      </c>
    </row>
    <row r="177" spans="1:17">
      <c r="A177">
        <v>176</v>
      </c>
      <c r="B177">
        <v>1074</v>
      </c>
      <c r="C177">
        <v>100</v>
      </c>
      <c r="D177">
        <v>1</v>
      </c>
      <c r="E177">
        <v>233.57</v>
      </c>
      <c r="F177">
        <v>0</v>
      </c>
      <c r="G177">
        <f t="shared" si="6"/>
        <v>233.57</v>
      </c>
      <c r="H177" t="str">
        <f>_xlfn.XLOOKUP(B177,customer_orders!A:A,customer_orders!F:F)</f>
        <v>2026-02</v>
      </c>
      <c r="I177" t="str">
        <f>_xlfn.XLOOKUP(C177,products!A:A,products!B:B)</f>
        <v>SKU-0100</v>
      </c>
      <c r="J177" t="str">
        <f>_xlfn.XLOOKUP(B177,customer_orders!A:A,customer_orders!G:G)</f>
        <v>2026-w06</v>
      </c>
      <c r="K177">
        <f>IFERROR(_xlfn.XLOOKUP(B177,shipments!B:B,shipments!H:H),0)</f>
        <v>18.84</v>
      </c>
      <c r="L177">
        <f t="shared" si="7"/>
        <v>0.08</v>
      </c>
      <c r="M177" t="str">
        <f>_xlfn.XLOOKUP(B177,customer_orders!A:A,customer_orders!D:D)</f>
        <v>Amazon</v>
      </c>
      <c r="N177" t="str">
        <f>_xlfn.XLOOKUP(C177,inventory!B:B,inventory!C:C)</f>
        <v>Lehi</v>
      </c>
      <c r="O177">
        <f>IF(_xlfn.XLOOKUP(C177,products!A:A,products!E:E)="NULL",0,_xlfn.XLOOKUP(C177,products!A:A,products!E:E))</f>
        <v>127.41</v>
      </c>
      <c r="P177">
        <f t="shared" si="8"/>
        <v>106.16</v>
      </c>
      <c r="Q177" s="2" t="str">
        <f>_xlfn.XLOOKUP(I177,products!B:B,products!D:D)</f>
        <v>Beauty</v>
      </c>
    </row>
    <row r="178" spans="1:17">
      <c r="A178">
        <v>177</v>
      </c>
      <c r="B178">
        <v>1074</v>
      </c>
      <c r="C178">
        <v>88</v>
      </c>
      <c r="D178">
        <v>4</v>
      </c>
      <c r="E178">
        <v>109.3</v>
      </c>
      <c r="F178">
        <v>10.61</v>
      </c>
      <c r="G178">
        <f t="shared" si="6"/>
        <v>426.59</v>
      </c>
      <c r="H178" t="str">
        <f>_xlfn.XLOOKUP(B178,customer_orders!A:A,customer_orders!F:F)</f>
        <v>2026-02</v>
      </c>
      <c r="I178" t="str">
        <f>_xlfn.XLOOKUP(C178,products!A:A,products!B:B)</f>
        <v>SKU-0088</v>
      </c>
      <c r="J178" t="str">
        <f>_xlfn.XLOOKUP(B178,customer_orders!A:A,customer_orders!G:G)</f>
        <v>2026-w06</v>
      </c>
      <c r="K178">
        <f>IFERROR(_xlfn.XLOOKUP(B178,shipments!B:B,shipments!H:H),0)</f>
        <v>18.84</v>
      </c>
      <c r="L178">
        <f t="shared" si="7"/>
        <v>0.04</v>
      </c>
      <c r="M178" t="str">
        <f>_xlfn.XLOOKUP(B178,customer_orders!A:A,customer_orders!D:D)</f>
        <v>Amazon</v>
      </c>
      <c r="N178" t="str">
        <f>_xlfn.XLOOKUP(C178,inventory!B:B,inventory!C:C)</f>
        <v>Salt Lake City</v>
      </c>
      <c r="O178">
        <f>IF(_xlfn.XLOOKUP(C178,products!A:A,products!E:E)="NULL",0,_xlfn.XLOOKUP(C178,products!A:A,products!E:E))</f>
        <v>77.599999999999994</v>
      </c>
      <c r="P178">
        <f t="shared" si="8"/>
        <v>348.99</v>
      </c>
      <c r="Q178" s="2" t="str">
        <f>_xlfn.XLOOKUP(I178,products!B:B,products!D:D)</f>
        <v>Beauty</v>
      </c>
    </row>
    <row r="179" spans="1:17">
      <c r="A179">
        <v>178</v>
      </c>
      <c r="B179">
        <v>1074</v>
      </c>
      <c r="C179">
        <v>92</v>
      </c>
      <c r="D179">
        <v>5</v>
      </c>
      <c r="E179">
        <v>23.27</v>
      </c>
      <c r="F179">
        <v>0</v>
      </c>
      <c r="G179">
        <f t="shared" si="6"/>
        <v>116.35</v>
      </c>
      <c r="H179" t="str">
        <f>_xlfn.XLOOKUP(B179,customer_orders!A:A,customer_orders!F:F)</f>
        <v>2026-02</v>
      </c>
      <c r="I179" t="str">
        <f>_xlfn.XLOOKUP(C179,products!A:A,products!B:B)</f>
        <v>SKU-0092</v>
      </c>
      <c r="J179" t="str">
        <f>_xlfn.XLOOKUP(B179,customer_orders!A:A,customer_orders!G:G)</f>
        <v>2026-w06</v>
      </c>
      <c r="K179">
        <f>IFERROR(_xlfn.XLOOKUP(B179,shipments!B:B,shipments!H:H),0)</f>
        <v>18.84</v>
      </c>
      <c r="L179">
        <f t="shared" si="7"/>
        <v>0.16</v>
      </c>
      <c r="M179" t="str">
        <f>_xlfn.XLOOKUP(B179,customer_orders!A:A,customer_orders!D:D)</f>
        <v>Amazon</v>
      </c>
      <c r="N179" t="str">
        <f>_xlfn.XLOOKUP(C179,inventory!B:B,inventory!C:C)</f>
        <v>Salt Lake City</v>
      </c>
      <c r="O179">
        <f>IF(_xlfn.XLOOKUP(C179,products!A:A,products!E:E)="NULL",0,_xlfn.XLOOKUP(C179,products!A:A,products!E:E))</f>
        <v>81.27</v>
      </c>
      <c r="P179">
        <f t="shared" si="8"/>
        <v>35.08</v>
      </c>
      <c r="Q179" s="2" t="str">
        <f>_xlfn.XLOOKUP(I179,products!B:B,products!D:D)</f>
        <v>Beauty</v>
      </c>
    </row>
    <row r="180" spans="1:17">
      <c r="A180">
        <v>179</v>
      </c>
      <c r="B180">
        <v>1075</v>
      </c>
      <c r="C180">
        <v>108</v>
      </c>
      <c r="D180">
        <v>6</v>
      </c>
      <c r="E180">
        <v>143.47999999999999</v>
      </c>
      <c r="F180">
        <v>0</v>
      </c>
      <c r="G180">
        <f t="shared" si="6"/>
        <v>860.87999999999988</v>
      </c>
      <c r="H180" t="str">
        <f>_xlfn.XLOOKUP(B180,customer_orders!A:A,customer_orders!F:F)</f>
        <v>2026-01</v>
      </c>
      <c r="I180" t="str">
        <f>_xlfn.XLOOKUP(C180,products!A:A,products!B:B)</f>
        <v>SKU-0108</v>
      </c>
      <c r="J180" t="str">
        <f>_xlfn.XLOOKUP(B180,customer_orders!A:A,customer_orders!G:G)</f>
        <v>2026-w04</v>
      </c>
      <c r="K180">
        <f>IFERROR(_xlfn.XLOOKUP(B180,shipments!B:B,shipments!H:H),0)</f>
        <v>10.27</v>
      </c>
      <c r="L180">
        <f t="shared" si="7"/>
        <v>0.01</v>
      </c>
      <c r="M180" t="str">
        <f>_xlfn.XLOOKUP(B180,customer_orders!A:A,customer_orders!D:D)</f>
        <v>Ebay</v>
      </c>
      <c r="N180" t="str">
        <f>_xlfn.XLOOKUP(C180,inventory!B:B,inventory!C:C)</f>
        <v>South Jordan</v>
      </c>
      <c r="O180">
        <f>IF(_xlfn.XLOOKUP(C180,products!A:A,products!E:E)="NULL",0,_xlfn.XLOOKUP(C180,products!A:A,products!E:E))</f>
        <v>53.81</v>
      </c>
      <c r="P180">
        <f t="shared" si="8"/>
        <v>807.06999999999994</v>
      </c>
      <c r="Q180" s="2" t="str">
        <f>_xlfn.XLOOKUP(I180,products!B:B,products!D:D)</f>
        <v>Beauty</v>
      </c>
    </row>
    <row r="181" spans="1:17">
      <c r="A181">
        <v>180</v>
      </c>
      <c r="B181">
        <v>1075</v>
      </c>
      <c r="C181">
        <v>119</v>
      </c>
      <c r="D181">
        <v>2</v>
      </c>
      <c r="E181">
        <v>27.97</v>
      </c>
      <c r="F181">
        <v>0</v>
      </c>
      <c r="G181">
        <f t="shared" si="6"/>
        <v>55.94</v>
      </c>
      <c r="H181" t="str">
        <f>_xlfn.XLOOKUP(B181,customer_orders!A:A,customer_orders!F:F)</f>
        <v>2026-01</v>
      </c>
      <c r="I181" t="str">
        <f>_xlfn.XLOOKUP(C181,products!A:A,products!B:B)</f>
        <v>SKU-0119</v>
      </c>
      <c r="J181" t="str">
        <f>_xlfn.XLOOKUP(B181,customer_orders!A:A,customer_orders!G:G)</f>
        <v>2026-w04</v>
      </c>
      <c r="K181">
        <f>IFERROR(_xlfn.XLOOKUP(B181,shipments!B:B,shipments!H:H),0)</f>
        <v>10.27</v>
      </c>
      <c r="L181">
        <f t="shared" si="7"/>
        <v>0.18</v>
      </c>
      <c r="M181" t="str">
        <f>_xlfn.XLOOKUP(B181,customer_orders!A:A,customer_orders!D:D)</f>
        <v>Ebay</v>
      </c>
      <c r="N181" t="str">
        <f>_xlfn.XLOOKUP(C181,inventory!B:B,inventory!C:C)</f>
        <v>Lehi</v>
      </c>
      <c r="O181">
        <f>IF(_xlfn.XLOOKUP(C181,products!A:A,products!E:E)="NULL",0,_xlfn.XLOOKUP(C181,products!A:A,products!E:E))</f>
        <v>27.15</v>
      </c>
      <c r="P181">
        <f t="shared" si="8"/>
        <v>28.79</v>
      </c>
      <c r="Q181" s="2" t="str">
        <f>_xlfn.XLOOKUP(I181,products!B:B,products!D:D)</f>
        <v>Electronics</v>
      </c>
    </row>
    <row r="182" spans="1:17">
      <c r="A182">
        <v>181</v>
      </c>
      <c r="B182">
        <v>1075</v>
      </c>
      <c r="C182">
        <v>121</v>
      </c>
      <c r="D182">
        <v>4</v>
      </c>
      <c r="E182">
        <v>151.43</v>
      </c>
      <c r="F182">
        <v>8.01</v>
      </c>
      <c r="G182">
        <f t="shared" si="6"/>
        <v>597.71</v>
      </c>
      <c r="H182" t="str">
        <f>_xlfn.XLOOKUP(B182,customer_orders!A:A,customer_orders!F:F)</f>
        <v>2026-01</v>
      </c>
      <c r="I182" t="str">
        <f>_xlfn.XLOOKUP(C182,products!A:A,products!B:B)</f>
        <v>SKU-0121</v>
      </c>
      <c r="J182" t="str">
        <f>_xlfn.XLOOKUP(B182,customer_orders!A:A,customer_orders!G:G)</f>
        <v>2026-w04</v>
      </c>
      <c r="K182">
        <f>IFERROR(_xlfn.XLOOKUP(B182,shipments!B:B,shipments!H:H),0)</f>
        <v>10.27</v>
      </c>
      <c r="L182">
        <f t="shared" si="7"/>
        <v>0.02</v>
      </c>
      <c r="M182" t="str">
        <f>_xlfn.XLOOKUP(B182,customer_orders!A:A,customer_orders!D:D)</f>
        <v>Ebay</v>
      </c>
      <c r="N182" t="str">
        <f>_xlfn.XLOOKUP(C182,inventory!B:B,inventory!C:C)</f>
        <v>South Jordan</v>
      </c>
      <c r="O182">
        <f>IF(_xlfn.XLOOKUP(C182,products!A:A,products!E:E)="NULL",0,_xlfn.XLOOKUP(C182,products!A:A,products!E:E))</f>
        <v>54.76</v>
      </c>
      <c r="P182">
        <f t="shared" si="8"/>
        <v>542.95000000000005</v>
      </c>
      <c r="Q182" s="2" t="str">
        <f>_xlfn.XLOOKUP(I182,products!B:B,products!D:D)</f>
        <v>Electronics</v>
      </c>
    </row>
    <row r="183" spans="1:17">
      <c r="A183">
        <v>182</v>
      </c>
      <c r="B183">
        <v>1076</v>
      </c>
      <c r="C183">
        <v>47</v>
      </c>
      <c r="D183">
        <v>2</v>
      </c>
      <c r="E183">
        <v>100.5</v>
      </c>
      <c r="F183">
        <v>0</v>
      </c>
      <c r="G183">
        <f t="shared" si="6"/>
        <v>201</v>
      </c>
      <c r="H183" t="str">
        <f>_xlfn.XLOOKUP(B183,customer_orders!A:A,customer_orders!F:F)</f>
        <v>2026-04</v>
      </c>
      <c r="I183" t="str">
        <f>_xlfn.XLOOKUP(C183,products!A:A,products!B:B)</f>
        <v>SKU-0047</v>
      </c>
      <c r="J183" t="str">
        <f>_xlfn.XLOOKUP(B183,customer_orders!A:A,customer_orders!G:G)</f>
        <v>2026-w16</v>
      </c>
      <c r="K183">
        <f>IFERROR(_xlfn.XLOOKUP(B183,shipments!B:B,shipments!H:H),0)</f>
        <v>75.28</v>
      </c>
      <c r="L183">
        <f t="shared" si="7"/>
        <v>0.37</v>
      </c>
      <c r="M183" t="str">
        <f>_xlfn.XLOOKUP(B183,customer_orders!A:A,customer_orders!D:D)</f>
        <v>Walmart</v>
      </c>
      <c r="N183" t="str">
        <f>_xlfn.XLOOKUP(C183,inventory!B:B,inventory!C:C)</f>
        <v>Salt Lake City</v>
      </c>
      <c r="O183">
        <f>IF(_xlfn.XLOOKUP(C183,products!A:A,products!E:E)="NULL",0,_xlfn.XLOOKUP(C183,products!A:A,products!E:E))</f>
        <v>122.55</v>
      </c>
      <c r="P183">
        <f t="shared" si="8"/>
        <v>78.45</v>
      </c>
      <c r="Q183" s="2" t="str">
        <f>_xlfn.XLOOKUP(I183,products!B:B,products!D:D)</f>
        <v>Office</v>
      </c>
    </row>
    <row r="184" spans="1:17">
      <c r="A184">
        <v>183</v>
      </c>
      <c r="B184">
        <v>1076</v>
      </c>
      <c r="C184">
        <v>81</v>
      </c>
      <c r="D184">
        <v>1</v>
      </c>
      <c r="E184">
        <v>244.17</v>
      </c>
      <c r="F184">
        <v>0</v>
      </c>
      <c r="G184">
        <f t="shared" si="6"/>
        <v>244.17</v>
      </c>
      <c r="H184" t="str">
        <f>_xlfn.XLOOKUP(B184,customer_orders!A:A,customer_orders!F:F)</f>
        <v>2026-04</v>
      </c>
      <c r="I184" t="str">
        <f>_xlfn.XLOOKUP(C184,products!A:A,products!B:B)</f>
        <v>SKU-0081</v>
      </c>
      <c r="J184" t="str">
        <f>_xlfn.XLOOKUP(B184,customer_orders!A:A,customer_orders!G:G)</f>
        <v>2026-w16</v>
      </c>
      <c r="K184">
        <f>IFERROR(_xlfn.XLOOKUP(B184,shipments!B:B,shipments!H:H),0)</f>
        <v>75.28</v>
      </c>
      <c r="L184">
        <f t="shared" si="7"/>
        <v>0.31</v>
      </c>
      <c r="M184" t="str">
        <f>_xlfn.XLOOKUP(B184,customer_orders!A:A,customer_orders!D:D)</f>
        <v>Walmart</v>
      </c>
      <c r="N184" t="str">
        <f>_xlfn.XLOOKUP(C184,inventory!B:B,inventory!C:C)</f>
        <v>Lehi</v>
      </c>
      <c r="O184">
        <f>IF(_xlfn.XLOOKUP(C184,products!A:A,products!E:E)="NULL",0,_xlfn.XLOOKUP(C184,products!A:A,products!E:E))</f>
        <v>43.3</v>
      </c>
      <c r="P184">
        <f t="shared" si="8"/>
        <v>200.87</v>
      </c>
      <c r="Q184" s="2" t="str">
        <f>_xlfn.XLOOKUP(I184,products!B:B,products!D:D)</f>
        <v>Home</v>
      </c>
    </row>
    <row r="185" spans="1:17">
      <c r="A185">
        <v>184</v>
      </c>
      <c r="B185">
        <v>1076</v>
      </c>
      <c r="C185">
        <v>54</v>
      </c>
      <c r="D185">
        <v>3</v>
      </c>
      <c r="E185">
        <v>256.14</v>
      </c>
      <c r="F185">
        <v>0</v>
      </c>
      <c r="G185">
        <f t="shared" si="6"/>
        <v>768.42</v>
      </c>
      <c r="H185" t="str">
        <f>_xlfn.XLOOKUP(B185,customer_orders!A:A,customer_orders!F:F)</f>
        <v>2026-04</v>
      </c>
      <c r="I185" t="str">
        <f>_xlfn.XLOOKUP(C185,products!A:A,products!B:B)</f>
        <v>SKU-0054</v>
      </c>
      <c r="J185" t="str">
        <f>_xlfn.XLOOKUP(B185,customer_orders!A:A,customer_orders!G:G)</f>
        <v>2026-w16</v>
      </c>
      <c r="K185">
        <f>IFERROR(_xlfn.XLOOKUP(B185,shipments!B:B,shipments!H:H),0)</f>
        <v>75.28</v>
      </c>
      <c r="L185">
        <f t="shared" si="7"/>
        <v>0.1</v>
      </c>
      <c r="M185" t="str">
        <f>_xlfn.XLOOKUP(B185,customer_orders!A:A,customer_orders!D:D)</f>
        <v>Walmart</v>
      </c>
      <c r="N185" t="str">
        <f>_xlfn.XLOOKUP(C185,inventory!B:B,inventory!C:C)</f>
        <v>Salt Lake City</v>
      </c>
      <c r="O185">
        <f>IF(_xlfn.XLOOKUP(C185,products!A:A,products!E:E)="NULL",0,_xlfn.XLOOKUP(C185,products!A:A,products!E:E))</f>
        <v>163.43</v>
      </c>
      <c r="P185">
        <f t="shared" si="8"/>
        <v>604.99</v>
      </c>
      <c r="Q185" s="2" t="str">
        <f>_xlfn.XLOOKUP(I185,products!B:B,products!D:D)</f>
        <v>Pet</v>
      </c>
    </row>
    <row r="186" spans="1:17">
      <c r="A186">
        <v>185</v>
      </c>
      <c r="B186">
        <v>1077</v>
      </c>
      <c r="C186">
        <v>96</v>
      </c>
      <c r="D186">
        <v>1</v>
      </c>
      <c r="E186">
        <v>252.1</v>
      </c>
      <c r="F186">
        <v>0</v>
      </c>
      <c r="G186">
        <f t="shared" si="6"/>
        <v>252.1</v>
      </c>
      <c r="H186" t="str">
        <f>_xlfn.XLOOKUP(B186,customer_orders!A:A,customer_orders!F:F)</f>
        <v>2026-04</v>
      </c>
      <c r="I186" t="str">
        <f>_xlfn.XLOOKUP(C186,products!A:A,products!B:B)</f>
        <v>SKU-0096</v>
      </c>
      <c r="J186" t="str">
        <f>_xlfn.XLOOKUP(B186,customer_orders!A:A,customer_orders!G:G)</f>
        <v>2026-w15</v>
      </c>
      <c r="K186">
        <f>IFERROR(_xlfn.XLOOKUP(B186,shipments!B:B,shipments!H:H),0)</f>
        <v>40.200000000000003</v>
      </c>
      <c r="L186">
        <f t="shared" si="7"/>
        <v>0.16</v>
      </c>
      <c r="M186" t="str">
        <f>_xlfn.XLOOKUP(B186,customer_orders!A:A,customer_orders!D:D)</f>
        <v>Amazon</v>
      </c>
      <c r="N186" t="str">
        <f>_xlfn.XLOOKUP(C186,inventory!B:B,inventory!C:C)</f>
        <v>Unknown</v>
      </c>
      <c r="O186">
        <f>IF(_xlfn.XLOOKUP(C186,products!A:A,products!E:E)="NULL",0,_xlfn.XLOOKUP(C186,products!A:A,products!E:E))</f>
        <v>136.6</v>
      </c>
      <c r="P186">
        <f t="shared" si="8"/>
        <v>115.5</v>
      </c>
      <c r="Q186" s="2" t="str">
        <f>_xlfn.XLOOKUP(I186,products!B:B,products!D:D)</f>
        <v>Office</v>
      </c>
    </row>
    <row r="187" spans="1:17">
      <c r="A187">
        <v>186</v>
      </c>
      <c r="B187">
        <v>1077</v>
      </c>
      <c r="C187">
        <v>5</v>
      </c>
      <c r="D187">
        <v>1</v>
      </c>
      <c r="E187">
        <v>59.31</v>
      </c>
      <c r="F187">
        <v>0</v>
      </c>
      <c r="G187">
        <f t="shared" si="6"/>
        <v>59.31</v>
      </c>
      <c r="H187" t="str">
        <f>_xlfn.XLOOKUP(B187,customer_orders!A:A,customer_orders!F:F)</f>
        <v>2026-04</v>
      </c>
      <c r="I187" t="str">
        <f>_xlfn.XLOOKUP(C187,products!A:A,products!B:B)</f>
        <v>SKU-0005</v>
      </c>
      <c r="J187" t="str">
        <f>_xlfn.XLOOKUP(B187,customer_orders!A:A,customer_orders!G:G)</f>
        <v>2026-w15</v>
      </c>
      <c r="K187">
        <f>IFERROR(_xlfn.XLOOKUP(B187,shipments!B:B,shipments!H:H),0)</f>
        <v>40.200000000000003</v>
      </c>
      <c r="L187">
        <f t="shared" si="7"/>
        <v>0.68</v>
      </c>
      <c r="M187" t="str">
        <f>_xlfn.XLOOKUP(B187,customer_orders!A:A,customer_orders!D:D)</f>
        <v>Amazon</v>
      </c>
      <c r="N187" t="str">
        <f>_xlfn.XLOOKUP(C187,inventory!B:B,inventory!C:C)</f>
        <v>South Jordan</v>
      </c>
      <c r="O187">
        <f>IF(_xlfn.XLOOKUP(C187,products!A:A,products!E:E)="NULL",0,_xlfn.XLOOKUP(C187,products!A:A,products!E:E))</f>
        <v>64.540000000000006</v>
      </c>
      <c r="P187">
        <f t="shared" si="8"/>
        <v>-5.230000000000004</v>
      </c>
      <c r="Q187" s="2" t="str">
        <f>_xlfn.XLOOKUP(I187,products!B:B,products!D:D)</f>
        <v>Toys</v>
      </c>
    </row>
    <row r="188" spans="1:17">
      <c r="A188">
        <v>187</v>
      </c>
      <c r="B188">
        <v>1078</v>
      </c>
      <c r="C188">
        <v>134</v>
      </c>
      <c r="D188">
        <v>6</v>
      </c>
      <c r="E188">
        <v>26.36</v>
      </c>
      <c r="F188">
        <v>0</v>
      </c>
      <c r="G188">
        <f t="shared" si="6"/>
        <v>158.16</v>
      </c>
      <c r="H188" t="str">
        <f>_xlfn.XLOOKUP(B188,customer_orders!A:A,customer_orders!F:F)</f>
        <v>2026-01</v>
      </c>
      <c r="I188" t="str">
        <f>_xlfn.XLOOKUP(C188,products!A:A,products!B:B)</f>
        <v>SKU-0134</v>
      </c>
      <c r="J188" t="str">
        <f>_xlfn.XLOOKUP(B188,customer_orders!A:A,customer_orders!G:G)</f>
        <v>2026-w03</v>
      </c>
      <c r="K188">
        <f>IFERROR(_xlfn.XLOOKUP(B188,shipments!B:B,shipments!H:H),0)</f>
        <v>47.52</v>
      </c>
      <c r="L188">
        <f t="shared" si="7"/>
        <v>0.3</v>
      </c>
      <c r="M188" t="str">
        <f>_xlfn.XLOOKUP(B188,customer_orders!A:A,customer_orders!D:D)</f>
        <v>Ebay</v>
      </c>
      <c r="N188" t="str">
        <f>_xlfn.XLOOKUP(C188,inventory!B:B,inventory!C:C)</f>
        <v>Draper</v>
      </c>
      <c r="O188">
        <f>IF(_xlfn.XLOOKUP(C188,products!A:A,products!E:E)="NULL",0,_xlfn.XLOOKUP(C188,products!A:A,products!E:E))</f>
        <v>19.079999999999998</v>
      </c>
      <c r="P188">
        <f t="shared" si="8"/>
        <v>139.07999999999998</v>
      </c>
      <c r="Q188" s="2" t="str">
        <f>_xlfn.XLOOKUP(I188,products!B:B,products!D:D)</f>
        <v>Pet</v>
      </c>
    </row>
    <row r="189" spans="1:17">
      <c r="A189">
        <v>188</v>
      </c>
      <c r="B189">
        <v>1078</v>
      </c>
      <c r="C189">
        <v>88</v>
      </c>
      <c r="D189">
        <v>8</v>
      </c>
      <c r="E189">
        <v>109.3</v>
      </c>
      <c r="F189">
        <v>0</v>
      </c>
      <c r="G189">
        <f t="shared" si="6"/>
        <v>874.4</v>
      </c>
      <c r="H189" t="str">
        <f>_xlfn.XLOOKUP(B189,customer_orders!A:A,customer_orders!F:F)</f>
        <v>2026-01</v>
      </c>
      <c r="I189" t="str">
        <f>_xlfn.XLOOKUP(C189,products!A:A,products!B:B)</f>
        <v>SKU-0088</v>
      </c>
      <c r="J189" t="str">
        <f>_xlfn.XLOOKUP(B189,customer_orders!A:A,customer_orders!G:G)</f>
        <v>2026-w03</v>
      </c>
      <c r="K189">
        <f>IFERROR(_xlfn.XLOOKUP(B189,shipments!B:B,shipments!H:H),0)</f>
        <v>47.52</v>
      </c>
      <c r="L189">
        <f t="shared" si="7"/>
        <v>0.05</v>
      </c>
      <c r="M189" t="str">
        <f>_xlfn.XLOOKUP(B189,customer_orders!A:A,customer_orders!D:D)</f>
        <v>Ebay</v>
      </c>
      <c r="N189" t="str">
        <f>_xlfn.XLOOKUP(C189,inventory!B:B,inventory!C:C)</f>
        <v>Salt Lake City</v>
      </c>
      <c r="O189">
        <f>IF(_xlfn.XLOOKUP(C189,products!A:A,products!E:E)="NULL",0,_xlfn.XLOOKUP(C189,products!A:A,products!E:E))</f>
        <v>77.599999999999994</v>
      </c>
      <c r="P189">
        <f t="shared" si="8"/>
        <v>796.8</v>
      </c>
      <c r="Q189" s="2" t="str">
        <f>_xlfn.XLOOKUP(I189,products!B:B,products!D:D)</f>
        <v>Beauty</v>
      </c>
    </row>
    <row r="190" spans="1:17">
      <c r="A190">
        <v>189</v>
      </c>
      <c r="B190">
        <v>1078</v>
      </c>
      <c r="C190">
        <v>43</v>
      </c>
      <c r="D190">
        <v>7</v>
      </c>
      <c r="E190">
        <v>277.02999999999997</v>
      </c>
      <c r="F190">
        <v>0</v>
      </c>
      <c r="G190">
        <f t="shared" si="6"/>
        <v>1939.2099999999998</v>
      </c>
      <c r="H190" t="str">
        <f>_xlfn.XLOOKUP(B190,customer_orders!A:A,customer_orders!F:F)</f>
        <v>2026-01</v>
      </c>
      <c r="I190" t="str">
        <f>_xlfn.XLOOKUP(C190,products!A:A,products!B:B)</f>
        <v>SKU-0043</v>
      </c>
      <c r="J190" t="str">
        <f>_xlfn.XLOOKUP(B190,customer_orders!A:A,customer_orders!G:G)</f>
        <v>2026-w03</v>
      </c>
      <c r="K190">
        <f>IFERROR(_xlfn.XLOOKUP(B190,shipments!B:B,shipments!H:H),0)</f>
        <v>47.52</v>
      </c>
      <c r="L190">
        <f t="shared" si="7"/>
        <v>0.02</v>
      </c>
      <c r="M190" t="str">
        <f>_xlfn.XLOOKUP(B190,customer_orders!A:A,customer_orders!D:D)</f>
        <v>Ebay</v>
      </c>
      <c r="N190" t="str">
        <f>_xlfn.XLOOKUP(C190,inventory!B:B,inventory!C:C)</f>
        <v>Draper</v>
      </c>
      <c r="O190">
        <f>IF(_xlfn.XLOOKUP(C190,products!A:A,products!E:E)="NULL",0,_xlfn.XLOOKUP(C190,products!A:A,products!E:E))</f>
        <v>88.44</v>
      </c>
      <c r="P190">
        <f t="shared" si="8"/>
        <v>1850.7699999999998</v>
      </c>
      <c r="Q190" s="2" t="str">
        <f>_xlfn.XLOOKUP(I190,products!B:B,products!D:D)</f>
        <v>Electronics</v>
      </c>
    </row>
    <row r="191" spans="1:17">
      <c r="A191">
        <v>190</v>
      </c>
      <c r="B191">
        <v>1078</v>
      </c>
      <c r="C191">
        <v>34</v>
      </c>
      <c r="D191">
        <v>4</v>
      </c>
      <c r="E191">
        <v>222.79</v>
      </c>
      <c r="F191">
        <v>0</v>
      </c>
      <c r="G191">
        <f t="shared" si="6"/>
        <v>891.16</v>
      </c>
      <c r="H191" t="str">
        <f>_xlfn.XLOOKUP(B191,customer_orders!A:A,customer_orders!F:F)</f>
        <v>2026-01</v>
      </c>
      <c r="I191" t="str">
        <f>_xlfn.XLOOKUP(C191,products!A:A,products!B:B)</f>
        <v>SKU-0034</v>
      </c>
      <c r="J191" t="str">
        <f>_xlfn.XLOOKUP(B191,customer_orders!A:A,customer_orders!G:G)</f>
        <v>2026-w03</v>
      </c>
      <c r="K191">
        <f>IFERROR(_xlfn.XLOOKUP(B191,shipments!B:B,shipments!H:H),0)</f>
        <v>47.52</v>
      </c>
      <c r="L191">
        <f t="shared" si="7"/>
        <v>0.05</v>
      </c>
      <c r="M191" t="str">
        <f>_xlfn.XLOOKUP(B191,customer_orders!A:A,customer_orders!D:D)</f>
        <v>Ebay</v>
      </c>
      <c r="N191" t="str">
        <f>_xlfn.XLOOKUP(C191,inventory!B:B,inventory!C:C)</f>
        <v>Salt Lake City</v>
      </c>
      <c r="O191">
        <f>IF(_xlfn.XLOOKUP(C191,products!A:A,products!E:E)="NULL",0,_xlfn.XLOOKUP(C191,products!A:A,products!E:E))</f>
        <v>86.73</v>
      </c>
      <c r="P191">
        <f t="shared" si="8"/>
        <v>804.43</v>
      </c>
      <c r="Q191" s="2" t="str">
        <f>_xlfn.XLOOKUP(I191,products!B:B,products!D:D)</f>
        <v>Office</v>
      </c>
    </row>
    <row r="192" spans="1:17">
      <c r="A192">
        <v>191</v>
      </c>
      <c r="B192">
        <v>1079</v>
      </c>
      <c r="C192">
        <v>13</v>
      </c>
      <c r="D192">
        <v>2</v>
      </c>
      <c r="E192">
        <v>236.16</v>
      </c>
      <c r="F192">
        <v>6.83</v>
      </c>
      <c r="G192">
        <f t="shared" si="6"/>
        <v>465.49</v>
      </c>
      <c r="H192" t="str">
        <f>_xlfn.XLOOKUP(B192,customer_orders!A:A,customer_orders!F:F)</f>
        <v>2026-01</v>
      </c>
      <c r="I192" t="str">
        <f>_xlfn.XLOOKUP(C192,products!A:A,products!B:B)</f>
        <v>SKU-0013</v>
      </c>
      <c r="J192" t="str">
        <f>_xlfn.XLOOKUP(B192,customer_orders!A:A,customer_orders!G:G)</f>
        <v>2026-w03</v>
      </c>
      <c r="K192">
        <f>IFERROR(_xlfn.XLOOKUP(B192,shipments!B:B,shipments!H:H),0)</f>
        <v>59.03</v>
      </c>
      <c r="L192">
        <f t="shared" si="7"/>
        <v>0.13</v>
      </c>
      <c r="M192" t="str">
        <f>_xlfn.XLOOKUP(B192,customer_orders!A:A,customer_orders!D:D)</f>
        <v>Amazon</v>
      </c>
      <c r="N192" t="str">
        <f>_xlfn.XLOOKUP(C192,inventory!B:B,inventory!C:C)</f>
        <v>Draper</v>
      </c>
      <c r="O192">
        <f>IF(_xlfn.XLOOKUP(C192,products!A:A,products!E:E)="NULL",0,_xlfn.XLOOKUP(C192,products!A:A,products!E:E))</f>
        <v>152.5</v>
      </c>
      <c r="P192">
        <f t="shared" si="8"/>
        <v>312.99</v>
      </c>
      <c r="Q192" s="2" t="str">
        <f>_xlfn.XLOOKUP(I192,products!B:B,products!D:D)</f>
        <v>Beauty</v>
      </c>
    </row>
    <row r="193" spans="1:17">
      <c r="A193">
        <v>192</v>
      </c>
      <c r="B193">
        <v>1080</v>
      </c>
      <c r="C193">
        <v>36</v>
      </c>
      <c r="D193">
        <v>7</v>
      </c>
      <c r="E193">
        <v>94.39</v>
      </c>
      <c r="F193">
        <v>0</v>
      </c>
      <c r="G193">
        <f t="shared" si="6"/>
        <v>660.73</v>
      </c>
      <c r="H193" t="str">
        <f>_xlfn.XLOOKUP(B193,customer_orders!A:A,customer_orders!F:F)</f>
        <v>2026-04</v>
      </c>
      <c r="I193" t="str">
        <f>_xlfn.XLOOKUP(C193,products!A:A,products!B:B)</f>
        <v>SKU-0036</v>
      </c>
      <c r="J193" t="str">
        <f>_xlfn.XLOOKUP(B193,customer_orders!A:A,customer_orders!G:G)</f>
        <v>2026-w16</v>
      </c>
      <c r="K193">
        <f>IFERROR(_xlfn.XLOOKUP(B193,shipments!B:B,shipments!H:H),0)</f>
        <v>85.6</v>
      </c>
      <c r="L193">
        <f t="shared" si="7"/>
        <v>0.13</v>
      </c>
      <c r="M193" t="str">
        <f>_xlfn.XLOOKUP(B193,customer_orders!A:A,customer_orders!D:D)</f>
        <v>Amazon</v>
      </c>
      <c r="N193" t="str">
        <f>_xlfn.XLOOKUP(C193,inventory!B:B,inventory!C:C)</f>
        <v>Draper</v>
      </c>
      <c r="O193">
        <f>IF(_xlfn.XLOOKUP(C193,products!A:A,products!E:E)="NULL",0,_xlfn.XLOOKUP(C193,products!A:A,products!E:E))</f>
        <v>78.83</v>
      </c>
      <c r="P193">
        <f t="shared" si="8"/>
        <v>581.9</v>
      </c>
      <c r="Q193" s="2" t="str">
        <f>_xlfn.XLOOKUP(I193,products!B:B,products!D:D)</f>
        <v>Pet</v>
      </c>
    </row>
    <row r="194" spans="1:17">
      <c r="A194">
        <v>193</v>
      </c>
      <c r="B194">
        <v>1080</v>
      </c>
      <c r="C194">
        <v>131</v>
      </c>
      <c r="D194">
        <v>2</v>
      </c>
      <c r="E194">
        <v>57.46</v>
      </c>
      <c r="F194">
        <v>0</v>
      </c>
      <c r="G194">
        <f t="shared" si="6"/>
        <v>114.92</v>
      </c>
      <c r="H194" t="str">
        <f>_xlfn.XLOOKUP(B194,customer_orders!A:A,customer_orders!F:F)</f>
        <v>2026-04</v>
      </c>
      <c r="I194" t="str">
        <f>_xlfn.XLOOKUP(C194,products!A:A,products!B:B)</f>
        <v>SKU-0131</v>
      </c>
      <c r="J194" t="str">
        <f>_xlfn.XLOOKUP(B194,customer_orders!A:A,customer_orders!G:G)</f>
        <v>2026-w16</v>
      </c>
      <c r="K194">
        <f>IFERROR(_xlfn.XLOOKUP(B194,shipments!B:B,shipments!H:H),0)</f>
        <v>85.6</v>
      </c>
      <c r="L194">
        <f t="shared" si="7"/>
        <v>0.74</v>
      </c>
      <c r="M194" t="str">
        <f>_xlfn.XLOOKUP(B194,customer_orders!A:A,customer_orders!D:D)</f>
        <v>Amazon</v>
      </c>
      <c r="N194" t="str">
        <f>_xlfn.XLOOKUP(C194,inventory!B:B,inventory!C:C)</f>
        <v>Salt Lake City</v>
      </c>
      <c r="O194">
        <f>IF(_xlfn.XLOOKUP(C194,products!A:A,products!E:E)="NULL",0,_xlfn.XLOOKUP(C194,products!A:A,products!E:E))</f>
        <v>44.34</v>
      </c>
      <c r="P194">
        <f t="shared" si="8"/>
        <v>70.58</v>
      </c>
      <c r="Q194" s="2" t="str">
        <f>_xlfn.XLOOKUP(I194,products!B:B,products!D:D)</f>
        <v>Home</v>
      </c>
    </row>
    <row r="195" spans="1:17">
      <c r="A195">
        <v>194</v>
      </c>
      <c r="B195">
        <v>1080</v>
      </c>
      <c r="C195">
        <v>128</v>
      </c>
      <c r="D195">
        <v>4</v>
      </c>
      <c r="E195">
        <v>143.38999999999999</v>
      </c>
      <c r="F195">
        <v>0</v>
      </c>
      <c r="G195">
        <f t="shared" ref="G195:G258" si="9">E195*D195-F195</f>
        <v>573.55999999999995</v>
      </c>
      <c r="H195" t="str">
        <f>_xlfn.XLOOKUP(B195,customer_orders!A:A,customer_orders!F:F)</f>
        <v>2026-04</v>
      </c>
      <c r="I195" t="str">
        <f>_xlfn.XLOOKUP(C195,products!A:A,products!B:B)</f>
        <v>SKU-0128</v>
      </c>
      <c r="J195" t="str">
        <f>_xlfn.XLOOKUP(B195,customer_orders!A:A,customer_orders!G:G)</f>
        <v>2026-w16</v>
      </c>
      <c r="K195">
        <f>IFERROR(_xlfn.XLOOKUP(B195,shipments!B:B,shipments!H:H),0)</f>
        <v>85.6</v>
      </c>
      <c r="L195">
        <f t="shared" ref="L195:L258" si="10">ROUND(K195/G195,2)</f>
        <v>0.15</v>
      </c>
      <c r="M195" t="str">
        <f>_xlfn.XLOOKUP(B195,customer_orders!A:A,customer_orders!D:D)</f>
        <v>Amazon</v>
      </c>
      <c r="N195" t="str">
        <f>_xlfn.XLOOKUP(C195,inventory!B:B,inventory!C:C)</f>
        <v>West Valley</v>
      </c>
      <c r="O195">
        <f>IF(_xlfn.XLOOKUP(C195,products!A:A,products!E:E)="NULL",0,_xlfn.XLOOKUP(C195,products!A:A,products!E:E))</f>
        <v>5.47</v>
      </c>
      <c r="P195">
        <f t="shared" ref="P195:P258" si="11">G195-O195</f>
        <v>568.08999999999992</v>
      </c>
      <c r="Q195" s="2" t="str">
        <f>_xlfn.XLOOKUP(I195,products!B:B,products!D:D)</f>
        <v>Home</v>
      </c>
    </row>
    <row r="196" spans="1:17">
      <c r="A196">
        <v>195</v>
      </c>
      <c r="B196">
        <v>1081</v>
      </c>
      <c r="C196">
        <v>23</v>
      </c>
      <c r="D196">
        <v>2</v>
      </c>
      <c r="E196">
        <v>58.56</v>
      </c>
      <c r="F196">
        <v>12.69</v>
      </c>
      <c r="G196">
        <f t="shared" si="9"/>
        <v>104.43</v>
      </c>
      <c r="H196" t="str">
        <f>_xlfn.XLOOKUP(B196,customer_orders!A:A,customer_orders!F:F)</f>
        <v>2026-05</v>
      </c>
      <c r="I196" t="str">
        <f>_xlfn.XLOOKUP(C196,products!A:A,products!B:B)</f>
        <v>SKU-0023</v>
      </c>
      <c r="J196" t="str">
        <f>_xlfn.XLOOKUP(B196,customer_orders!A:A,customer_orders!G:G)</f>
        <v>2026-w19</v>
      </c>
      <c r="K196">
        <f>IFERROR(_xlfn.XLOOKUP(B196,shipments!B:B,shipments!H:H),0)</f>
        <v>87.93</v>
      </c>
      <c r="L196">
        <f t="shared" si="10"/>
        <v>0.84</v>
      </c>
      <c r="M196" t="str">
        <f>_xlfn.XLOOKUP(B196,customer_orders!A:A,customer_orders!D:D)</f>
        <v>Shopify</v>
      </c>
      <c r="N196" t="str">
        <f>_xlfn.XLOOKUP(C196,inventory!B:B,inventory!C:C)</f>
        <v>Draper</v>
      </c>
      <c r="O196">
        <f>IF(_xlfn.XLOOKUP(C196,products!A:A,products!E:E)="NULL",0,_xlfn.XLOOKUP(C196,products!A:A,products!E:E))</f>
        <v>111.57</v>
      </c>
      <c r="P196">
        <f t="shared" si="11"/>
        <v>-7.1399999999999864</v>
      </c>
      <c r="Q196" s="2" t="str">
        <f>_xlfn.XLOOKUP(I196,products!B:B,products!D:D)</f>
        <v>Sports</v>
      </c>
    </row>
    <row r="197" spans="1:17">
      <c r="A197">
        <v>196</v>
      </c>
      <c r="B197">
        <v>1082</v>
      </c>
      <c r="C197">
        <v>45</v>
      </c>
      <c r="D197">
        <v>1</v>
      </c>
      <c r="E197">
        <v>184.44</v>
      </c>
      <c r="F197">
        <v>0</v>
      </c>
      <c r="G197">
        <f t="shared" si="9"/>
        <v>184.44</v>
      </c>
      <c r="H197" t="str">
        <f>_xlfn.XLOOKUP(B197,customer_orders!A:A,customer_orders!F:F)</f>
        <v>2026-03</v>
      </c>
      <c r="I197" t="str">
        <f>_xlfn.XLOOKUP(C197,products!A:A,products!B:B)</f>
        <v>SKU-0045</v>
      </c>
      <c r="J197" t="str">
        <f>_xlfn.XLOOKUP(B197,customer_orders!A:A,customer_orders!G:G)</f>
        <v>2026-w12</v>
      </c>
      <c r="K197">
        <f>IFERROR(_xlfn.XLOOKUP(B197,shipments!B:B,shipments!H:H),0)</f>
        <v>0</v>
      </c>
      <c r="L197">
        <f t="shared" si="10"/>
        <v>0</v>
      </c>
      <c r="M197" t="str">
        <f>_xlfn.XLOOKUP(B197,customer_orders!A:A,customer_orders!D:D)</f>
        <v>Walmart</v>
      </c>
      <c r="N197" t="str">
        <f>_xlfn.XLOOKUP(C197,inventory!B:B,inventory!C:C)</f>
        <v>Draper</v>
      </c>
      <c r="O197">
        <f>IF(_xlfn.XLOOKUP(C197,products!A:A,products!E:E)="NULL",0,_xlfn.XLOOKUP(C197,products!A:A,products!E:E))</f>
        <v>48.09</v>
      </c>
      <c r="P197">
        <f t="shared" si="11"/>
        <v>136.35</v>
      </c>
      <c r="Q197" s="2" t="str">
        <f>_xlfn.XLOOKUP(I197,products!B:B,products!D:D)</f>
        <v>Home</v>
      </c>
    </row>
    <row r="198" spans="1:17">
      <c r="A198">
        <v>197</v>
      </c>
      <c r="B198">
        <v>1083</v>
      </c>
      <c r="C198">
        <v>12</v>
      </c>
      <c r="D198">
        <v>1</v>
      </c>
      <c r="E198">
        <v>61.57</v>
      </c>
      <c r="F198">
        <v>0</v>
      </c>
      <c r="G198">
        <f t="shared" si="9"/>
        <v>61.57</v>
      </c>
      <c r="H198" t="str">
        <f>_xlfn.XLOOKUP(B198,customer_orders!A:A,customer_orders!F:F)</f>
        <v>2026-03</v>
      </c>
      <c r="I198" t="str">
        <f>_xlfn.XLOOKUP(C198,products!A:A,products!B:B)</f>
        <v>SKU-0012</v>
      </c>
      <c r="J198" t="str">
        <f>_xlfn.XLOOKUP(B198,customer_orders!A:A,customer_orders!G:G)</f>
        <v>2026-w13</v>
      </c>
      <c r="K198">
        <f>IFERROR(_xlfn.XLOOKUP(B198,shipments!B:B,shipments!H:H),0)</f>
        <v>114.79</v>
      </c>
      <c r="L198">
        <f t="shared" si="10"/>
        <v>1.86</v>
      </c>
      <c r="M198" t="str">
        <f>_xlfn.XLOOKUP(B198,customer_orders!A:A,customer_orders!D:D)</f>
        <v>Shopify</v>
      </c>
      <c r="N198" t="str">
        <f>_xlfn.XLOOKUP(C198,inventory!B:B,inventory!C:C)</f>
        <v>Unknown</v>
      </c>
      <c r="O198">
        <f>IF(_xlfn.XLOOKUP(C198,products!A:A,products!E:E)="NULL",0,_xlfn.XLOOKUP(C198,products!A:A,products!E:E))</f>
        <v>132.6</v>
      </c>
      <c r="P198">
        <f t="shared" si="11"/>
        <v>-71.03</v>
      </c>
      <c r="Q198" s="2" t="str">
        <f>_xlfn.XLOOKUP(I198,products!B:B,products!D:D)</f>
        <v>Toys</v>
      </c>
    </row>
    <row r="199" spans="1:17">
      <c r="A199">
        <v>198</v>
      </c>
      <c r="B199">
        <v>1084</v>
      </c>
      <c r="C199">
        <v>117</v>
      </c>
      <c r="D199">
        <v>5</v>
      </c>
      <c r="E199">
        <v>293.33</v>
      </c>
      <c r="F199">
        <v>12.7</v>
      </c>
      <c r="G199">
        <f t="shared" si="9"/>
        <v>1453.9499999999998</v>
      </c>
      <c r="H199" t="str">
        <f>_xlfn.XLOOKUP(B199,customer_orders!A:A,customer_orders!F:F)</f>
        <v>2026-03</v>
      </c>
      <c r="I199" t="str">
        <f>_xlfn.XLOOKUP(C199,products!A:A,products!B:B)</f>
        <v>SKU-0117</v>
      </c>
      <c r="J199" t="str">
        <f>_xlfn.XLOOKUP(B199,customer_orders!A:A,customer_orders!G:G)</f>
        <v>2026-w14</v>
      </c>
      <c r="K199">
        <f>IFERROR(_xlfn.XLOOKUP(B199,shipments!B:B,shipments!H:H),0)</f>
        <v>104.06</v>
      </c>
      <c r="L199">
        <f t="shared" si="10"/>
        <v>7.0000000000000007E-2</v>
      </c>
      <c r="M199" t="str">
        <f>_xlfn.XLOOKUP(B199,customer_orders!A:A,customer_orders!D:D)</f>
        <v>Amazon</v>
      </c>
      <c r="N199" t="str">
        <f>_xlfn.XLOOKUP(C199,inventory!B:B,inventory!C:C)</f>
        <v>Draper</v>
      </c>
      <c r="O199">
        <f>IF(_xlfn.XLOOKUP(C199,products!A:A,products!E:E)="NULL",0,_xlfn.XLOOKUP(C199,products!A:A,products!E:E))</f>
        <v>131.80000000000001</v>
      </c>
      <c r="P199">
        <f t="shared" si="11"/>
        <v>1322.1499999999999</v>
      </c>
      <c r="Q199" s="2" t="str">
        <f>_xlfn.XLOOKUP(I199,products!B:B,products!D:D)</f>
        <v>Pet</v>
      </c>
    </row>
    <row r="200" spans="1:17">
      <c r="A200">
        <v>199</v>
      </c>
      <c r="B200">
        <v>1084</v>
      </c>
      <c r="C200">
        <v>108</v>
      </c>
      <c r="D200">
        <v>3</v>
      </c>
      <c r="E200">
        <v>143.47999999999999</v>
      </c>
      <c r="F200">
        <v>0</v>
      </c>
      <c r="G200">
        <f t="shared" si="9"/>
        <v>430.43999999999994</v>
      </c>
      <c r="H200" t="str">
        <f>_xlfn.XLOOKUP(B200,customer_orders!A:A,customer_orders!F:F)</f>
        <v>2026-03</v>
      </c>
      <c r="I200" t="str">
        <f>_xlfn.XLOOKUP(C200,products!A:A,products!B:B)</f>
        <v>SKU-0108</v>
      </c>
      <c r="J200" t="str">
        <f>_xlfn.XLOOKUP(B200,customer_orders!A:A,customer_orders!G:G)</f>
        <v>2026-w14</v>
      </c>
      <c r="K200">
        <f>IFERROR(_xlfn.XLOOKUP(B200,shipments!B:B,shipments!H:H),0)</f>
        <v>104.06</v>
      </c>
      <c r="L200">
        <f t="shared" si="10"/>
        <v>0.24</v>
      </c>
      <c r="M200" t="str">
        <f>_xlfn.XLOOKUP(B200,customer_orders!A:A,customer_orders!D:D)</f>
        <v>Amazon</v>
      </c>
      <c r="N200" t="str">
        <f>_xlfn.XLOOKUP(C200,inventory!B:B,inventory!C:C)</f>
        <v>South Jordan</v>
      </c>
      <c r="O200">
        <f>IF(_xlfn.XLOOKUP(C200,products!A:A,products!E:E)="NULL",0,_xlfn.XLOOKUP(C200,products!A:A,products!E:E))</f>
        <v>53.81</v>
      </c>
      <c r="P200">
        <f t="shared" si="11"/>
        <v>376.62999999999994</v>
      </c>
      <c r="Q200" s="2" t="str">
        <f>_xlfn.XLOOKUP(I200,products!B:B,products!D:D)</f>
        <v>Beauty</v>
      </c>
    </row>
    <row r="201" spans="1:17">
      <c r="A201">
        <v>200</v>
      </c>
      <c r="B201">
        <v>1084</v>
      </c>
      <c r="C201">
        <v>41</v>
      </c>
      <c r="D201">
        <v>2</v>
      </c>
      <c r="E201">
        <v>153.69999999999999</v>
      </c>
      <c r="F201">
        <v>6.82</v>
      </c>
      <c r="G201">
        <f t="shared" si="9"/>
        <v>300.58</v>
      </c>
      <c r="H201" t="str">
        <f>_xlfn.XLOOKUP(B201,customer_orders!A:A,customer_orders!F:F)</f>
        <v>2026-03</v>
      </c>
      <c r="I201" t="str">
        <f>_xlfn.XLOOKUP(C201,products!A:A,products!B:B)</f>
        <v>SKU-0041</v>
      </c>
      <c r="J201" t="str">
        <f>_xlfn.XLOOKUP(B201,customer_orders!A:A,customer_orders!G:G)</f>
        <v>2026-w14</v>
      </c>
      <c r="K201">
        <f>IFERROR(_xlfn.XLOOKUP(B201,shipments!B:B,shipments!H:H),0)</f>
        <v>104.06</v>
      </c>
      <c r="L201">
        <f t="shared" si="10"/>
        <v>0.35</v>
      </c>
      <c r="M201" t="str">
        <f>_xlfn.XLOOKUP(B201,customer_orders!A:A,customer_orders!D:D)</f>
        <v>Amazon</v>
      </c>
      <c r="N201" t="str">
        <f>_xlfn.XLOOKUP(C201,inventory!B:B,inventory!C:C)</f>
        <v>Draper</v>
      </c>
      <c r="O201">
        <f>IF(_xlfn.XLOOKUP(C201,products!A:A,products!E:E)="NULL",0,_xlfn.XLOOKUP(C201,products!A:A,products!E:E))</f>
        <v>120.83</v>
      </c>
      <c r="P201">
        <f t="shared" si="11"/>
        <v>179.75</v>
      </c>
      <c r="Q201" s="2" t="str">
        <f>_xlfn.XLOOKUP(I201,products!B:B,products!D:D)</f>
        <v>Office</v>
      </c>
    </row>
    <row r="202" spans="1:17">
      <c r="A202">
        <v>201</v>
      </c>
      <c r="B202">
        <v>1084</v>
      </c>
      <c r="C202">
        <v>146</v>
      </c>
      <c r="D202">
        <v>8</v>
      </c>
      <c r="E202">
        <v>199.6</v>
      </c>
      <c r="F202">
        <v>3.54</v>
      </c>
      <c r="G202">
        <f t="shared" si="9"/>
        <v>1593.26</v>
      </c>
      <c r="H202" t="str">
        <f>_xlfn.XLOOKUP(B202,customer_orders!A:A,customer_orders!F:F)</f>
        <v>2026-03</v>
      </c>
      <c r="I202" t="str">
        <f>_xlfn.XLOOKUP(C202,products!A:A,products!B:B)</f>
        <v>SKU-0146</v>
      </c>
      <c r="J202" t="str">
        <f>_xlfn.XLOOKUP(B202,customer_orders!A:A,customer_orders!G:G)</f>
        <v>2026-w14</v>
      </c>
      <c r="K202">
        <f>IFERROR(_xlfn.XLOOKUP(B202,shipments!B:B,shipments!H:H),0)</f>
        <v>104.06</v>
      </c>
      <c r="L202">
        <f t="shared" si="10"/>
        <v>7.0000000000000007E-2</v>
      </c>
      <c r="M202" t="str">
        <f>_xlfn.XLOOKUP(B202,customer_orders!A:A,customer_orders!D:D)</f>
        <v>Amazon</v>
      </c>
      <c r="N202" t="str">
        <f>_xlfn.XLOOKUP(C202,inventory!B:B,inventory!C:C)</f>
        <v>South Jordan</v>
      </c>
      <c r="O202">
        <f>IF(_xlfn.XLOOKUP(C202,products!A:A,products!E:E)="NULL",0,_xlfn.XLOOKUP(C202,products!A:A,products!E:E))</f>
        <v>170.74</v>
      </c>
      <c r="P202">
        <f t="shared" si="11"/>
        <v>1422.52</v>
      </c>
      <c r="Q202" s="2" t="str">
        <f>_xlfn.XLOOKUP(I202,products!B:B,products!D:D)</f>
        <v>Home</v>
      </c>
    </row>
    <row r="203" spans="1:17">
      <c r="A203">
        <v>202</v>
      </c>
      <c r="B203">
        <v>1085</v>
      </c>
      <c r="C203">
        <v>17</v>
      </c>
      <c r="D203">
        <v>5</v>
      </c>
      <c r="E203">
        <v>299.3</v>
      </c>
      <c r="F203">
        <v>0</v>
      </c>
      <c r="G203">
        <f t="shared" si="9"/>
        <v>1496.5</v>
      </c>
      <c r="H203" t="str">
        <f>_xlfn.XLOOKUP(B203,customer_orders!A:A,customer_orders!F:F)</f>
        <v>2026-05</v>
      </c>
      <c r="I203" t="str">
        <f>_xlfn.XLOOKUP(C203,products!A:A,products!B:B)</f>
        <v>SKU-0017</v>
      </c>
      <c r="J203" t="str">
        <f>_xlfn.XLOOKUP(B203,customer_orders!A:A,customer_orders!G:G)</f>
        <v>2026-w19</v>
      </c>
      <c r="K203">
        <f>IFERROR(_xlfn.XLOOKUP(B203,shipments!B:B,shipments!H:H),0)</f>
        <v>87.96</v>
      </c>
      <c r="L203">
        <f t="shared" si="10"/>
        <v>0.06</v>
      </c>
      <c r="M203" t="str">
        <f>_xlfn.XLOOKUP(B203,customer_orders!A:A,customer_orders!D:D)</f>
        <v>Walmart</v>
      </c>
      <c r="N203" t="str">
        <f>_xlfn.XLOOKUP(C203,inventory!B:B,inventory!C:C)</f>
        <v>West Valley</v>
      </c>
      <c r="O203">
        <f>IF(_xlfn.XLOOKUP(C203,products!A:A,products!E:E)="NULL",0,_xlfn.XLOOKUP(C203,products!A:A,products!E:E))</f>
        <v>43.38</v>
      </c>
      <c r="P203">
        <f t="shared" si="11"/>
        <v>1453.12</v>
      </c>
      <c r="Q203" s="2" t="str">
        <f>_xlfn.XLOOKUP(I203,products!B:B,products!D:D)</f>
        <v>Office</v>
      </c>
    </row>
    <row r="204" spans="1:17">
      <c r="A204">
        <v>203</v>
      </c>
      <c r="B204">
        <v>1086</v>
      </c>
      <c r="C204">
        <v>124</v>
      </c>
      <c r="D204">
        <v>6</v>
      </c>
      <c r="E204">
        <v>48.76</v>
      </c>
      <c r="F204">
        <v>10.29</v>
      </c>
      <c r="G204">
        <f t="shared" si="9"/>
        <v>282.27</v>
      </c>
      <c r="H204" t="str">
        <f>_xlfn.XLOOKUP(B204,customer_orders!A:A,customer_orders!F:F)</f>
        <v>2026-01</v>
      </c>
      <c r="I204" t="str">
        <f>_xlfn.XLOOKUP(C204,products!A:A,products!B:B)</f>
        <v>SKU-0124</v>
      </c>
      <c r="J204" t="str">
        <f>_xlfn.XLOOKUP(B204,customer_orders!A:A,customer_orders!G:G)</f>
        <v>2026-w05</v>
      </c>
      <c r="K204">
        <f>IFERROR(_xlfn.XLOOKUP(B204,shipments!B:B,shipments!H:H),0)</f>
        <v>104.85</v>
      </c>
      <c r="L204">
        <f t="shared" si="10"/>
        <v>0.37</v>
      </c>
      <c r="M204" t="str">
        <f>_xlfn.XLOOKUP(B204,customer_orders!A:A,customer_orders!D:D)</f>
        <v>Shopify</v>
      </c>
      <c r="N204" t="str">
        <f>_xlfn.XLOOKUP(C204,inventory!B:B,inventory!C:C)</f>
        <v>Lehi</v>
      </c>
      <c r="O204">
        <f>IF(_xlfn.XLOOKUP(C204,products!A:A,products!E:E)="NULL",0,_xlfn.XLOOKUP(C204,products!A:A,products!E:E))</f>
        <v>178.94</v>
      </c>
      <c r="P204">
        <f t="shared" si="11"/>
        <v>103.32999999999998</v>
      </c>
      <c r="Q204" s="2" t="str">
        <f>_xlfn.XLOOKUP(I204,products!B:B,products!D:D)</f>
        <v>Sports</v>
      </c>
    </row>
    <row r="205" spans="1:17">
      <c r="A205">
        <v>204</v>
      </c>
      <c r="B205">
        <v>1086</v>
      </c>
      <c r="C205">
        <v>39</v>
      </c>
      <c r="D205">
        <v>1</v>
      </c>
      <c r="E205">
        <v>129.30000000000001</v>
      </c>
      <c r="F205">
        <v>0</v>
      </c>
      <c r="G205">
        <f t="shared" si="9"/>
        <v>129.30000000000001</v>
      </c>
      <c r="H205" t="str">
        <f>_xlfn.XLOOKUP(B205,customer_orders!A:A,customer_orders!F:F)</f>
        <v>2026-01</v>
      </c>
      <c r="I205" t="str">
        <f>_xlfn.XLOOKUP(C205,products!A:A,products!B:B)</f>
        <v>SKU-0039</v>
      </c>
      <c r="J205" t="str">
        <f>_xlfn.XLOOKUP(B205,customer_orders!A:A,customer_orders!G:G)</f>
        <v>2026-w05</v>
      </c>
      <c r="K205">
        <f>IFERROR(_xlfn.XLOOKUP(B205,shipments!B:B,shipments!H:H),0)</f>
        <v>104.85</v>
      </c>
      <c r="L205">
        <f t="shared" si="10"/>
        <v>0.81</v>
      </c>
      <c r="M205" t="str">
        <f>_xlfn.XLOOKUP(B205,customer_orders!A:A,customer_orders!D:D)</f>
        <v>Shopify</v>
      </c>
      <c r="N205" t="str">
        <f>_xlfn.XLOOKUP(C205,inventory!B:B,inventory!C:C)</f>
        <v>West Valley</v>
      </c>
      <c r="O205">
        <f>IF(_xlfn.XLOOKUP(C205,products!A:A,products!E:E)="NULL",0,_xlfn.XLOOKUP(C205,products!A:A,products!E:E))</f>
        <v>42.41</v>
      </c>
      <c r="P205">
        <f t="shared" si="11"/>
        <v>86.890000000000015</v>
      </c>
      <c r="Q205" s="2" t="str">
        <f>_xlfn.XLOOKUP(I205,products!B:B,products!D:D)</f>
        <v>Pet</v>
      </c>
    </row>
    <row r="206" spans="1:17">
      <c r="A206">
        <v>205</v>
      </c>
      <c r="B206">
        <v>1087</v>
      </c>
      <c r="C206">
        <v>141</v>
      </c>
      <c r="D206">
        <v>7</v>
      </c>
      <c r="E206">
        <v>15.33</v>
      </c>
      <c r="F206">
        <v>0</v>
      </c>
      <c r="G206">
        <f t="shared" si="9"/>
        <v>107.31</v>
      </c>
      <c r="H206" t="str">
        <f>_xlfn.XLOOKUP(B206,customer_orders!A:A,customer_orders!F:F)</f>
        <v>2026-03</v>
      </c>
      <c r="I206" t="str">
        <f>_xlfn.XLOOKUP(C206,products!A:A,products!B:B)</f>
        <v>SKU-0141</v>
      </c>
      <c r="J206" t="str">
        <f>_xlfn.XLOOKUP(B206,customer_orders!A:A,customer_orders!G:G)</f>
        <v>2026-w13</v>
      </c>
      <c r="K206">
        <f>IFERROR(_xlfn.XLOOKUP(B206,shipments!B:B,shipments!H:H),0)</f>
        <v>17.77</v>
      </c>
      <c r="L206">
        <f t="shared" si="10"/>
        <v>0.17</v>
      </c>
      <c r="M206" t="str">
        <f>_xlfn.XLOOKUP(B206,customer_orders!A:A,customer_orders!D:D)</f>
        <v>Amazon</v>
      </c>
      <c r="N206" t="str">
        <f>_xlfn.XLOOKUP(C206,inventory!B:B,inventory!C:C)</f>
        <v>Unknown</v>
      </c>
      <c r="O206">
        <f>IF(_xlfn.XLOOKUP(C206,products!A:A,products!E:E)="NULL",0,_xlfn.XLOOKUP(C206,products!A:A,products!E:E))</f>
        <v>149.36000000000001</v>
      </c>
      <c r="P206">
        <f t="shared" si="11"/>
        <v>-42.050000000000011</v>
      </c>
      <c r="Q206" s="2" t="str">
        <f>_xlfn.XLOOKUP(I206,products!B:B,products!D:D)</f>
        <v>Office</v>
      </c>
    </row>
    <row r="207" spans="1:17">
      <c r="A207">
        <v>206</v>
      </c>
      <c r="B207">
        <v>1087</v>
      </c>
      <c r="C207">
        <v>21</v>
      </c>
      <c r="D207">
        <v>8</v>
      </c>
      <c r="E207">
        <v>60.07</v>
      </c>
      <c r="F207">
        <v>7.22</v>
      </c>
      <c r="G207">
        <f t="shared" si="9"/>
        <v>473.34</v>
      </c>
      <c r="H207" t="str">
        <f>_xlfn.XLOOKUP(B207,customer_orders!A:A,customer_orders!F:F)</f>
        <v>2026-03</v>
      </c>
      <c r="I207" t="str">
        <f>_xlfn.XLOOKUP(C207,products!A:A,products!B:B)</f>
        <v>SKU-0021</v>
      </c>
      <c r="J207" t="str">
        <f>_xlfn.XLOOKUP(B207,customer_orders!A:A,customer_orders!G:G)</f>
        <v>2026-w13</v>
      </c>
      <c r="K207">
        <f>IFERROR(_xlfn.XLOOKUP(B207,shipments!B:B,shipments!H:H),0)</f>
        <v>17.77</v>
      </c>
      <c r="L207">
        <f t="shared" si="10"/>
        <v>0.04</v>
      </c>
      <c r="M207" t="str">
        <f>_xlfn.XLOOKUP(B207,customer_orders!A:A,customer_orders!D:D)</f>
        <v>Amazon</v>
      </c>
      <c r="N207" t="str">
        <f>_xlfn.XLOOKUP(C207,inventory!B:B,inventory!C:C)</f>
        <v>Salt Lake City</v>
      </c>
      <c r="O207">
        <f>IF(_xlfn.XLOOKUP(C207,products!A:A,products!E:E)="NULL",0,_xlfn.XLOOKUP(C207,products!A:A,products!E:E))</f>
        <v>56.36</v>
      </c>
      <c r="P207">
        <f t="shared" si="11"/>
        <v>416.97999999999996</v>
      </c>
      <c r="Q207" s="2" t="str">
        <f>_xlfn.XLOOKUP(I207,products!B:B,products!D:D)</f>
        <v>Kitchen</v>
      </c>
    </row>
    <row r="208" spans="1:17">
      <c r="A208">
        <v>207</v>
      </c>
      <c r="B208">
        <v>1088</v>
      </c>
      <c r="C208">
        <v>24</v>
      </c>
      <c r="D208">
        <v>5</v>
      </c>
      <c r="E208">
        <v>20.55</v>
      </c>
      <c r="F208">
        <v>0</v>
      </c>
      <c r="G208">
        <f t="shared" si="9"/>
        <v>102.75</v>
      </c>
      <c r="H208" t="str">
        <f>_xlfn.XLOOKUP(B208,customer_orders!A:A,customer_orders!F:F)</f>
        <v>2026-04</v>
      </c>
      <c r="I208" t="str">
        <f>_xlfn.XLOOKUP(C208,products!A:A,products!B:B)</f>
        <v>SKU-0024</v>
      </c>
      <c r="J208" t="str">
        <f>_xlfn.XLOOKUP(B208,customer_orders!A:A,customer_orders!G:G)</f>
        <v>2026-w16</v>
      </c>
      <c r="K208">
        <f>IFERROR(_xlfn.XLOOKUP(B208,shipments!B:B,shipments!H:H),0)</f>
        <v>114.24</v>
      </c>
      <c r="L208">
        <f t="shared" si="10"/>
        <v>1.1100000000000001</v>
      </c>
      <c r="M208" t="str">
        <f>_xlfn.XLOOKUP(B208,customer_orders!A:A,customer_orders!D:D)</f>
        <v>Amazon</v>
      </c>
      <c r="N208" t="str">
        <f>_xlfn.XLOOKUP(C208,inventory!B:B,inventory!C:C)</f>
        <v>Draper</v>
      </c>
      <c r="O208">
        <f>IF(_xlfn.XLOOKUP(C208,products!A:A,products!E:E)="NULL",0,_xlfn.XLOOKUP(C208,products!A:A,products!E:E))</f>
        <v>61.73</v>
      </c>
      <c r="P208">
        <f t="shared" si="11"/>
        <v>41.02</v>
      </c>
      <c r="Q208" s="2" t="str">
        <f>_xlfn.XLOOKUP(I208,products!B:B,products!D:D)</f>
        <v>Electronics</v>
      </c>
    </row>
    <row r="209" spans="1:17">
      <c r="A209">
        <v>208</v>
      </c>
      <c r="B209">
        <v>1089</v>
      </c>
      <c r="C209">
        <v>94</v>
      </c>
      <c r="D209">
        <v>8</v>
      </c>
      <c r="E209">
        <v>53.67</v>
      </c>
      <c r="F209">
        <v>0</v>
      </c>
      <c r="G209">
        <f t="shared" si="9"/>
        <v>429.36</v>
      </c>
      <c r="H209" t="str">
        <f>_xlfn.XLOOKUP(B209,customer_orders!A:A,customer_orders!F:F)</f>
        <v>2026-03</v>
      </c>
      <c r="I209" t="str">
        <f>_xlfn.XLOOKUP(C209,products!A:A,products!B:B)</f>
        <v>SKU-0094</v>
      </c>
      <c r="J209" t="str">
        <f>_xlfn.XLOOKUP(B209,customer_orders!A:A,customer_orders!G:G)</f>
        <v>2026-w13</v>
      </c>
      <c r="K209">
        <f>IFERROR(_xlfn.XLOOKUP(B209,shipments!B:B,shipments!H:H),0)</f>
        <v>26.73</v>
      </c>
      <c r="L209">
        <f t="shared" si="10"/>
        <v>0.06</v>
      </c>
      <c r="M209" t="str">
        <f>_xlfn.XLOOKUP(B209,customer_orders!A:A,customer_orders!D:D)</f>
        <v>Amazon</v>
      </c>
      <c r="N209" t="str">
        <f>_xlfn.XLOOKUP(C209,inventory!B:B,inventory!C:C)</f>
        <v>Draper</v>
      </c>
      <c r="O209">
        <f>IF(_xlfn.XLOOKUP(C209,products!A:A,products!E:E)="NULL",0,_xlfn.XLOOKUP(C209,products!A:A,products!E:E))</f>
        <v>117.48</v>
      </c>
      <c r="P209">
        <f t="shared" si="11"/>
        <v>311.88</v>
      </c>
      <c r="Q209" s="2" t="str">
        <f>_xlfn.XLOOKUP(I209,products!B:B,products!D:D)</f>
        <v>Electronics</v>
      </c>
    </row>
    <row r="210" spans="1:17">
      <c r="A210">
        <v>209</v>
      </c>
      <c r="B210">
        <v>1089</v>
      </c>
      <c r="C210">
        <v>1</v>
      </c>
      <c r="D210">
        <v>6</v>
      </c>
      <c r="E210">
        <v>84.79</v>
      </c>
      <c r="F210">
        <v>0</v>
      </c>
      <c r="G210">
        <f t="shared" si="9"/>
        <v>508.74</v>
      </c>
      <c r="H210" t="str">
        <f>_xlfn.XLOOKUP(B210,customer_orders!A:A,customer_orders!F:F)</f>
        <v>2026-03</v>
      </c>
      <c r="I210" t="str">
        <f>_xlfn.XLOOKUP(C210,products!A:A,products!B:B)</f>
        <v>SKU-0001</v>
      </c>
      <c r="J210" t="str">
        <f>_xlfn.XLOOKUP(B210,customer_orders!A:A,customer_orders!G:G)</f>
        <v>2026-w13</v>
      </c>
      <c r="K210">
        <f>IFERROR(_xlfn.XLOOKUP(B210,shipments!B:B,shipments!H:H),0)</f>
        <v>26.73</v>
      </c>
      <c r="L210">
        <f t="shared" si="10"/>
        <v>0.05</v>
      </c>
      <c r="M210" t="str">
        <f>_xlfn.XLOOKUP(B210,customer_orders!A:A,customer_orders!D:D)</f>
        <v>Amazon</v>
      </c>
      <c r="N210" t="str">
        <f>_xlfn.XLOOKUP(C210,inventory!B:B,inventory!C:C)</f>
        <v>South Jordan</v>
      </c>
      <c r="O210">
        <f>IF(_xlfn.XLOOKUP(C210,products!A:A,products!E:E)="NULL",0,_xlfn.XLOOKUP(C210,products!A:A,products!E:E))</f>
        <v>134.77000000000001</v>
      </c>
      <c r="P210">
        <f t="shared" si="11"/>
        <v>373.97</v>
      </c>
      <c r="Q210" s="2" t="str">
        <f>_xlfn.XLOOKUP(I210,products!B:B,products!D:D)</f>
        <v>Home</v>
      </c>
    </row>
    <row r="211" spans="1:17">
      <c r="A211">
        <v>210</v>
      </c>
      <c r="B211">
        <v>1089</v>
      </c>
      <c r="C211">
        <v>141</v>
      </c>
      <c r="D211">
        <v>6</v>
      </c>
      <c r="E211">
        <v>15.33</v>
      </c>
      <c r="F211">
        <v>0</v>
      </c>
      <c r="G211">
        <f t="shared" si="9"/>
        <v>91.98</v>
      </c>
      <c r="H211" t="str">
        <f>_xlfn.XLOOKUP(B211,customer_orders!A:A,customer_orders!F:F)</f>
        <v>2026-03</v>
      </c>
      <c r="I211" t="str">
        <f>_xlfn.XLOOKUP(C211,products!A:A,products!B:B)</f>
        <v>SKU-0141</v>
      </c>
      <c r="J211" t="str">
        <f>_xlfn.XLOOKUP(B211,customer_orders!A:A,customer_orders!G:G)</f>
        <v>2026-w13</v>
      </c>
      <c r="K211">
        <f>IFERROR(_xlfn.XLOOKUP(B211,shipments!B:B,shipments!H:H),0)</f>
        <v>26.73</v>
      </c>
      <c r="L211">
        <f t="shared" si="10"/>
        <v>0.28999999999999998</v>
      </c>
      <c r="M211" t="str">
        <f>_xlfn.XLOOKUP(B211,customer_orders!A:A,customer_orders!D:D)</f>
        <v>Amazon</v>
      </c>
      <c r="N211" t="str">
        <f>_xlfn.XLOOKUP(C211,inventory!B:B,inventory!C:C)</f>
        <v>Unknown</v>
      </c>
      <c r="O211">
        <f>IF(_xlfn.XLOOKUP(C211,products!A:A,products!E:E)="NULL",0,_xlfn.XLOOKUP(C211,products!A:A,products!E:E))</f>
        <v>149.36000000000001</v>
      </c>
      <c r="P211">
        <f t="shared" si="11"/>
        <v>-57.38000000000001</v>
      </c>
      <c r="Q211" s="2" t="str">
        <f>_xlfn.XLOOKUP(I211,products!B:B,products!D:D)</f>
        <v>Office</v>
      </c>
    </row>
    <row r="212" spans="1:17">
      <c r="A212">
        <v>211</v>
      </c>
      <c r="B212">
        <v>1089</v>
      </c>
      <c r="C212">
        <v>43</v>
      </c>
      <c r="D212">
        <v>8</v>
      </c>
      <c r="E212">
        <v>277.02999999999997</v>
      </c>
      <c r="F212">
        <v>2.97</v>
      </c>
      <c r="G212">
        <f t="shared" si="9"/>
        <v>2213.27</v>
      </c>
      <c r="H212" t="str">
        <f>_xlfn.XLOOKUP(B212,customer_orders!A:A,customer_orders!F:F)</f>
        <v>2026-03</v>
      </c>
      <c r="I212" t="str">
        <f>_xlfn.XLOOKUP(C212,products!A:A,products!B:B)</f>
        <v>SKU-0043</v>
      </c>
      <c r="J212" t="str">
        <f>_xlfn.XLOOKUP(B212,customer_orders!A:A,customer_orders!G:G)</f>
        <v>2026-w13</v>
      </c>
      <c r="K212">
        <f>IFERROR(_xlfn.XLOOKUP(B212,shipments!B:B,shipments!H:H),0)</f>
        <v>26.73</v>
      </c>
      <c r="L212">
        <f t="shared" si="10"/>
        <v>0.01</v>
      </c>
      <c r="M212" t="str">
        <f>_xlfn.XLOOKUP(B212,customer_orders!A:A,customer_orders!D:D)</f>
        <v>Amazon</v>
      </c>
      <c r="N212" t="str">
        <f>_xlfn.XLOOKUP(C212,inventory!B:B,inventory!C:C)</f>
        <v>Draper</v>
      </c>
      <c r="O212">
        <f>IF(_xlfn.XLOOKUP(C212,products!A:A,products!E:E)="NULL",0,_xlfn.XLOOKUP(C212,products!A:A,products!E:E))</f>
        <v>88.44</v>
      </c>
      <c r="P212">
        <f t="shared" si="11"/>
        <v>2124.83</v>
      </c>
      <c r="Q212" s="2" t="str">
        <f>_xlfn.XLOOKUP(I212,products!B:B,products!D:D)</f>
        <v>Electronics</v>
      </c>
    </row>
    <row r="213" spans="1:17">
      <c r="A213">
        <v>212</v>
      </c>
      <c r="B213">
        <v>1090</v>
      </c>
      <c r="C213">
        <v>12</v>
      </c>
      <c r="D213">
        <v>2</v>
      </c>
      <c r="E213">
        <v>61.57</v>
      </c>
      <c r="F213">
        <v>11.81</v>
      </c>
      <c r="G213">
        <f t="shared" si="9"/>
        <v>111.33</v>
      </c>
      <c r="H213" t="str">
        <f>_xlfn.XLOOKUP(B213,customer_orders!A:A,customer_orders!F:F)</f>
        <v>2026-02</v>
      </c>
      <c r="I213" t="str">
        <f>_xlfn.XLOOKUP(C213,products!A:A,products!B:B)</f>
        <v>SKU-0012</v>
      </c>
      <c r="J213" t="str">
        <f>_xlfn.XLOOKUP(B213,customer_orders!A:A,customer_orders!G:G)</f>
        <v>2026-w08</v>
      </c>
      <c r="K213">
        <f>IFERROR(_xlfn.XLOOKUP(B213,shipments!B:B,shipments!H:H),0)</f>
        <v>80.27</v>
      </c>
      <c r="L213">
        <f t="shared" si="10"/>
        <v>0.72</v>
      </c>
      <c r="M213" t="str">
        <f>_xlfn.XLOOKUP(B213,customer_orders!A:A,customer_orders!D:D)</f>
        <v>Ebay</v>
      </c>
      <c r="N213" t="str">
        <f>_xlfn.XLOOKUP(C213,inventory!B:B,inventory!C:C)</f>
        <v>Unknown</v>
      </c>
      <c r="O213">
        <f>IF(_xlfn.XLOOKUP(C213,products!A:A,products!E:E)="NULL",0,_xlfn.XLOOKUP(C213,products!A:A,products!E:E))</f>
        <v>132.6</v>
      </c>
      <c r="P213">
        <f t="shared" si="11"/>
        <v>-21.269999999999996</v>
      </c>
      <c r="Q213" s="2" t="str">
        <f>_xlfn.XLOOKUP(I213,products!B:B,products!D:D)</f>
        <v>Toys</v>
      </c>
    </row>
    <row r="214" spans="1:17">
      <c r="A214">
        <v>213</v>
      </c>
      <c r="B214">
        <v>1090</v>
      </c>
      <c r="C214">
        <v>118</v>
      </c>
      <c r="D214">
        <v>3</v>
      </c>
      <c r="E214">
        <v>241.69</v>
      </c>
      <c r="F214">
        <v>0</v>
      </c>
      <c r="G214">
        <f t="shared" si="9"/>
        <v>725.06999999999994</v>
      </c>
      <c r="H214" t="str">
        <f>_xlfn.XLOOKUP(B214,customer_orders!A:A,customer_orders!F:F)</f>
        <v>2026-02</v>
      </c>
      <c r="I214" t="str">
        <f>_xlfn.XLOOKUP(C214,products!A:A,products!B:B)</f>
        <v>SKU-0118</v>
      </c>
      <c r="J214" t="str">
        <f>_xlfn.XLOOKUP(B214,customer_orders!A:A,customer_orders!G:G)</f>
        <v>2026-w08</v>
      </c>
      <c r="K214">
        <f>IFERROR(_xlfn.XLOOKUP(B214,shipments!B:B,shipments!H:H),0)</f>
        <v>80.27</v>
      </c>
      <c r="L214">
        <f t="shared" si="10"/>
        <v>0.11</v>
      </c>
      <c r="M214" t="str">
        <f>_xlfn.XLOOKUP(B214,customer_orders!A:A,customer_orders!D:D)</f>
        <v>Ebay</v>
      </c>
      <c r="N214" t="str">
        <f>_xlfn.XLOOKUP(C214,inventory!B:B,inventory!C:C)</f>
        <v>Salt Lake City</v>
      </c>
      <c r="O214">
        <f>IF(_xlfn.XLOOKUP(C214,products!A:A,products!E:E)="NULL",0,_xlfn.XLOOKUP(C214,products!A:A,products!E:E))</f>
        <v>44.81</v>
      </c>
      <c r="P214">
        <f t="shared" si="11"/>
        <v>680.26</v>
      </c>
      <c r="Q214" s="2" t="str">
        <f>_xlfn.XLOOKUP(I214,products!B:B,products!D:D)</f>
        <v>Beauty</v>
      </c>
    </row>
    <row r="215" spans="1:17">
      <c r="A215">
        <v>214</v>
      </c>
      <c r="B215">
        <v>1090</v>
      </c>
      <c r="C215">
        <v>142</v>
      </c>
      <c r="D215">
        <v>7</v>
      </c>
      <c r="E215">
        <v>192.45</v>
      </c>
      <c r="F215">
        <v>12.74</v>
      </c>
      <c r="G215">
        <f t="shared" si="9"/>
        <v>1334.4099999999999</v>
      </c>
      <c r="H215" t="str">
        <f>_xlfn.XLOOKUP(B215,customer_orders!A:A,customer_orders!F:F)</f>
        <v>2026-02</v>
      </c>
      <c r="I215" t="str">
        <f>_xlfn.XLOOKUP(C215,products!A:A,products!B:B)</f>
        <v>SKU-0142</v>
      </c>
      <c r="J215" t="str">
        <f>_xlfn.XLOOKUP(B215,customer_orders!A:A,customer_orders!G:G)</f>
        <v>2026-w08</v>
      </c>
      <c r="K215">
        <f>IFERROR(_xlfn.XLOOKUP(B215,shipments!B:B,shipments!H:H),0)</f>
        <v>80.27</v>
      </c>
      <c r="L215">
        <f t="shared" si="10"/>
        <v>0.06</v>
      </c>
      <c r="M215" t="str">
        <f>_xlfn.XLOOKUP(B215,customer_orders!A:A,customer_orders!D:D)</f>
        <v>Ebay</v>
      </c>
      <c r="N215" t="str">
        <f>_xlfn.XLOOKUP(C215,inventory!B:B,inventory!C:C)</f>
        <v>Lehi</v>
      </c>
      <c r="O215">
        <f>IF(_xlfn.XLOOKUP(C215,products!A:A,products!E:E)="NULL",0,_xlfn.XLOOKUP(C215,products!A:A,products!E:E))</f>
        <v>95.73</v>
      </c>
      <c r="P215">
        <f t="shared" si="11"/>
        <v>1238.6799999999998</v>
      </c>
      <c r="Q215" s="2" t="str">
        <f>_xlfn.XLOOKUP(I215,products!B:B,products!D:D)</f>
        <v>Electronics</v>
      </c>
    </row>
    <row r="216" spans="1:17">
      <c r="A216">
        <v>215</v>
      </c>
      <c r="B216">
        <v>1090</v>
      </c>
      <c r="C216">
        <v>131</v>
      </c>
      <c r="D216">
        <v>3</v>
      </c>
      <c r="E216">
        <v>57.46</v>
      </c>
      <c r="F216">
        <v>0</v>
      </c>
      <c r="G216">
        <f t="shared" si="9"/>
        <v>172.38</v>
      </c>
      <c r="H216" t="str">
        <f>_xlfn.XLOOKUP(B216,customer_orders!A:A,customer_orders!F:F)</f>
        <v>2026-02</v>
      </c>
      <c r="I216" t="str">
        <f>_xlfn.XLOOKUP(C216,products!A:A,products!B:B)</f>
        <v>SKU-0131</v>
      </c>
      <c r="J216" t="str">
        <f>_xlfn.XLOOKUP(B216,customer_orders!A:A,customer_orders!G:G)</f>
        <v>2026-w08</v>
      </c>
      <c r="K216">
        <f>IFERROR(_xlfn.XLOOKUP(B216,shipments!B:B,shipments!H:H),0)</f>
        <v>80.27</v>
      </c>
      <c r="L216">
        <f t="shared" si="10"/>
        <v>0.47</v>
      </c>
      <c r="M216" t="str">
        <f>_xlfn.XLOOKUP(B216,customer_orders!A:A,customer_orders!D:D)</f>
        <v>Ebay</v>
      </c>
      <c r="N216" t="str">
        <f>_xlfn.XLOOKUP(C216,inventory!B:B,inventory!C:C)</f>
        <v>Salt Lake City</v>
      </c>
      <c r="O216">
        <f>IF(_xlfn.XLOOKUP(C216,products!A:A,products!E:E)="NULL",0,_xlfn.XLOOKUP(C216,products!A:A,products!E:E))</f>
        <v>44.34</v>
      </c>
      <c r="P216">
        <f t="shared" si="11"/>
        <v>128.04</v>
      </c>
      <c r="Q216" s="2" t="str">
        <f>_xlfn.XLOOKUP(I216,products!B:B,products!D:D)</f>
        <v>Home</v>
      </c>
    </row>
    <row r="217" spans="1:17">
      <c r="A217">
        <v>216</v>
      </c>
      <c r="B217">
        <v>1091</v>
      </c>
      <c r="C217">
        <v>116</v>
      </c>
      <c r="D217">
        <v>3</v>
      </c>
      <c r="E217">
        <v>211.7</v>
      </c>
      <c r="F217">
        <v>0</v>
      </c>
      <c r="G217">
        <f t="shared" si="9"/>
        <v>635.09999999999991</v>
      </c>
      <c r="H217" t="str">
        <f>_xlfn.XLOOKUP(B217,customer_orders!A:A,customer_orders!F:F)</f>
        <v>2026-03</v>
      </c>
      <c r="I217" t="str">
        <f>_xlfn.XLOOKUP(C217,products!A:A,products!B:B)</f>
        <v>SKU-0116</v>
      </c>
      <c r="J217" t="str">
        <f>_xlfn.XLOOKUP(B217,customer_orders!A:A,customer_orders!G:G)</f>
        <v>2026-w10</v>
      </c>
      <c r="K217">
        <f>IFERROR(_xlfn.XLOOKUP(B217,shipments!B:B,shipments!H:H),0)</f>
        <v>0</v>
      </c>
      <c r="L217">
        <f t="shared" si="10"/>
        <v>0</v>
      </c>
      <c r="M217" t="str">
        <f>_xlfn.XLOOKUP(B217,customer_orders!A:A,customer_orders!D:D)</f>
        <v>Walmart</v>
      </c>
      <c r="N217" t="str">
        <f>_xlfn.XLOOKUP(C217,inventory!B:B,inventory!C:C)</f>
        <v>Lehi</v>
      </c>
      <c r="O217">
        <f>IF(_xlfn.XLOOKUP(C217,products!A:A,products!E:E)="NULL",0,_xlfn.XLOOKUP(C217,products!A:A,products!E:E))</f>
        <v>171.4</v>
      </c>
      <c r="P217">
        <f t="shared" si="11"/>
        <v>463.69999999999993</v>
      </c>
      <c r="Q217" s="2" t="str">
        <f>_xlfn.XLOOKUP(I217,products!B:B,products!D:D)</f>
        <v>Home</v>
      </c>
    </row>
    <row r="218" spans="1:17">
      <c r="A218">
        <v>217</v>
      </c>
      <c r="B218">
        <v>1091</v>
      </c>
      <c r="C218">
        <v>141</v>
      </c>
      <c r="D218">
        <v>6</v>
      </c>
      <c r="E218">
        <v>15.33</v>
      </c>
      <c r="F218">
        <v>0</v>
      </c>
      <c r="G218">
        <f t="shared" si="9"/>
        <v>91.98</v>
      </c>
      <c r="H218" t="str">
        <f>_xlfn.XLOOKUP(B218,customer_orders!A:A,customer_orders!F:F)</f>
        <v>2026-03</v>
      </c>
      <c r="I218" t="str">
        <f>_xlfn.XLOOKUP(C218,products!A:A,products!B:B)</f>
        <v>SKU-0141</v>
      </c>
      <c r="J218" t="str">
        <f>_xlfn.XLOOKUP(B218,customer_orders!A:A,customer_orders!G:G)</f>
        <v>2026-w10</v>
      </c>
      <c r="K218">
        <f>IFERROR(_xlfn.XLOOKUP(B218,shipments!B:B,shipments!H:H),0)</f>
        <v>0</v>
      </c>
      <c r="L218">
        <f t="shared" si="10"/>
        <v>0</v>
      </c>
      <c r="M218" t="str">
        <f>_xlfn.XLOOKUP(B218,customer_orders!A:A,customer_orders!D:D)</f>
        <v>Walmart</v>
      </c>
      <c r="N218" t="str">
        <f>_xlfn.XLOOKUP(C218,inventory!B:B,inventory!C:C)</f>
        <v>Unknown</v>
      </c>
      <c r="O218">
        <f>IF(_xlfn.XLOOKUP(C218,products!A:A,products!E:E)="NULL",0,_xlfn.XLOOKUP(C218,products!A:A,products!E:E))</f>
        <v>149.36000000000001</v>
      </c>
      <c r="P218">
        <f t="shared" si="11"/>
        <v>-57.38000000000001</v>
      </c>
      <c r="Q218" s="2" t="str">
        <f>_xlfn.XLOOKUP(I218,products!B:B,products!D:D)</f>
        <v>Office</v>
      </c>
    </row>
    <row r="219" spans="1:17">
      <c r="A219">
        <v>218</v>
      </c>
      <c r="B219">
        <v>1091</v>
      </c>
      <c r="C219">
        <v>52</v>
      </c>
      <c r="D219">
        <v>4</v>
      </c>
      <c r="E219">
        <v>59.3</v>
      </c>
      <c r="F219">
        <v>0</v>
      </c>
      <c r="G219">
        <f t="shared" si="9"/>
        <v>237.2</v>
      </c>
      <c r="H219" t="str">
        <f>_xlfn.XLOOKUP(B219,customer_orders!A:A,customer_orders!F:F)</f>
        <v>2026-03</v>
      </c>
      <c r="I219" t="str">
        <f>_xlfn.XLOOKUP(C219,products!A:A,products!B:B)</f>
        <v>SKU-0052</v>
      </c>
      <c r="J219" t="str">
        <f>_xlfn.XLOOKUP(B219,customer_orders!A:A,customer_orders!G:G)</f>
        <v>2026-w10</v>
      </c>
      <c r="K219">
        <f>IFERROR(_xlfn.XLOOKUP(B219,shipments!B:B,shipments!H:H),0)</f>
        <v>0</v>
      </c>
      <c r="L219">
        <f t="shared" si="10"/>
        <v>0</v>
      </c>
      <c r="M219" t="str">
        <f>_xlfn.XLOOKUP(B219,customer_orders!A:A,customer_orders!D:D)</f>
        <v>Walmart</v>
      </c>
      <c r="N219" t="str">
        <f>_xlfn.XLOOKUP(C219,inventory!B:B,inventory!C:C)</f>
        <v>Lehi</v>
      </c>
      <c r="O219">
        <f>IF(_xlfn.XLOOKUP(C219,products!A:A,products!E:E)="NULL",0,_xlfn.XLOOKUP(C219,products!A:A,products!E:E))</f>
        <v>134.91999999999999</v>
      </c>
      <c r="P219">
        <f t="shared" si="11"/>
        <v>102.28</v>
      </c>
      <c r="Q219" s="2" t="str">
        <f>_xlfn.XLOOKUP(I219,products!B:B,products!D:D)</f>
        <v>Home</v>
      </c>
    </row>
    <row r="220" spans="1:17">
      <c r="A220">
        <v>219</v>
      </c>
      <c r="B220">
        <v>1092</v>
      </c>
      <c r="C220">
        <v>30</v>
      </c>
      <c r="D220">
        <v>6</v>
      </c>
      <c r="E220">
        <v>35.229999999999997</v>
      </c>
      <c r="F220">
        <v>8.8699999999999992</v>
      </c>
      <c r="G220">
        <f t="shared" si="9"/>
        <v>202.51</v>
      </c>
      <c r="H220" t="str">
        <f>_xlfn.XLOOKUP(B220,customer_orders!A:A,customer_orders!F:F)</f>
        <v>2026-02</v>
      </c>
      <c r="I220" t="str">
        <f>_xlfn.XLOOKUP(C220,products!A:A,products!B:B)</f>
        <v>SKU-0030</v>
      </c>
      <c r="J220" t="str">
        <f>_xlfn.XLOOKUP(B220,customer_orders!A:A,customer_orders!G:G)</f>
        <v>2026-w06</v>
      </c>
      <c r="K220">
        <f>IFERROR(_xlfn.XLOOKUP(B220,shipments!B:B,shipments!H:H),0)</f>
        <v>27.19</v>
      </c>
      <c r="L220">
        <f t="shared" si="10"/>
        <v>0.13</v>
      </c>
      <c r="M220" t="str">
        <f>_xlfn.XLOOKUP(B220,customer_orders!A:A,customer_orders!D:D)</f>
        <v>Shopify</v>
      </c>
      <c r="N220" t="str">
        <f>_xlfn.XLOOKUP(C220,inventory!B:B,inventory!C:C)</f>
        <v>Draper</v>
      </c>
      <c r="O220">
        <f>IF(_xlfn.XLOOKUP(C220,products!A:A,products!E:E)="NULL",0,_xlfn.XLOOKUP(C220,products!A:A,products!E:E))</f>
        <v>43.54</v>
      </c>
      <c r="P220">
        <f t="shared" si="11"/>
        <v>158.97</v>
      </c>
      <c r="Q220" s="2" t="str">
        <f>_xlfn.XLOOKUP(I220,products!B:B,products!D:D)</f>
        <v>Beauty</v>
      </c>
    </row>
    <row r="221" spans="1:17">
      <c r="A221">
        <v>220</v>
      </c>
      <c r="B221">
        <v>1092</v>
      </c>
      <c r="C221">
        <v>137</v>
      </c>
      <c r="D221">
        <v>5</v>
      </c>
      <c r="E221">
        <v>181.82</v>
      </c>
      <c r="F221">
        <v>13.28</v>
      </c>
      <c r="G221">
        <f t="shared" si="9"/>
        <v>895.81999999999994</v>
      </c>
      <c r="H221" t="str">
        <f>_xlfn.XLOOKUP(B221,customer_orders!A:A,customer_orders!F:F)</f>
        <v>2026-02</v>
      </c>
      <c r="I221" t="str">
        <f>_xlfn.XLOOKUP(C221,products!A:A,products!B:B)</f>
        <v>SKU-0137</v>
      </c>
      <c r="J221" t="str">
        <f>_xlfn.XLOOKUP(B221,customer_orders!A:A,customer_orders!G:G)</f>
        <v>2026-w06</v>
      </c>
      <c r="K221">
        <f>IFERROR(_xlfn.XLOOKUP(B221,shipments!B:B,shipments!H:H),0)</f>
        <v>27.19</v>
      </c>
      <c r="L221">
        <f t="shared" si="10"/>
        <v>0.03</v>
      </c>
      <c r="M221" t="str">
        <f>_xlfn.XLOOKUP(B221,customer_orders!A:A,customer_orders!D:D)</f>
        <v>Shopify</v>
      </c>
      <c r="N221" t="str">
        <f>_xlfn.XLOOKUP(C221,inventory!B:B,inventory!C:C)</f>
        <v>Salt Lake City</v>
      </c>
      <c r="O221">
        <f>IF(_xlfn.XLOOKUP(C221,products!A:A,products!E:E)="NULL",0,_xlfn.XLOOKUP(C221,products!A:A,products!E:E))</f>
        <v>36.76</v>
      </c>
      <c r="P221">
        <f t="shared" si="11"/>
        <v>859.06</v>
      </c>
      <c r="Q221" s="2" t="str">
        <f>_xlfn.XLOOKUP(I221,products!B:B,products!D:D)</f>
        <v>Pet</v>
      </c>
    </row>
    <row r="222" spans="1:17">
      <c r="A222">
        <v>221</v>
      </c>
      <c r="B222">
        <v>1092</v>
      </c>
      <c r="C222">
        <v>4</v>
      </c>
      <c r="D222">
        <v>2</v>
      </c>
      <c r="E222">
        <v>94.28</v>
      </c>
      <c r="F222">
        <v>0</v>
      </c>
      <c r="G222">
        <f t="shared" si="9"/>
        <v>188.56</v>
      </c>
      <c r="H222" t="str">
        <f>_xlfn.XLOOKUP(B222,customer_orders!A:A,customer_orders!F:F)</f>
        <v>2026-02</v>
      </c>
      <c r="I222" t="str">
        <f>_xlfn.XLOOKUP(C222,products!A:A,products!B:B)</f>
        <v>SKU-0004</v>
      </c>
      <c r="J222" t="str">
        <f>_xlfn.XLOOKUP(B222,customer_orders!A:A,customer_orders!G:G)</f>
        <v>2026-w06</v>
      </c>
      <c r="K222">
        <f>IFERROR(_xlfn.XLOOKUP(B222,shipments!B:B,shipments!H:H),0)</f>
        <v>27.19</v>
      </c>
      <c r="L222">
        <f t="shared" si="10"/>
        <v>0.14000000000000001</v>
      </c>
      <c r="M222" t="str">
        <f>_xlfn.XLOOKUP(B222,customer_orders!A:A,customer_orders!D:D)</f>
        <v>Shopify</v>
      </c>
      <c r="N222" t="str">
        <f>_xlfn.XLOOKUP(C222,inventory!B:B,inventory!C:C)</f>
        <v>Draper</v>
      </c>
      <c r="O222">
        <f>IF(_xlfn.XLOOKUP(C222,products!A:A,products!E:E)="NULL",0,_xlfn.XLOOKUP(C222,products!A:A,products!E:E))</f>
        <v>83.61</v>
      </c>
      <c r="P222">
        <f t="shared" si="11"/>
        <v>104.95</v>
      </c>
      <c r="Q222" s="2" t="str">
        <f>_xlfn.XLOOKUP(I222,products!B:B,products!D:D)</f>
        <v>Office</v>
      </c>
    </row>
    <row r="223" spans="1:17">
      <c r="A223">
        <v>222</v>
      </c>
      <c r="B223">
        <v>1093</v>
      </c>
      <c r="C223">
        <v>139</v>
      </c>
      <c r="D223">
        <v>1</v>
      </c>
      <c r="E223">
        <v>156.21</v>
      </c>
      <c r="F223">
        <v>6.02</v>
      </c>
      <c r="G223">
        <f t="shared" si="9"/>
        <v>150.19</v>
      </c>
      <c r="H223" t="str">
        <f>_xlfn.XLOOKUP(B223,customer_orders!A:A,customer_orders!F:F)</f>
        <v>2026-02</v>
      </c>
      <c r="I223" t="str">
        <f>_xlfn.XLOOKUP(C223,products!A:A,products!B:B)</f>
        <v>SKU-0139</v>
      </c>
      <c r="J223" t="str">
        <f>_xlfn.XLOOKUP(B223,customer_orders!A:A,customer_orders!G:G)</f>
        <v>2026-w06</v>
      </c>
      <c r="K223">
        <f>IFERROR(_xlfn.XLOOKUP(B223,shipments!B:B,shipments!H:H),0)</f>
        <v>84.38</v>
      </c>
      <c r="L223">
        <f t="shared" si="10"/>
        <v>0.56000000000000005</v>
      </c>
      <c r="M223" t="str">
        <f>_xlfn.XLOOKUP(B223,customer_orders!A:A,customer_orders!D:D)</f>
        <v>Shopify</v>
      </c>
      <c r="N223" t="str">
        <f>_xlfn.XLOOKUP(C223,inventory!B:B,inventory!C:C)</f>
        <v>South Jordan</v>
      </c>
      <c r="O223">
        <f>IF(_xlfn.XLOOKUP(C223,products!A:A,products!E:E)="NULL",0,_xlfn.XLOOKUP(C223,products!A:A,products!E:E))</f>
        <v>77.040000000000006</v>
      </c>
      <c r="P223">
        <f t="shared" si="11"/>
        <v>73.149999999999991</v>
      </c>
      <c r="Q223" s="2" t="str">
        <f>_xlfn.XLOOKUP(I223,products!B:B,products!D:D)</f>
        <v>Toys</v>
      </c>
    </row>
    <row r="224" spans="1:17">
      <c r="A224">
        <v>223</v>
      </c>
      <c r="B224">
        <v>1093</v>
      </c>
      <c r="C224">
        <v>27</v>
      </c>
      <c r="D224">
        <v>4</v>
      </c>
      <c r="E224">
        <v>165.39</v>
      </c>
      <c r="F224">
        <v>11.39</v>
      </c>
      <c r="G224">
        <f t="shared" si="9"/>
        <v>650.16999999999996</v>
      </c>
      <c r="H224" t="str">
        <f>_xlfn.XLOOKUP(B224,customer_orders!A:A,customer_orders!F:F)</f>
        <v>2026-02</v>
      </c>
      <c r="I224" t="str">
        <f>_xlfn.XLOOKUP(C224,products!A:A,products!B:B)</f>
        <v>SKU-0027</v>
      </c>
      <c r="J224" t="str">
        <f>_xlfn.XLOOKUP(B224,customer_orders!A:A,customer_orders!G:G)</f>
        <v>2026-w06</v>
      </c>
      <c r="K224">
        <f>IFERROR(_xlfn.XLOOKUP(B224,shipments!B:B,shipments!H:H),0)</f>
        <v>84.38</v>
      </c>
      <c r="L224">
        <f t="shared" si="10"/>
        <v>0.13</v>
      </c>
      <c r="M224" t="str">
        <f>_xlfn.XLOOKUP(B224,customer_orders!A:A,customer_orders!D:D)</f>
        <v>Shopify</v>
      </c>
      <c r="N224" t="str">
        <f>_xlfn.XLOOKUP(C224,inventory!B:B,inventory!C:C)</f>
        <v>Salt Lake City</v>
      </c>
      <c r="O224">
        <f>IF(_xlfn.XLOOKUP(C224,products!A:A,products!E:E)="NULL",0,_xlfn.XLOOKUP(C224,products!A:A,products!E:E))</f>
        <v>33.9</v>
      </c>
      <c r="P224">
        <f t="shared" si="11"/>
        <v>616.27</v>
      </c>
      <c r="Q224" s="2" t="str">
        <f>_xlfn.XLOOKUP(I224,products!B:B,products!D:D)</f>
        <v>Pet</v>
      </c>
    </row>
    <row r="225" spans="1:17">
      <c r="A225">
        <v>224</v>
      </c>
      <c r="B225">
        <v>1094</v>
      </c>
      <c r="C225">
        <v>52</v>
      </c>
      <c r="D225">
        <v>8</v>
      </c>
      <c r="E225">
        <v>59.3</v>
      </c>
      <c r="F225">
        <v>0</v>
      </c>
      <c r="G225">
        <f t="shared" si="9"/>
        <v>474.4</v>
      </c>
      <c r="H225" t="str">
        <f>_xlfn.XLOOKUP(B225,customer_orders!A:A,customer_orders!F:F)</f>
        <v>2026-03</v>
      </c>
      <c r="I225" t="str">
        <f>_xlfn.XLOOKUP(C225,products!A:A,products!B:B)</f>
        <v>SKU-0052</v>
      </c>
      <c r="J225" t="str">
        <f>_xlfn.XLOOKUP(B225,customer_orders!A:A,customer_orders!G:G)</f>
        <v>2026-w13</v>
      </c>
      <c r="K225">
        <f>IFERROR(_xlfn.XLOOKUP(B225,shipments!B:B,shipments!H:H),0)</f>
        <v>17.850000000000001</v>
      </c>
      <c r="L225">
        <f t="shared" si="10"/>
        <v>0.04</v>
      </c>
      <c r="M225" t="str">
        <f>_xlfn.XLOOKUP(B225,customer_orders!A:A,customer_orders!D:D)</f>
        <v>Amazon</v>
      </c>
      <c r="N225" t="str">
        <f>_xlfn.XLOOKUP(C225,inventory!B:B,inventory!C:C)</f>
        <v>Lehi</v>
      </c>
      <c r="O225">
        <f>IF(_xlfn.XLOOKUP(C225,products!A:A,products!E:E)="NULL",0,_xlfn.XLOOKUP(C225,products!A:A,products!E:E))</f>
        <v>134.91999999999999</v>
      </c>
      <c r="P225">
        <f t="shared" si="11"/>
        <v>339.48</v>
      </c>
      <c r="Q225" s="2" t="str">
        <f>_xlfn.XLOOKUP(I225,products!B:B,products!D:D)</f>
        <v>Home</v>
      </c>
    </row>
    <row r="226" spans="1:17">
      <c r="A226">
        <v>225</v>
      </c>
      <c r="B226">
        <v>1094</v>
      </c>
      <c r="C226">
        <v>140</v>
      </c>
      <c r="D226">
        <v>4</v>
      </c>
      <c r="E226">
        <v>86.93</v>
      </c>
      <c r="F226">
        <v>0</v>
      </c>
      <c r="G226">
        <f t="shared" si="9"/>
        <v>347.72</v>
      </c>
      <c r="H226" t="str">
        <f>_xlfn.XLOOKUP(B226,customer_orders!A:A,customer_orders!F:F)</f>
        <v>2026-03</v>
      </c>
      <c r="I226" t="str">
        <f>_xlfn.XLOOKUP(C226,products!A:A,products!B:B)</f>
        <v>SKU-0140</v>
      </c>
      <c r="J226" t="str">
        <f>_xlfn.XLOOKUP(B226,customer_orders!A:A,customer_orders!G:G)</f>
        <v>2026-w13</v>
      </c>
      <c r="K226">
        <f>IFERROR(_xlfn.XLOOKUP(B226,shipments!B:B,shipments!H:H),0)</f>
        <v>17.850000000000001</v>
      </c>
      <c r="L226">
        <f t="shared" si="10"/>
        <v>0.05</v>
      </c>
      <c r="M226" t="str">
        <f>_xlfn.XLOOKUP(B226,customer_orders!A:A,customer_orders!D:D)</f>
        <v>Amazon</v>
      </c>
      <c r="N226" t="str">
        <f>_xlfn.XLOOKUP(C226,inventory!B:B,inventory!C:C)</f>
        <v>South Jordan</v>
      </c>
      <c r="O226">
        <f>IF(_xlfn.XLOOKUP(C226,products!A:A,products!E:E)="NULL",0,_xlfn.XLOOKUP(C226,products!A:A,products!E:E))</f>
        <v>20.41</v>
      </c>
      <c r="P226">
        <f t="shared" si="11"/>
        <v>327.31</v>
      </c>
      <c r="Q226" s="2" t="str">
        <f>_xlfn.XLOOKUP(I226,products!B:B,products!D:D)</f>
        <v>Electronics</v>
      </c>
    </row>
    <row r="227" spans="1:17">
      <c r="A227">
        <v>226</v>
      </c>
      <c r="B227">
        <v>1094</v>
      </c>
      <c r="C227">
        <v>76</v>
      </c>
      <c r="D227">
        <v>8</v>
      </c>
      <c r="E227">
        <v>160.68</v>
      </c>
      <c r="F227">
        <v>0</v>
      </c>
      <c r="G227">
        <f t="shared" si="9"/>
        <v>1285.44</v>
      </c>
      <c r="H227" t="str">
        <f>_xlfn.XLOOKUP(B227,customer_orders!A:A,customer_orders!F:F)</f>
        <v>2026-03</v>
      </c>
      <c r="I227" t="str">
        <f>_xlfn.XLOOKUP(C227,products!A:A,products!B:B)</f>
        <v>SKU-0076</v>
      </c>
      <c r="J227" t="str">
        <f>_xlfn.XLOOKUP(B227,customer_orders!A:A,customer_orders!G:G)</f>
        <v>2026-w13</v>
      </c>
      <c r="K227">
        <f>IFERROR(_xlfn.XLOOKUP(B227,shipments!B:B,shipments!H:H),0)</f>
        <v>17.850000000000001</v>
      </c>
      <c r="L227">
        <f t="shared" si="10"/>
        <v>0.01</v>
      </c>
      <c r="M227" t="str">
        <f>_xlfn.XLOOKUP(B227,customer_orders!A:A,customer_orders!D:D)</f>
        <v>Amazon</v>
      </c>
      <c r="N227" t="str">
        <f>_xlfn.XLOOKUP(C227,inventory!B:B,inventory!C:C)</f>
        <v>South Jordan</v>
      </c>
      <c r="O227">
        <f>IF(_xlfn.XLOOKUP(C227,products!A:A,products!E:E)="NULL",0,_xlfn.XLOOKUP(C227,products!A:A,products!E:E))</f>
        <v>123.23</v>
      </c>
      <c r="P227">
        <f t="shared" si="11"/>
        <v>1162.21</v>
      </c>
      <c r="Q227" s="2" t="str">
        <f>_xlfn.XLOOKUP(I227,products!B:B,products!D:D)</f>
        <v>Pet</v>
      </c>
    </row>
    <row r="228" spans="1:17">
      <c r="A228">
        <v>227</v>
      </c>
      <c r="B228">
        <v>1095</v>
      </c>
      <c r="C228">
        <v>120</v>
      </c>
      <c r="D228">
        <v>3</v>
      </c>
      <c r="E228">
        <v>229.55</v>
      </c>
      <c r="F228">
        <v>0</v>
      </c>
      <c r="G228">
        <f t="shared" si="9"/>
        <v>688.65000000000009</v>
      </c>
      <c r="H228" t="str">
        <f>_xlfn.XLOOKUP(B228,customer_orders!A:A,customer_orders!F:F)</f>
        <v>2026-02</v>
      </c>
      <c r="I228" t="str">
        <f>_xlfn.XLOOKUP(C228,products!A:A,products!B:B)</f>
        <v>SKU-0120</v>
      </c>
      <c r="J228" t="str">
        <f>_xlfn.XLOOKUP(B228,customer_orders!A:A,customer_orders!G:G)</f>
        <v>2026-w07</v>
      </c>
      <c r="K228">
        <f>IFERROR(_xlfn.XLOOKUP(B228,shipments!B:B,shipments!H:H),0)</f>
        <v>22.49</v>
      </c>
      <c r="L228">
        <f t="shared" si="10"/>
        <v>0.03</v>
      </c>
      <c r="M228" t="str">
        <f>_xlfn.XLOOKUP(B228,customer_orders!A:A,customer_orders!D:D)</f>
        <v>Ebay</v>
      </c>
      <c r="N228" t="str">
        <f>_xlfn.XLOOKUP(C228,inventory!B:B,inventory!C:C)</f>
        <v>Draper</v>
      </c>
      <c r="O228">
        <f>IF(_xlfn.XLOOKUP(C228,products!A:A,products!E:E)="NULL",0,_xlfn.XLOOKUP(C228,products!A:A,products!E:E))</f>
        <v>116.63</v>
      </c>
      <c r="P228">
        <f t="shared" si="11"/>
        <v>572.0200000000001</v>
      </c>
      <c r="Q228" s="2" t="str">
        <f>_xlfn.XLOOKUP(I228,products!B:B,products!D:D)</f>
        <v>Sports</v>
      </c>
    </row>
    <row r="229" spans="1:17">
      <c r="A229">
        <v>228</v>
      </c>
      <c r="B229">
        <v>1095</v>
      </c>
      <c r="C229">
        <v>14</v>
      </c>
      <c r="D229">
        <v>5</v>
      </c>
      <c r="E229">
        <v>33.86</v>
      </c>
      <c r="F229">
        <v>0</v>
      </c>
      <c r="G229">
        <f t="shared" si="9"/>
        <v>169.3</v>
      </c>
      <c r="H229" t="str">
        <f>_xlfn.XLOOKUP(B229,customer_orders!A:A,customer_orders!F:F)</f>
        <v>2026-02</v>
      </c>
      <c r="I229" t="str">
        <f>_xlfn.XLOOKUP(C229,products!A:A,products!B:B)</f>
        <v>SKU-0014</v>
      </c>
      <c r="J229" t="str">
        <f>_xlfn.XLOOKUP(B229,customer_orders!A:A,customer_orders!G:G)</f>
        <v>2026-w07</v>
      </c>
      <c r="K229">
        <f>IFERROR(_xlfn.XLOOKUP(B229,shipments!B:B,shipments!H:H),0)</f>
        <v>22.49</v>
      </c>
      <c r="L229">
        <f t="shared" si="10"/>
        <v>0.13</v>
      </c>
      <c r="M229" t="str">
        <f>_xlfn.XLOOKUP(B229,customer_orders!A:A,customer_orders!D:D)</f>
        <v>Ebay</v>
      </c>
      <c r="N229" t="str">
        <f>_xlfn.XLOOKUP(C229,inventory!B:B,inventory!C:C)</f>
        <v>Lehi</v>
      </c>
      <c r="O229">
        <f>IF(_xlfn.XLOOKUP(C229,products!A:A,products!E:E)="NULL",0,_xlfn.XLOOKUP(C229,products!A:A,products!E:E))</f>
        <v>75.2</v>
      </c>
      <c r="P229">
        <f t="shared" si="11"/>
        <v>94.100000000000009</v>
      </c>
      <c r="Q229" s="2" t="str">
        <f>_xlfn.XLOOKUP(I229,products!B:B,products!D:D)</f>
        <v>Electronics</v>
      </c>
    </row>
    <row r="230" spans="1:17">
      <c r="A230">
        <v>229</v>
      </c>
      <c r="B230">
        <v>1095</v>
      </c>
      <c r="C230">
        <v>19</v>
      </c>
      <c r="D230">
        <v>6</v>
      </c>
      <c r="E230">
        <v>298.89</v>
      </c>
      <c r="F230">
        <v>0</v>
      </c>
      <c r="G230">
        <f t="shared" si="9"/>
        <v>1793.34</v>
      </c>
      <c r="H230" t="str">
        <f>_xlfn.XLOOKUP(B230,customer_orders!A:A,customer_orders!F:F)</f>
        <v>2026-02</v>
      </c>
      <c r="I230" t="str">
        <f>_xlfn.XLOOKUP(C230,products!A:A,products!B:B)</f>
        <v>SKU-0019</v>
      </c>
      <c r="J230" t="str">
        <f>_xlfn.XLOOKUP(B230,customer_orders!A:A,customer_orders!G:G)</f>
        <v>2026-w07</v>
      </c>
      <c r="K230">
        <f>IFERROR(_xlfn.XLOOKUP(B230,shipments!B:B,shipments!H:H),0)</f>
        <v>22.49</v>
      </c>
      <c r="L230">
        <f t="shared" si="10"/>
        <v>0.01</v>
      </c>
      <c r="M230" t="str">
        <f>_xlfn.XLOOKUP(B230,customer_orders!A:A,customer_orders!D:D)</f>
        <v>Ebay</v>
      </c>
      <c r="N230" t="str">
        <f>_xlfn.XLOOKUP(C230,inventory!B:B,inventory!C:C)</f>
        <v>South Jordan</v>
      </c>
      <c r="O230">
        <f>IF(_xlfn.XLOOKUP(C230,products!A:A,products!E:E)="NULL",0,_xlfn.XLOOKUP(C230,products!A:A,products!E:E))</f>
        <v>71.78</v>
      </c>
      <c r="P230">
        <f t="shared" si="11"/>
        <v>1721.56</v>
      </c>
      <c r="Q230" s="2" t="str">
        <f>_xlfn.XLOOKUP(I230,products!B:B,products!D:D)</f>
        <v>Home</v>
      </c>
    </row>
    <row r="231" spans="1:17">
      <c r="A231">
        <v>230</v>
      </c>
      <c r="B231">
        <v>1096</v>
      </c>
      <c r="C231">
        <v>93</v>
      </c>
      <c r="D231">
        <v>5</v>
      </c>
      <c r="E231">
        <v>277.07</v>
      </c>
      <c r="F231">
        <v>4.0599999999999996</v>
      </c>
      <c r="G231">
        <f t="shared" si="9"/>
        <v>1381.29</v>
      </c>
      <c r="H231" t="str">
        <f>_xlfn.XLOOKUP(B231,customer_orders!A:A,customer_orders!F:F)</f>
        <v>2026-02</v>
      </c>
      <c r="I231" t="str">
        <f>_xlfn.XLOOKUP(C231,products!A:A,products!B:B)</f>
        <v>SKU-0093</v>
      </c>
      <c r="J231" t="str">
        <f>_xlfn.XLOOKUP(B231,customer_orders!A:A,customer_orders!G:G)</f>
        <v>2026-w09</v>
      </c>
      <c r="K231">
        <f>IFERROR(_xlfn.XLOOKUP(B231,shipments!B:B,shipments!H:H),0)</f>
        <v>48.24</v>
      </c>
      <c r="L231">
        <f t="shared" si="10"/>
        <v>0.03</v>
      </c>
      <c r="M231" t="str">
        <f>_xlfn.XLOOKUP(B231,customer_orders!A:A,customer_orders!D:D)</f>
        <v>Shopify</v>
      </c>
      <c r="N231" t="str">
        <f>_xlfn.XLOOKUP(C231,inventory!B:B,inventory!C:C)</f>
        <v>West Valley</v>
      </c>
      <c r="O231">
        <f>IF(_xlfn.XLOOKUP(C231,products!A:A,products!E:E)="NULL",0,_xlfn.XLOOKUP(C231,products!A:A,products!E:E))</f>
        <v>152.09</v>
      </c>
      <c r="P231">
        <f t="shared" si="11"/>
        <v>1229.2</v>
      </c>
      <c r="Q231" s="2" t="str">
        <f>_xlfn.XLOOKUP(I231,products!B:B,products!D:D)</f>
        <v>Office</v>
      </c>
    </row>
    <row r="232" spans="1:17">
      <c r="A232">
        <v>231</v>
      </c>
      <c r="B232">
        <v>1096</v>
      </c>
      <c r="C232">
        <v>144</v>
      </c>
      <c r="D232">
        <v>1</v>
      </c>
      <c r="E232">
        <v>194.56</v>
      </c>
      <c r="F232">
        <v>0</v>
      </c>
      <c r="G232">
        <f t="shared" si="9"/>
        <v>194.56</v>
      </c>
      <c r="H232" t="str">
        <f>_xlfn.XLOOKUP(B232,customer_orders!A:A,customer_orders!F:F)</f>
        <v>2026-02</v>
      </c>
      <c r="I232" t="str">
        <f>_xlfn.XLOOKUP(C232,products!A:A,products!B:B)</f>
        <v>SKU-0144</v>
      </c>
      <c r="J232" t="str">
        <f>_xlfn.XLOOKUP(B232,customer_orders!A:A,customer_orders!G:G)</f>
        <v>2026-w09</v>
      </c>
      <c r="K232">
        <f>IFERROR(_xlfn.XLOOKUP(B232,shipments!B:B,shipments!H:H),0)</f>
        <v>48.24</v>
      </c>
      <c r="L232">
        <f t="shared" si="10"/>
        <v>0.25</v>
      </c>
      <c r="M232" t="str">
        <f>_xlfn.XLOOKUP(B232,customer_orders!A:A,customer_orders!D:D)</f>
        <v>Shopify</v>
      </c>
      <c r="N232" t="str">
        <f>_xlfn.XLOOKUP(C232,inventory!B:B,inventory!C:C)</f>
        <v>South Jordan</v>
      </c>
      <c r="O232">
        <f>IF(_xlfn.XLOOKUP(C232,products!A:A,products!E:E)="NULL",0,_xlfn.XLOOKUP(C232,products!A:A,products!E:E))</f>
        <v>10.050000000000001</v>
      </c>
      <c r="P232">
        <f t="shared" si="11"/>
        <v>184.51</v>
      </c>
      <c r="Q232" s="2" t="str">
        <f>_xlfn.XLOOKUP(I232,products!B:B,products!D:D)</f>
        <v>Pet</v>
      </c>
    </row>
    <row r="233" spans="1:17">
      <c r="A233">
        <v>232</v>
      </c>
      <c r="B233">
        <v>1096</v>
      </c>
      <c r="C233">
        <v>115</v>
      </c>
      <c r="D233">
        <v>4</v>
      </c>
      <c r="E233">
        <v>80.7</v>
      </c>
      <c r="F233">
        <v>0</v>
      </c>
      <c r="G233">
        <f t="shared" si="9"/>
        <v>322.8</v>
      </c>
      <c r="H233" t="str">
        <f>_xlfn.XLOOKUP(B233,customer_orders!A:A,customer_orders!F:F)</f>
        <v>2026-02</v>
      </c>
      <c r="I233" t="str">
        <f>_xlfn.XLOOKUP(C233,products!A:A,products!B:B)</f>
        <v>SKU-0115</v>
      </c>
      <c r="J233" t="str">
        <f>_xlfn.XLOOKUP(B233,customer_orders!A:A,customer_orders!G:G)</f>
        <v>2026-w09</v>
      </c>
      <c r="K233">
        <f>IFERROR(_xlfn.XLOOKUP(B233,shipments!B:B,shipments!H:H),0)</f>
        <v>48.24</v>
      </c>
      <c r="L233">
        <f t="shared" si="10"/>
        <v>0.15</v>
      </c>
      <c r="M233" t="str">
        <f>_xlfn.XLOOKUP(B233,customer_orders!A:A,customer_orders!D:D)</f>
        <v>Shopify</v>
      </c>
      <c r="N233" t="str">
        <f>_xlfn.XLOOKUP(C233,inventory!B:B,inventory!C:C)</f>
        <v>West Valley</v>
      </c>
      <c r="O233">
        <f>IF(_xlfn.XLOOKUP(C233,products!A:A,products!E:E)="NULL",0,_xlfn.XLOOKUP(C233,products!A:A,products!E:E))</f>
        <v>58.66</v>
      </c>
      <c r="P233">
        <f t="shared" si="11"/>
        <v>264.14</v>
      </c>
      <c r="Q233" s="2" t="str">
        <f>_xlfn.XLOOKUP(I233,products!B:B,products!D:D)</f>
        <v>Pet</v>
      </c>
    </row>
    <row r="234" spans="1:17">
      <c r="A234">
        <v>233</v>
      </c>
      <c r="B234">
        <v>1097</v>
      </c>
      <c r="C234">
        <v>125</v>
      </c>
      <c r="D234">
        <v>1</v>
      </c>
      <c r="E234">
        <v>273.92</v>
      </c>
      <c r="F234">
        <v>0</v>
      </c>
      <c r="G234">
        <f t="shared" si="9"/>
        <v>273.92</v>
      </c>
      <c r="H234" t="str">
        <f>_xlfn.XLOOKUP(B234,customer_orders!A:A,customer_orders!F:F)</f>
        <v>2026-03</v>
      </c>
      <c r="I234" t="str">
        <f>_xlfn.XLOOKUP(C234,products!A:A,products!B:B)</f>
        <v>SKU-0125</v>
      </c>
      <c r="J234" t="str">
        <f>_xlfn.XLOOKUP(B234,customer_orders!A:A,customer_orders!G:G)</f>
        <v>2026-w11</v>
      </c>
      <c r="K234">
        <f>IFERROR(_xlfn.XLOOKUP(B234,shipments!B:B,shipments!H:H),0)</f>
        <v>79</v>
      </c>
      <c r="L234">
        <f t="shared" si="10"/>
        <v>0.28999999999999998</v>
      </c>
      <c r="M234" t="str">
        <f>_xlfn.XLOOKUP(B234,customer_orders!A:A,customer_orders!D:D)</f>
        <v>Amazon</v>
      </c>
      <c r="N234" t="str">
        <f>_xlfn.XLOOKUP(C234,inventory!B:B,inventory!C:C)</f>
        <v>Draper</v>
      </c>
      <c r="O234">
        <f>IF(_xlfn.XLOOKUP(C234,products!A:A,products!E:E)="NULL",0,_xlfn.XLOOKUP(C234,products!A:A,products!E:E))</f>
        <v>71.569999999999993</v>
      </c>
      <c r="P234">
        <f t="shared" si="11"/>
        <v>202.35000000000002</v>
      </c>
      <c r="Q234" s="2" t="str">
        <f>_xlfn.XLOOKUP(I234,products!B:B,products!D:D)</f>
        <v>Beauty</v>
      </c>
    </row>
    <row r="235" spans="1:17">
      <c r="A235">
        <v>234</v>
      </c>
      <c r="B235">
        <v>1097</v>
      </c>
      <c r="C235">
        <v>83</v>
      </c>
      <c r="D235">
        <v>2</v>
      </c>
      <c r="E235">
        <v>269.23</v>
      </c>
      <c r="F235">
        <v>0</v>
      </c>
      <c r="G235">
        <f t="shared" si="9"/>
        <v>538.46</v>
      </c>
      <c r="H235" t="str">
        <f>_xlfn.XLOOKUP(B235,customer_orders!A:A,customer_orders!F:F)</f>
        <v>2026-03</v>
      </c>
      <c r="I235" t="str">
        <f>_xlfn.XLOOKUP(C235,products!A:A,products!B:B)</f>
        <v>SKU-0083</v>
      </c>
      <c r="J235" t="str">
        <f>_xlfn.XLOOKUP(B235,customer_orders!A:A,customer_orders!G:G)</f>
        <v>2026-w11</v>
      </c>
      <c r="K235">
        <f>IFERROR(_xlfn.XLOOKUP(B235,shipments!B:B,shipments!H:H),0)</f>
        <v>79</v>
      </c>
      <c r="L235">
        <f t="shared" si="10"/>
        <v>0.15</v>
      </c>
      <c r="M235" t="str">
        <f>_xlfn.XLOOKUP(B235,customer_orders!A:A,customer_orders!D:D)</f>
        <v>Amazon</v>
      </c>
      <c r="N235" t="str">
        <f>_xlfn.XLOOKUP(C235,inventory!B:B,inventory!C:C)</f>
        <v>Salt Lake City</v>
      </c>
      <c r="O235">
        <f>IF(_xlfn.XLOOKUP(C235,products!A:A,products!E:E)="NULL",0,_xlfn.XLOOKUP(C235,products!A:A,products!E:E))</f>
        <v>147.63</v>
      </c>
      <c r="P235">
        <f t="shared" si="11"/>
        <v>390.83000000000004</v>
      </c>
      <c r="Q235" s="2" t="str">
        <f>_xlfn.XLOOKUP(I235,products!B:B,products!D:D)</f>
        <v>Pet</v>
      </c>
    </row>
    <row r="236" spans="1:17">
      <c r="A236">
        <v>235</v>
      </c>
      <c r="B236">
        <v>1097</v>
      </c>
      <c r="C236">
        <v>138</v>
      </c>
      <c r="D236">
        <v>1</v>
      </c>
      <c r="E236">
        <v>106.5</v>
      </c>
      <c r="F236">
        <v>0</v>
      </c>
      <c r="G236">
        <f t="shared" si="9"/>
        <v>106.5</v>
      </c>
      <c r="H236" t="str">
        <f>_xlfn.XLOOKUP(B236,customer_orders!A:A,customer_orders!F:F)</f>
        <v>2026-03</v>
      </c>
      <c r="I236" t="str">
        <f>_xlfn.XLOOKUP(C236,products!A:A,products!B:B)</f>
        <v>SKU-0138</v>
      </c>
      <c r="J236" t="str">
        <f>_xlfn.XLOOKUP(B236,customer_orders!A:A,customer_orders!G:G)</f>
        <v>2026-w11</v>
      </c>
      <c r="K236">
        <f>IFERROR(_xlfn.XLOOKUP(B236,shipments!B:B,shipments!H:H),0)</f>
        <v>79</v>
      </c>
      <c r="L236">
        <f t="shared" si="10"/>
        <v>0.74</v>
      </c>
      <c r="M236" t="str">
        <f>_xlfn.XLOOKUP(B236,customer_orders!A:A,customer_orders!D:D)</f>
        <v>Amazon</v>
      </c>
      <c r="N236" t="str">
        <f>_xlfn.XLOOKUP(C236,inventory!B:B,inventory!C:C)</f>
        <v>South Jordan</v>
      </c>
      <c r="O236">
        <f>IF(_xlfn.XLOOKUP(C236,products!A:A,products!E:E)="NULL",0,_xlfn.XLOOKUP(C236,products!A:A,products!E:E))</f>
        <v>76.459999999999994</v>
      </c>
      <c r="P236">
        <f t="shared" si="11"/>
        <v>30.040000000000006</v>
      </c>
      <c r="Q236" s="2" t="str">
        <f>_xlfn.XLOOKUP(I236,products!B:B,products!D:D)</f>
        <v>Pet</v>
      </c>
    </row>
    <row r="237" spans="1:17">
      <c r="A237">
        <v>236</v>
      </c>
      <c r="B237">
        <v>1097</v>
      </c>
      <c r="C237">
        <v>55</v>
      </c>
      <c r="D237">
        <v>7</v>
      </c>
      <c r="E237">
        <v>110.06</v>
      </c>
      <c r="F237">
        <v>0</v>
      </c>
      <c r="G237">
        <f t="shared" si="9"/>
        <v>770.42000000000007</v>
      </c>
      <c r="H237" t="str">
        <f>_xlfn.XLOOKUP(B237,customer_orders!A:A,customer_orders!F:F)</f>
        <v>2026-03</v>
      </c>
      <c r="I237" t="str">
        <f>_xlfn.XLOOKUP(C237,products!A:A,products!B:B)</f>
        <v>SKU-0055</v>
      </c>
      <c r="J237" t="str">
        <f>_xlfn.XLOOKUP(B237,customer_orders!A:A,customer_orders!G:G)</f>
        <v>2026-w11</v>
      </c>
      <c r="K237">
        <f>IFERROR(_xlfn.XLOOKUP(B237,shipments!B:B,shipments!H:H),0)</f>
        <v>79</v>
      </c>
      <c r="L237">
        <f t="shared" si="10"/>
        <v>0.1</v>
      </c>
      <c r="M237" t="str">
        <f>_xlfn.XLOOKUP(B237,customer_orders!A:A,customer_orders!D:D)</f>
        <v>Amazon</v>
      </c>
      <c r="N237" t="str">
        <f>_xlfn.XLOOKUP(C237,inventory!B:B,inventory!C:C)</f>
        <v>South Jordan</v>
      </c>
      <c r="O237">
        <f>IF(_xlfn.XLOOKUP(C237,products!A:A,products!E:E)="NULL",0,_xlfn.XLOOKUP(C237,products!A:A,products!E:E))</f>
        <v>12.72</v>
      </c>
      <c r="P237">
        <f t="shared" si="11"/>
        <v>757.7</v>
      </c>
      <c r="Q237" s="2" t="str">
        <f>_xlfn.XLOOKUP(I237,products!B:B,products!D:D)</f>
        <v>Office</v>
      </c>
    </row>
    <row r="238" spans="1:17">
      <c r="A238">
        <v>237</v>
      </c>
      <c r="B238">
        <v>1098</v>
      </c>
      <c r="C238">
        <v>19</v>
      </c>
      <c r="D238">
        <v>1</v>
      </c>
      <c r="E238">
        <v>298.89</v>
      </c>
      <c r="F238">
        <v>0</v>
      </c>
      <c r="G238">
        <f t="shared" si="9"/>
        <v>298.89</v>
      </c>
      <c r="H238" t="str">
        <f>_xlfn.XLOOKUP(B238,customer_orders!A:A,customer_orders!F:F)</f>
        <v>2026-04</v>
      </c>
      <c r="I238" t="str">
        <f>_xlfn.XLOOKUP(C238,products!A:A,products!B:B)</f>
        <v>SKU-0019</v>
      </c>
      <c r="J238" t="str">
        <f>_xlfn.XLOOKUP(B238,customer_orders!A:A,customer_orders!G:G)</f>
        <v>2026-w18</v>
      </c>
      <c r="K238">
        <f>IFERROR(_xlfn.XLOOKUP(B238,shipments!B:B,shipments!H:H),0)</f>
        <v>99.31</v>
      </c>
      <c r="L238">
        <f t="shared" si="10"/>
        <v>0.33</v>
      </c>
      <c r="M238" t="str">
        <f>_xlfn.XLOOKUP(B238,customer_orders!A:A,customer_orders!D:D)</f>
        <v>Ebay</v>
      </c>
      <c r="N238" t="str">
        <f>_xlfn.XLOOKUP(C238,inventory!B:B,inventory!C:C)</f>
        <v>South Jordan</v>
      </c>
      <c r="O238">
        <f>IF(_xlfn.XLOOKUP(C238,products!A:A,products!E:E)="NULL",0,_xlfn.XLOOKUP(C238,products!A:A,products!E:E))</f>
        <v>71.78</v>
      </c>
      <c r="P238">
        <f t="shared" si="11"/>
        <v>227.10999999999999</v>
      </c>
      <c r="Q238" s="2" t="str">
        <f>_xlfn.XLOOKUP(I238,products!B:B,products!D:D)</f>
        <v>Home</v>
      </c>
    </row>
    <row r="239" spans="1:17">
      <c r="A239">
        <v>238</v>
      </c>
      <c r="B239">
        <v>1099</v>
      </c>
      <c r="C239">
        <v>31</v>
      </c>
      <c r="D239">
        <v>1</v>
      </c>
      <c r="E239">
        <v>35.19</v>
      </c>
      <c r="F239">
        <v>0</v>
      </c>
      <c r="G239">
        <f t="shared" si="9"/>
        <v>35.19</v>
      </c>
      <c r="H239" t="str">
        <f>_xlfn.XLOOKUP(B239,customer_orders!A:A,customer_orders!F:F)</f>
        <v>2026-04</v>
      </c>
      <c r="I239" t="str">
        <f>_xlfn.XLOOKUP(C239,products!A:A,products!B:B)</f>
        <v>SKU-0031</v>
      </c>
      <c r="J239" t="str">
        <f>_xlfn.XLOOKUP(B239,customer_orders!A:A,customer_orders!G:G)</f>
        <v>2026-w16</v>
      </c>
      <c r="K239">
        <f>IFERROR(_xlfn.XLOOKUP(B239,shipments!B:B,shipments!H:H),0)</f>
        <v>58.98</v>
      </c>
      <c r="L239">
        <f t="shared" si="10"/>
        <v>1.68</v>
      </c>
      <c r="M239" t="str">
        <f>_xlfn.XLOOKUP(B239,customer_orders!A:A,customer_orders!D:D)</f>
        <v>Ebay</v>
      </c>
      <c r="N239" t="str">
        <f>_xlfn.XLOOKUP(C239,inventory!B:B,inventory!C:C)</f>
        <v>Salt Lake City</v>
      </c>
      <c r="O239">
        <f>IF(_xlfn.XLOOKUP(C239,products!A:A,products!E:E)="NULL",0,_xlfn.XLOOKUP(C239,products!A:A,products!E:E))</f>
        <v>155.44</v>
      </c>
      <c r="P239">
        <f t="shared" si="11"/>
        <v>-120.25</v>
      </c>
      <c r="Q239" s="2" t="str">
        <f>_xlfn.XLOOKUP(I239,products!B:B,products!D:D)</f>
        <v>Home</v>
      </c>
    </row>
    <row r="240" spans="1:17">
      <c r="A240">
        <v>239</v>
      </c>
      <c r="B240">
        <v>1099</v>
      </c>
      <c r="C240">
        <v>150</v>
      </c>
      <c r="D240">
        <v>1</v>
      </c>
      <c r="E240">
        <v>100.09</v>
      </c>
      <c r="F240">
        <v>0</v>
      </c>
      <c r="G240">
        <f t="shared" si="9"/>
        <v>100.09</v>
      </c>
      <c r="H240" t="str">
        <f>_xlfn.XLOOKUP(B240,customer_orders!A:A,customer_orders!F:F)</f>
        <v>2026-04</v>
      </c>
      <c r="I240" t="str">
        <f>_xlfn.XLOOKUP(C240,products!A:A,products!B:B)</f>
        <v>SKU-0150</v>
      </c>
      <c r="J240" t="str">
        <f>_xlfn.XLOOKUP(B240,customer_orders!A:A,customer_orders!G:G)</f>
        <v>2026-w16</v>
      </c>
      <c r="K240">
        <f>IFERROR(_xlfn.XLOOKUP(B240,shipments!B:B,shipments!H:H),0)</f>
        <v>58.98</v>
      </c>
      <c r="L240">
        <f t="shared" si="10"/>
        <v>0.59</v>
      </c>
      <c r="M240" t="str">
        <f>_xlfn.XLOOKUP(B240,customer_orders!A:A,customer_orders!D:D)</f>
        <v>Ebay</v>
      </c>
      <c r="N240" t="str">
        <f>_xlfn.XLOOKUP(C240,inventory!B:B,inventory!C:C)</f>
        <v>South Jordan</v>
      </c>
      <c r="O240">
        <f>IF(_xlfn.XLOOKUP(C240,products!A:A,products!E:E)="NULL",0,_xlfn.XLOOKUP(C240,products!A:A,products!E:E))</f>
        <v>54.5</v>
      </c>
      <c r="P240">
        <f t="shared" si="11"/>
        <v>45.59</v>
      </c>
      <c r="Q240" s="2" t="str">
        <f>_xlfn.XLOOKUP(I240,products!B:B,products!D:D)</f>
        <v>Sports</v>
      </c>
    </row>
    <row r="241" spans="1:17">
      <c r="A241">
        <v>240</v>
      </c>
      <c r="B241">
        <v>1099</v>
      </c>
      <c r="C241">
        <v>92</v>
      </c>
      <c r="D241">
        <v>2</v>
      </c>
      <c r="E241">
        <v>23.27</v>
      </c>
      <c r="F241">
        <v>0</v>
      </c>
      <c r="G241">
        <f t="shared" si="9"/>
        <v>46.54</v>
      </c>
      <c r="H241" t="str">
        <f>_xlfn.XLOOKUP(B241,customer_orders!A:A,customer_orders!F:F)</f>
        <v>2026-04</v>
      </c>
      <c r="I241" t="str">
        <f>_xlfn.XLOOKUP(C241,products!A:A,products!B:B)</f>
        <v>SKU-0092</v>
      </c>
      <c r="J241" t="str">
        <f>_xlfn.XLOOKUP(B241,customer_orders!A:A,customer_orders!G:G)</f>
        <v>2026-w16</v>
      </c>
      <c r="K241">
        <f>IFERROR(_xlfn.XLOOKUP(B241,shipments!B:B,shipments!H:H),0)</f>
        <v>58.98</v>
      </c>
      <c r="L241">
        <f t="shared" si="10"/>
        <v>1.27</v>
      </c>
      <c r="M241" t="str">
        <f>_xlfn.XLOOKUP(B241,customer_orders!A:A,customer_orders!D:D)</f>
        <v>Ebay</v>
      </c>
      <c r="N241" t="str">
        <f>_xlfn.XLOOKUP(C241,inventory!B:B,inventory!C:C)</f>
        <v>Salt Lake City</v>
      </c>
      <c r="O241">
        <f>IF(_xlfn.XLOOKUP(C241,products!A:A,products!E:E)="NULL",0,_xlfn.XLOOKUP(C241,products!A:A,products!E:E))</f>
        <v>81.27</v>
      </c>
      <c r="P241">
        <f t="shared" si="11"/>
        <v>-34.729999999999997</v>
      </c>
      <c r="Q241" s="2" t="str">
        <f>_xlfn.XLOOKUP(I241,products!B:B,products!D:D)</f>
        <v>Beauty</v>
      </c>
    </row>
    <row r="242" spans="1:17">
      <c r="A242">
        <v>241</v>
      </c>
      <c r="B242">
        <v>1099</v>
      </c>
      <c r="C242">
        <v>23</v>
      </c>
      <c r="D242">
        <v>5</v>
      </c>
      <c r="E242">
        <v>58.56</v>
      </c>
      <c r="F242">
        <v>11.71</v>
      </c>
      <c r="G242">
        <f t="shared" si="9"/>
        <v>281.09000000000003</v>
      </c>
      <c r="H242" t="str">
        <f>_xlfn.XLOOKUP(B242,customer_orders!A:A,customer_orders!F:F)</f>
        <v>2026-04</v>
      </c>
      <c r="I242" t="str">
        <f>_xlfn.XLOOKUP(C242,products!A:A,products!B:B)</f>
        <v>SKU-0023</v>
      </c>
      <c r="J242" t="str">
        <f>_xlfn.XLOOKUP(B242,customer_orders!A:A,customer_orders!G:G)</f>
        <v>2026-w16</v>
      </c>
      <c r="K242">
        <f>IFERROR(_xlfn.XLOOKUP(B242,shipments!B:B,shipments!H:H),0)</f>
        <v>58.98</v>
      </c>
      <c r="L242">
        <f t="shared" si="10"/>
        <v>0.21</v>
      </c>
      <c r="M242" t="str">
        <f>_xlfn.XLOOKUP(B242,customer_orders!A:A,customer_orders!D:D)</f>
        <v>Ebay</v>
      </c>
      <c r="N242" t="str">
        <f>_xlfn.XLOOKUP(C242,inventory!B:B,inventory!C:C)</f>
        <v>Draper</v>
      </c>
      <c r="O242">
        <f>IF(_xlfn.XLOOKUP(C242,products!A:A,products!E:E)="NULL",0,_xlfn.XLOOKUP(C242,products!A:A,products!E:E))</f>
        <v>111.57</v>
      </c>
      <c r="P242">
        <f t="shared" si="11"/>
        <v>169.52000000000004</v>
      </c>
      <c r="Q242" s="2" t="str">
        <f>_xlfn.XLOOKUP(I242,products!B:B,products!D:D)</f>
        <v>Sports</v>
      </c>
    </row>
    <row r="243" spans="1:17">
      <c r="A243">
        <v>242</v>
      </c>
      <c r="B243">
        <v>1100</v>
      </c>
      <c r="C243">
        <v>3</v>
      </c>
      <c r="D243">
        <v>3</v>
      </c>
      <c r="E243">
        <v>22.56</v>
      </c>
      <c r="F243">
        <v>0</v>
      </c>
      <c r="G243">
        <f t="shared" si="9"/>
        <v>67.679999999999993</v>
      </c>
      <c r="H243" t="str">
        <f>_xlfn.XLOOKUP(B243,customer_orders!A:A,customer_orders!F:F)</f>
        <v>2026-03</v>
      </c>
      <c r="I243" t="str">
        <f>_xlfn.XLOOKUP(C243,products!A:A,products!B:B)</f>
        <v>SKU-0003</v>
      </c>
      <c r="J243" t="str">
        <f>_xlfn.XLOOKUP(B243,customer_orders!A:A,customer_orders!G:G)</f>
        <v>2026-w12</v>
      </c>
      <c r="K243">
        <f>IFERROR(_xlfn.XLOOKUP(B243,shipments!B:B,shipments!H:H),0)</f>
        <v>20.52</v>
      </c>
      <c r="L243">
        <f t="shared" si="10"/>
        <v>0.3</v>
      </c>
      <c r="M243" t="str">
        <f>_xlfn.XLOOKUP(B243,customer_orders!A:A,customer_orders!D:D)</f>
        <v>Shopify</v>
      </c>
      <c r="N243" t="str">
        <f>_xlfn.XLOOKUP(C243,inventory!B:B,inventory!C:C)</f>
        <v>South Jordan</v>
      </c>
      <c r="O243">
        <f>IF(_xlfn.XLOOKUP(C243,products!A:A,products!E:E)="NULL",0,_xlfn.XLOOKUP(C243,products!A:A,products!E:E))</f>
        <v>93.44</v>
      </c>
      <c r="P243">
        <f t="shared" si="11"/>
        <v>-25.760000000000005</v>
      </c>
      <c r="Q243" s="2" t="str">
        <f>_xlfn.XLOOKUP(I243,products!B:B,products!D:D)</f>
        <v>Beauty</v>
      </c>
    </row>
    <row r="244" spans="1:17">
      <c r="A244">
        <v>243</v>
      </c>
      <c r="B244">
        <v>1100</v>
      </c>
      <c r="C244">
        <v>147</v>
      </c>
      <c r="D244">
        <v>7</v>
      </c>
      <c r="E244">
        <v>133.41</v>
      </c>
      <c r="F244">
        <v>0</v>
      </c>
      <c r="G244">
        <f t="shared" si="9"/>
        <v>933.87</v>
      </c>
      <c r="H244" t="str">
        <f>_xlfn.XLOOKUP(B244,customer_orders!A:A,customer_orders!F:F)</f>
        <v>2026-03</v>
      </c>
      <c r="I244" t="str">
        <f>_xlfn.XLOOKUP(C244,products!A:A,products!B:B)</f>
        <v>SKU-0147</v>
      </c>
      <c r="J244" t="str">
        <f>_xlfn.XLOOKUP(B244,customer_orders!A:A,customer_orders!G:G)</f>
        <v>2026-w12</v>
      </c>
      <c r="K244">
        <f>IFERROR(_xlfn.XLOOKUP(B244,shipments!B:B,shipments!H:H),0)</f>
        <v>20.52</v>
      </c>
      <c r="L244">
        <f t="shared" si="10"/>
        <v>0.02</v>
      </c>
      <c r="M244" t="str">
        <f>_xlfn.XLOOKUP(B244,customer_orders!A:A,customer_orders!D:D)</f>
        <v>Shopify</v>
      </c>
      <c r="N244" t="str">
        <f>_xlfn.XLOOKUP(C244,inventory!B:B,inventory!C:C)</f>
        <v>Draper</v>
      </c>
      <c r="O244">
        <f>IF(_xlfn.XLOOKUP(C244,products!A:A,products!E:E)="NULL",0,_xlfn.XLOOKUP(C244,products!A:A,products!E:E))</f>
        <v>128.44999999999999</v>
      </c>
      <c r="P244">
        <f t="shared" si="11"/>
        <v>805.42000000000007</v>
      </c>
      <c r="Q244" s="2" t="str">
        <f>_xlfn.XLOOKUP(I244,products!B:B,products!D:D)</f>
        <v>Sports</v>
      </c>
    </row>
    <row r="245" spans="1:17">
      <c r="A245">
        <v>244</v>
      </c>
      <c r="B245">
        <v>1100</v>
      </c>
      <c r="C245">
        <v>79</v>
      </c>
      <c r="D245">
        <v>4</v>
      </c>
      <c r="E245">
        <v>234.02</v>
      </c>
      <c r="F245">
        <v>0</v>
      </c>
      <c r="G245">
        <f t="shared" si="9"/>
        <v>936.08</v>
      </c>
      <c r="H245" t="str">
        <f>_xlfn.XLOOKUP(B245,customer_orders!A:A,customer_orders!F:F)</f>
        <v>2026-03</v>
      </c>
      <c r="I245" t="str">
        <f>_xlfn.XLOOKUP(C245,products!A:A,products!B:B)</f>
        <v>SKU-0079</v>
      </c>
      <c r="J245" t="str">
        <f>_xlfn.XLOOKUP(B245,customer_orders!A:A,customer_orders!G:G)</f>
        <v>2026-w12</v>
      </c>
      <c r="K245">
        <f>IFERROR(_xlfn.XLOOKUP(B245,shipments!B:B,shipments!H:H),0)</f>
        <v>20.52</v>
      </c>
      <c r="L245">
        <f t="shared" si="10"/>
        <v>0.02</v>
      </c>
      <c r="M245" t="str">
        <f>_xlfn.XLOOKUP(B245,customer_orders!A:A,customer_orders!D:D)</f>
        <v>Shopify</v>
      </c>
      <c r="N245" t="str">
        <f>_xlfn.XLOOKUP(C245,inventory!B:B,inventory!C:C)</f>
        <v>Unknown</v>
      </c>
      <c r="O245">
        <f>IF(_xlfn.XLOOKUP(C245,products!A:A,products!E:E)="NULL",0,_xlfn.XLOOKUP(C245,products!A:A,products!E:E))</f>
        <v>111.97</v>
      </c>
      <c r="P245">
        <f t="shared" si="11"/>
        <v>824.11</v>
      </c>
      <c r="Q245" s="2" t="str">
        <f>_xlfn.XLOOKUP(I245,products!B:B,products!D:D)</f>
        <v>Beauty</v>
      </c>
    </row>
    <row r="246" spans="1:17">
      <c r="A246">
        <v>245</v>
      </c>
      <c r="B246">
        <v>1101</v>
      </c>
      <c r="C246">
        <v>141</v>
      </c>
      <c r="D246">
        <v>8</v>
      </c>
      <c r="E246">
        <v>15.33</v>
      </c>
      <c r="F246">
        <v>0</v>
      </c>
      <c r="G246">
        <f t="shared" si="9"/>
        <v>122.64</v>
      </c>
      <c r="H246" t="str">
        <f>_xlfn.XLOOKUP(B246,customer_orders!A:A,customer_orders!F:F)</f>
        <v>2026-01</v>
      </c>
      <c r="I246" t="str">
        <f>_xlfn.XLOOKUP(C246,products!A:A,products!B:B)</f>
        <v>SKU-0141</v>
      </c>
      <c r="J246" t="str">
        <f>_xlfn.XLOOKUP(B246,customer_orders!A:A,customer_orders!G:G)</f>
        <v>2026-w05</v>
      </c>
      <c r="K246">
        <f>IFERROR(_xlfn.XLOOKUP(B246,shipments!B:B,shipments!H:H),0)</f>
        <v>33.08</v>
      </c>
      <c r="L246">
        <f t="shared" si="10"/>
        <v>0.27</v>
      </c>
      <c r="M246" t="str">
        <f>_xlfn.XLOOKUP(B246,customer_orders!A:A,customer_orders!D:D)</f>
        <v>Shopify</v>
      </c>
      <c r="N246" t="str">
        <f>_xlfn.XLOOKUP(C246,inventory!B:B,inventory!C:C)</f>
        <v>Unknown</v>
      </c>
      <c r="O246">
        <f>IF(_xlfn.XLOOKUP(C246,products!A:A,products!E:E)="NULL",0,_xlfn.XLOOKUP(C246,products!A:A,products!E:E))</f>
        <v>149.36000000000001</v>
      </c>
      <c r="P246">
        <f t="shared" si="11"/>
        <v>-26.720000000000013</v>
      </c>
      <c r="Q246" s="2" t="str">
        <f>_xlfn.XLOOKUP(I246,products!B:B,products!D:D)</f>
        <v>Office</v>
      </c>
    </row>
    <row r="247" spans="1:17">
      <c r="A247">
        <v>246</v>
      </c>
      <c r="B247">
        <v>1102</v>
      </c>
      <c r="C247">
        <v>26</v>
      </c>
      <c r="D247">
        <v>5</v>
      </c>
      <c r="E247">
        <v>166.82</v>
      </c>
      <c r="F247">
        <v>0</v>
      </c>
      <c r="G247">
        <f t="shared" si="9"/>
        <v>834.09999999999991</v>
      </c>
      <c r="H247" t="str">
        <f>_xlfn.XLOOKUP(B247,customer_orders!A:A,customer_orders!F:F)</f>
        <v>2026-04</v>
      </c>
      <c r="I247" t="str">
        <f>_xlfn.XLOOKUP(C247,products!A:A,products!B:B)</f>
        <v>SKU-0026</v>
      </c>
      <c r="J247" t="str">
        <f>_xlfn.XLOOKUP(B247,customer_orders!A:A,customer_orders!G:G)</f>
        <v>2026-w14</v>
      </c>
      <c r="K247">
        <f>IFERROR(_xlfn.XLOOKUP(B247,shipments!B:B,shipments!H:H),0)</f>
        <v>69.760000000000005</v>
      </c>
      <c r="L247">
        <f t="shared" si="10"/>
        <v>0.08</v>
      </c>
      <c r="M247" t="str">
        <f>_xlfn.XLOOKUP(B247,customer_orders!A:A,customer_orders!D:D)</f>
        <v>Shopify</v>
      </c>
      <c r="N247" t="str">
        <f>_xlfn.XLOOKUP(C247,inventory!B:B,inventory!C:C)</f>
        <v>Unknown</v>
      </c>
      <c r="O247">
        <f>IF(_xlfn.XLOOKUP(C247,products!A:A,products!E:E)="NULL",0,_xlfn.XLOOKUP(C247,products!A:A,products!E:E))</f>
        <v>176.15</v>
      </c>
      <c r="P247">
        <f t="shared" si="11"/>
        <v>657.94999999999993</v>
      </c>
      <c r="Q247" s="2" t="str">
        <f>_xlfn.XLOOKUP(I247,products!B:B,products!D:D)</f>
        <v>Pet</v>
      </c>
    </row>
    <row r="248" spans="1:17">
      <c r="A248">
        <v>247</v>
      </c>
      <c r="B248">
        <v>1102</v>
      </c>
      <c r="C248">
        <v>82</v>
      </c>
      <c r="D248">
        <v>8</v>
      </c>
      <c r="E248">
        <v>243.4</v>
      </c>
      <c r="F248">
        <v>0</v>
      </c>
      <c r="G248">
        <f t="shared" si="9"/>
        <v>1947.2</v>
      </c>
      <c r="H248" t="str">
        <f>_xlfn.XLOOKUP(B248,customer_orders!A:A,customer_orders!F:F)</f>
        <v>2026-04</v>
      </c>
      <c r="I248" t="str">
        <f>_xlfn.XLOOKUP(C248,products!A:A,products!B:B)</f>
        <v>SKU-0082</v>
      </c>
      <c r="J248" t="str">
        <f>_xlfn.XLOOKUP(B248,customer_orders!A:A,customer_orders!G:G)</f>
        <v>2026-w14</v>
      </c>
      <c r="K248">
        <f>IFERROR(_xlfn.XLOOKUP(B248,shipments!B:B,shipments!H:H),0)</f>
        <v>69.760000000000005</v>
      </c>
      <c r="L248">
        <f t="shared" si="10"/>
        <v>0.04</v>
      </c>
      <c r="M248" t="str">
        <f>_xlfn.XLOOKUP(B248,customer_orders!A:A,customer_orders!D:D)</f>
        <v>Shopify</v>
      </c>
      <c r="N248" t="str">
        <f>_xlfn.XLOOKUP(C248,inventory!B:B,inventory!C:C)</f>
        <v>Unknown</v>
      </c>
      <c r="O248">
        <f>IF(_xlfn.XLOOKUP(C248,products!A:A,products!E:E)="NULL",0,_xlfn.XLOOKUP(C248,products!A:A,products!E:E))</f>
        <v>84.88</v>
      </c>
      <c r="P248">
        <f t="shared" si="11"/>
        <v>1862.3200000000002</v>
      </c>
      <c r="Q248" s="2" t="str">
        <f>_xlfn.XLOOKUP(I248,products!B:B,products!D:D)</f>
        <v>Beauty</v>
      </c>
    </row>
    <row r="249" spans="1:17">
      <c r="A249">
        <v>248</v>
      </c>
      <c r="B249">
        <v>1103</v>
      </c>
      <c r="C249">
        <v>71</v>
      </c>
      <c r="D249">
        <v>6</v>
      </c>
      <c r="E249">
        <v>277.42</v>
      </c>
      <c r="F249">
        <v>0</v>
      </c>
      <c r="G249">
        <f t="shared" si="9"/>
        <v>1664.52</v>
      </c>
      <c r="H249" t="str">
        <f>_xlfn.XLOOKUP(B249,customer_orders!A:A,customer_orders!F:F)</f>
        <v>2026-03</v>
      </c>
      <c r="I249" t="str">
        <f>_xlfn.XLOOKUP(C249,products!A:A,products!B:B)</f>
        <v>SKU-0071</v>
      </c>
      <c r="J249" t="str">
        <f>_xlfn.XLOOKUP(B249,customer_orders!A:A,customer_orders!G:G)</f>
        <v>2026-w13</v>
      </c>
      <c r="K249">
        <f>IFERROR(_xlfn.XLOOKUP(B249,shipments!B:B,shipments!H:H),0)</f>
        <v>88.38</v>
      </c>
      <c r="L249">
        <f t="shared" si="10"/>
        <v>0.05</v>
      </c>
      <c r="M249" t="str">
        <f>_xlfn.XLOOKUP(B249,customer_orders!A:A,customer_orders!D:D)</f>
        <v>Shopify</v>
      </c>
      <c r="N249" t="str">
        <f>_xlfn.XLOOKUP(C249,inventory!B:B,inventory!C:C)</f>
        <v>West Valley</v>
      </c>
      <c r="O249">
        <f>IF(_xlfn.XLOOKUP(C249,products!A:A,products!E:E)="NULL",0,_xlfn.XLOOKUP(C249,products!A:A,products!E:E))</f>
        <v>171.05</v>
      </c>
      <c r="P249">
        <f t="shared" si="11"/>
        <v>1493.47</v>
      </c>
      <c r="Q249" s="2" t="str">
        <f>_xlfn.XLOOKUP(I249,products!B:B,products!D:D)</f>
        <v>Office</v>
      </c>
    </row>
    <row r="250" spans="1:17">
      <c r="A250">
        <v>249</v>
      </c>
      <c r="B250">
        <v>1103</v>
      </c>
      <c r="C250">
        <v>123</v>
      </c>
      <c r="D250">
        <v>8</v>
      </c>
      <c r="E250">
        <v>210.64</v>
      </c>
      <c r="F250">
        <v>0</v>
      </c>
      <c r="G250">
        <f t="shared" si="9"/>
        <v>1685.12</v>
      </c>
      <c r="H250" t="str">
        <f>_xlfn.XLOOKUP(B250,customer_orders!A:A,customer_orders!F:F)</f>
        <v>2026-03</v>
      </c>
      <c r="I250" t="str">
        <f>_xlfn.XLOOKUP(C250,products!A:A,products!B:B)</f>
        <v>SKU-0123</v>
      </c>
      <c r="J250" t="str">
        <f>_xlfn.XLOOKUP(B250,customer_orders!A:A,customer_orders!G:G)</f>
        <v>2026-w13</v>
      </c>
      <c r="K250">
        <f>IFERROR(_xlfn.XLOOKUP(B250,shipments!B:B,shipments!H:H),0)</f>
        <v>88.38</v>
      </c>
      <c r="L250">
        <f t="shared" si="10"/>
        <v>0.05</v>
      </c>
      <c r="M250" t="str">
        <f>_xlfn.XLOOKUP(B250,customer_orders!A:A,customer_orders!D:D)</f>
        <v>Shopify</v>
      </c>
      <c r="N250" t="str">
        <f>_xlfn.XLOOKUP(C250,inventory!B:B,inventory!C:C)</f>
        <v>Lehi</v>
      </c>
      <c r="O250">
        <f>IF(_xlfn.XLOOKUP(C250,products!A:A,products!E:E)="NULL",0,_xlfn.XLOOKUP(C250,products!A:A,products!E:E))</f>
        <v>105.98</v>
      </c>
      <c r="P250">
        <f t="shared" si="11"/>
        <v>1579.1399999999999</v>
      </c>
      <c r="Q250" s="2" t="str">
        <f>_xlfn.XLOOKUP(I250,products!B:B,products!D:D)</f>
        <v>Pet</v>
      </c>
    </row>
    <row r="251" spans="1:17">
      <c r="A251">
        <v>250</v>
      </c>
      <c r="B251">
        <v>1103</v>
      </c>
      <c r="C251">
        <v>125</v>
      </c>
      <c r="D251">
        <v>2</v>
      </c>
      <c r="E251">
        <v>273.92</v>
      </c>
      <c r="F251">
        <v>0</v>
      </c>
      <c r="G251">
        <f t="shared" si="9"/>
        <v>547.84</v>
      </c>
      <c r="H251" t="str">
        <f>_xlfn.XLOOKUP(B251,customer_orders!A:A,customer_orders!F:F)</f>
        <v>2026-03</v>
      </c>
      <c r="I251" t="str">
        <f>_xlfn.XLOOKUP(C251,products!A:A,products!B:B)</f>
        <v>SKU-0125</v>
      </c>
      <c r="J251" t="str">
        <f>_xlfn.XLOOKUP(B251,customer_orders!A:A,customer_orders!G:G)</f>
        <v>2026-w13</v>
      </c>
      <c r="K251">
        <f>IFERROR(_xlfn.XLOOKUP(B251,shipments!B:B,shipments!H:H),0)</f>
        <v>88.38</v>
      </c>
      <c r="L251">
        <f t="shared" si="10"/>
        <v>0.16</v>
      </c>
      <c r="M251" t="str">
        <f>_xlfn.XLOOKUP(B251,customer_orders!A:A,customer_orders!D:D)</f>
        <v>Shopify</v>
      </c>
      <c r="N251" t="str">
        <f>_xlfn.XLOOKUP(C251,inventory!B:B,inventory!C:C)</f>
        <v>Draper</v>
      </c>
      <c r="O251">
        <f>IF(_xlfn.XLOOKUP(C251,products!A:A,products!E:E)="NULL",0,_xlfn.XLOOKUP(C251,products!A:A,products!E:E))</f>
        <v>71.569999999999993</v>
      </c>
      <c r="P251">
        <f t="shared" si="11"/>
        <v>476.27000000000004</v>
      </c>
      <c r="Q251" s="2" t="str">
        <f>_xlfn.XLOOKUP(I251,products!B:B,products!D:D)</f>
        <v>Beauty</v>
      </c>
    </row>
    <row r="252" spans="1:17">
      <c r="A252">
        <v>251</v>
      </c>
      <c r="B252">
        <v>1103</v>
      </c>
      <c r="C252">
        <v>72</v>
      </c>
      <c r="D252">
        <v>3</v>
      </c>
      <c r="E252">
        <v>205.06</v>
      </c>
      <c r="F252">
        <v>0</v>
      </c>
      <c r="G252">
        <f t="shared" si="9"/>
        <v>615.18000000000006</v>
      </c>
      <c r="H252" t="str">
        <f>_xlfn.XLOOKUP(B252,customer_orders!A:A,customer_orders!F:F)</f>
        <v>2026-03</v>
      </c>
      <c r="I252" t="str">
        <f>_xlfn.XLOOKUP(C252,products!A:A,products!B:B)</f>
        <v>SKU-0072</v>
      </c>
      <c r="J252" t="str">
        <f>_xlfn.XLOOKUP(B252,customer_orders!A:A,customer_orders!G:G)</f>
        <v>2026-w13</v>
      </c>
      <c r="K252">
        <f>IFERROR(_xlfn.XLOOKUP(B252,shipments!B:B,shipments!H:H),0)</f>
        <v>88.38</v>
      </c>
      <c r="L252">
        <f t="shared" si="10"/>
        <v>0.14000000000000001</v>
      </c>
      <c r="M252" t="str">
        <f>_xlfn.XLOOKUP(B252,customer_orders!A:A,customer_orders!D:D)</f>
        <v>Shopify</v>
      </c>
      <c r="N252" t="str">
        <f>_xlfn.XLOOKUP(C252,inventory!B:B,inventory!C:C)</f>
        <v>Salt Lake City</v>
      </c>
      <c r="O252">
        <f>IF(_xlfn.XLOOKUP(C252,products!A:A,products!E:E)="NULL",0,_xlfn.XLOOKUP(C252,products!A:A,products!E:E))</f>
        <v>93.75</v>
      </c>
      <c r="P252">
        <f t="shared" si="11"/>
        <v>521.43000000000006</v>
      </c>
      <c r="Q252" s="2" t="str">
        <f>_xlfn.XLOOKUP(I252,products!B:B,products!D:D)</f>
        <v>Home</v>
      </c>
    </row>
    <row r="253" spans="1:17">
      <c r="A253">
        <v>252</v>
      </c>
      <c r="B253">
        <v>1104</v>
      </c>
      <c r="C253">
        <v>140</v>
      </c>
      <c r="D253">
        <v>8</v>
      </c>
      <c r="E253">
        <v>86.93</v>
      </c>
      <c r="F253">
        <v>0</v>
      </c>
      <c r="G253">
        <f t="shared" si="9"/>
        <v>695.44</v>
      </c>
      <c r="H253" t="str">
        <f>_xlfn.XLOOKUP(B253,customer_orders!A:A,customer_orders!F:F)</f>
        <v>2026-04</v>
      </c>
      <c r="I253" t="str">
        <f>_xlfn.XLOOKUP(C253,products!A:A,products!B:B)</f>
        <v>SKU-0140</v>
      </c>
      <c r="J253" t="str">
        <f>_xlfn.XLOOKUP(B253,customer_orders!A:A,customer_orders!G:G)</f>
        <v>2026-w16</v>
      </c>
      <c r="K253">
        <f>IFERROR(_xlfn.XLOOKUP(B253,shipments!B:B,shipments!H:H),0)</f>
        <v>5.23</v>
      </c>
      <c r="L253">
        <f t="shared" si="10"/>
        <v>0.01</v>
      </c>
      <c r="M253" t="str">
        <f>_xlfn.XLOOKUP(B253,customer_orders!A:A,customer_orders!D:D)</f>
        <v>Shopify</v>
      </c>
      <c r="N253" t="str">
        <f>_xlfn.XLOOKUP(C253,inventory!B:B,inventory!C:C)</f>
        <v>South Jordan</v>
      </c>
      <c r="O253">
        <f>IF(_xlfn.XLOOKUP(C253,products!A:A,products!E:E)="NULL",0,_xlfn.XLOOKUP(C253,products!A:A,products!E:E))</f>
        <v>20.41</v>
      </c>
      <c r="P253">
        <f t="shared" si="11"/>
        <v>675.03000000000009</v>
      </c>
      <c r="Q253" s="2" t="str">
        <f>_xlfn.XLOOKUP(I253,products!B:B,products!D:D)</f>
        <v>Electronics</v>
      </c>
    </row>
    <row r="254" spans="1:17">
      <c r="A254">
        <v>253</v>
      </c>
      <c r="B254">
        <v>1104</v>
      </c>
      <c r="C254">
        <v>94</v>
      </c>
      <c r="D254">
        <v>7</v>
      </c>
      <c r="E254">
        <v>53.67</v>
      </c>
      <c r="F254">
        <v>0</v>
      </c>
      <c r="G254">
        <f t="shared" si="9"/>
        <v>375.69</v>
      </c>
      <c r="H254" t="str">
        <f>_xlfn.XLOOKUP(B254,customer_orders!A:A,customer_orders!F:F)</f>
        <v>2026-04</v>
      </c>
      <c r="I254" t="str">
        <f>_xlfn.XLOOKUP(C254,products!A:A,products!B:B)</f>
        <v>SKU-0094</v>
      </c>
      <c r="J254" t="str">
        <f>_xlfn.XLOOKUP(B254,customer_orders!A:A,customer_orders!G:G)</f>
        <v>2026-w16</v>
      </c>
      <c r="K254">
        <f>IFERROR(_xlfn.XLOOKUP(B254,shipments!B:B,shipments!H:H),0)</f>
        <v>5.23</v>
      </c>
      <c r="L254">
        <f t="shared" si="10"/>
        <v>0.01</v>
      </c>
      <c r="M254" t="str">
        <f>_xlfn.XLOOKUP(B254,customer_orders!A:A,customer_orders!D:D)</f>
        <v>Shopify</v>
      </c>
      <c r="N254" t="str">
        <f>_xlfn.XLOOKUP(C254,inventory!B:B,inventory!C:C)</f>
        <v>Draper</v>
      </c>
      <c r="O254">
        <f>IF(_xlfn.XLOOKUP(C254,products!A:A,products!E:E)="NULL",0,_xlfn.XLOOKUP(C254,products!A:A,products!E:E))</f>
        <v>117.48</v>
      </c>
      <c r="P254">
        <f t="shared" si="11"/>
        <v>258.20999999999998</v>
      </c>
      <c r="Q254" s="2" t="str">
        <f>_xlfn.XLOOKUP(I254,products!B:B,products!D:D)</f>
        <v>Electronics</v>
      </c>
    </row>
    <row r="255" spans="1:17">
      <c r="A255">
        <v>254</v>
      </c>
      <c r="B255">
        <v>1104</v>
      </c>
      <c r="C255">
        <v>35</v>
      </c>
      <c r="D255">
        <v>8</v>
      </c>
      <c r="E255">
        <v>46.14</v>
      </c>
      <c r="F255">
        <v>0</v>
      </c>
      <c r="G255">
        <f t="shared" si="9"/>
        <v>369.12</v>
      </c>
      <c r="H255" t="str">
        <f>_xlfn.XLOOKUP(B255,customer_orders!A:A,customer_orders!F:F)</f>
        <v>2026-04</v>
      </c>
      <c r="I255" t="str">
        <f>_xlfn.XLOOKUP(C255,products!A:A,products!B:B)</f>
        <v>SKU-0035</v>
      </c>
      <c r="J255" t="str">
        <f>_xlfn.XLOOKUP(B255,customer_orders!A:A,customer_orders!G:G)</f>
        <v>2026-w16</v>
      </c>
      <c r="K255">
        <f>IFERROR(_xlfn.XLOOKUP(B255,shipments!B:B,shipments!H:H),0)</f>
        <v>5.23</v>
      </c>
      <c r="L255">
        <f t="shared" si="10"/>
        <v>0.01</v>
      </c>
      <c r="M255" t="str">
        <f>_xlfn.XLOOKUP(B255,customer_orders!A:A,customer_orders!D:D)</f>
        <v>Shopify</v>
      </c>
      <c r="N255" t="str">
        <f>_xlfn.XLOOKUP(C255,inventory!B:B,inventory!C:C)</f>
        <v>Salt Lake City</v>
      </c>
      <c r="O255">
        <f>IF(_xlfn.XLOOKUP(C255,products!A:A,products!E:E)="NULL",0,_xlfn.XLOOKUP(C255,products!A:A,products!E:E))</f>
        <v>145.1</v>
      </c>
      <c r="P255">
        <f t="shared" si="11"/>
        <v>224.02</v>
      </c>
      <c r="Q255" s="2" t="str">
        <f>_xlfn.XLOOKUP(I255,products!B:B,products!D:D)</f>
        <v>Office</v>
      </c>
    </row>
    <row r="256" spans="1:17">
      <c r="A256">
        <v>255</v>
      </c>
      <c r="B256">
        <v>1105</v>
      </c>
      <c r="C256">
        <v>124</v>
      </c>
      <c r="D256">
        <v>6</v>
      </c>
      <c r="E256">
        <v>48.76</v>
      </c>
      <c r="F256">
        <v>1.57</v>
      </c>
      <c r="G256">
        <f t="shared" si="9"/>
        <v>290.99</v>
      </c>
      <c r="H256" t="str">
        <f>_xlfn.XLOOKUP(B256,customer_orders!A:A,customer_orders!F:F)</f>
        <v>2026-02</v>
      </c>
      <c r="I256" t="str">
        <f>_xlfn.XLOOKUP(C256,products!A:A,products!B:B)</f>
        <v>SKU-0124</v>
      </c>
      <c r="J256" t="str">
        <f>_xlfn.XLOOKUP(B256,customer_orders!A:A,customer_orders!G:G)</f>
        <v>2026-w06</v>
      </c>
      <c r="K256">
        <f>IFERROR(_xlfn.XLOOKUP(B256,shipments!B:B,shipments!H:H),0)</f>
        <v>64.069999999999993</v>
      </c>
      <c r="L256">
        <f t="shared" si="10"/>
        <v>0.22</v>
      </c>
      <c r="M256" t="str">
        <f>_xlfn.XLOOKUP(B256,customer_orders!A:A,customer_orders!D:D)</f>
        <v>Shopify</v>
      </c>
      <c r="N256" t="str">
        <f>_xlfn.XLOOKUP(C256,inventory!B:B,inventory!C:C)</f>
        <v>Lehi</v>
      </c>
      <c r="O256">
        <f>IF(_xlfn.XLOOKUP(C256,products!A:A,products!E:E)="NULL",0,_xlfn.XLOOKUP(C256,products!A:A,products!E:E))</f>
        <v>178.94</v>
      </c>
      <c r="P256">
        <f t="shared" si="11"/>
        <v>112.05000000000001</v>
      </c>
      <c r="Q256" s="2" t="str">
        <f>_xlfn.XLOOKUP(I256,products!B:B,products!D:D)</f>
        <v>Sports</v>
      </c>
    </row>
    <row r="257" spans="1:17">
      <c r="A257">
        <v>256</v>
      </c>
      <c r="B257">
        <v>1105</v>
      </c>
      <c r="C257">
        <v>60</v>
      </c>
      <c r="D257">
        <v>2</v>
      </c>
      <c r="E257">
        <v>115.8</v>
      </c>
      <c r="F257">
        <v>0</v>
      </c>
      <c r="G257">
        <f t="shared" si="9"/>
        <v>231.6</v>
      </c>
      <c r="H257" t="str">
        <f>_xlfn.XLOOKUP(B257,customer_orders!A:A,customer_orders!F:F)</f>
        <v>2026-02</v>
      </c>
      <c r="I257" t="str">
        <f>_xlfn.XLOOKUP(C257,products!A:A,products!B:B)</f>
        <v>SKU-0060</v>
      </c>
      <c r="J257" t="str">
        <f>_xlfn.XLOOKUP(B257,customer_orders!A:A,customer_orders!G:G)</f>
        <v>2026-w06</v>
      </c>
      <c r="K257">
        <f>IFERROR(_xlfn.XLOOKUP(B257,shipments!B:B,shipments!H:H),0)</f>
        <v>64.069999999999993</v>
      </c>
      <c r="L257">
        <f t="shared" si="10"/>
        <v>0.28000000000000003</v>
      </c>
      <c r="M257" t="str">
        <f>_xlfn.XLOOKUP(B257,customer_orders!A:A,customer_orders!D:D)</f>
        <v>Shopify</v>
      </c>
      <c r="N257" t="str">
        <f>_xlfn.XLOOKUP(C257,inventory!B:B,inventory!C:C)</f>
        <v>Draper</v>
      </c>
      <c r="O257">
        <f>IF(_xlfn.XLOOKUP(C257,products!A:A,products!E:E)="NULL",0,_xlfn.XLOOKUP(C257,products!A:A,products!E:E))</f>
        <v>121.71</v>
      </c>
      <c r="P257">
        <f t="shared" si="11"/>
        <v>109.89</v>
      </c>
      <c r="Q257" s="2" t="str">
        <f>_xlfn.XLOOKUP(I257,products!B:B,products!D:D)</f>
        <v>Beauty</v>
      </c>
    </row>
    <row r="258" spans="1:17">
      <c r="A258">
        <v>257</v>
      </c>
      <c r="B258">
        <v>1106</v>
      </c>
      <c r="C258">
        <v>134</v>
      </c>
      <c r="D258">
        <v>5</v>
      </c>
      <c r="E258">
        <v>26.36</v>
      </c>
      <c r="F258">
        <v>0</v>
      </c>
      <c r="G258">
        <f t="shared" si="9"/>
        <v>131.80000000000001</v>
      </c>
      <c r="H258" t="str">
        <f>_xlfn.XLOOKUP(B258,customer_orders!A:A,customer_orders!F:F)</f>
        <v>2026-01</v>
      </c>
      <c r="I258" t="str">
        <f>_xlfn.XLOOKUP(C258,products!A:A,products!B:B)</f>
        <v>SKU-0134</v>
      </c>
      <c r="J258" t="str">
        <f>_xlfn.XLOOKUP(B258,customer_orders!A:A,customer_orders!G:G)</f>
        <v>2026-w03</v>
      </c>
      <c r="K258">
        <f>IFERROR(_xlfn.XLOOKUP(B258,shipments!B:B,shipments!H:H),0)</f>
        <v>24.17</v>
      </c>
      <c r="L258">
        <f t="shared" si="10"/>
        <v>0.18</v>
      </c>
      <c r="M258" t="str">
        <f>_xlfn.XLOOKUP(B258,customer_orders!A:A,customer_orders!D:D)</f>
        <v>Shopify</v>
      </c>
      <c r="N258" t="str">
        <f>_xlfn.XLOOKUP(C258,inventory!B:B,inventory!C:C)</f>
        <v>Draper</v>
      </c>
      <c r="O258">
        <f>IF(_xlfn.XLOOKUP(C258,products!A:A,products!E:E)="NULL",0,_xlfn.XLOOKUP(C258,products!A:A,products!E:E))</f>
        <v>19.079999999999998</v>
      </c>
      <c r="P258">
        <f t="shared" si="11"/>
        <v>112.72000000000001</v>
      </c>
      <c r="Q258" s="2" t="str">
        <f>_xlfn.XLOOKUP(I258,products!B:B,products!D:D)</f>
        <v>Pet</v>
      </c>
    </row>
    <row r="259" spans="1:17">
      <c r="A259">
        <v>258</v>
      </c>
      <c r="B259">
        <v>1107</v>
      </c>
      <c r="C259">
        <v>91</v>
      </c>
      <c r="D259">
        <v>6</v>
      </c>
      <c r="E259">
        <v>170.65</v>
      </c>
      <c r="F259">
        <v>7.82</v>
      </c>
      <c r="G259">
        <f t="shared" ref="G259:G322" si="12">E259*D259-F259</f>
        <v>1016.08</v>
      </c>
      <c r="H259" t="str">
        <f>_xlfn.XLOOKUP(B259,customer_orders!A:A,customer_orders!F:F)</f>
        <v>2026-03</v>
      </c>
      <c r="I259" t="str">
        <f>_xlfn.XLOOKUP(C259,products!A:A,products!B:B)</f>
        <v>SKU-0091</v>
      </c>
      <c r="J259" t="str">
        <f>_xlfn.XLOOKUP(B259,customer_orders!A:A,customer_orders!G:G)</f>
        <v>2026-w10</v>
      </c>
      <c r="K259">
        <f>IFERROR(_xlfn.XLOOKUP(B259,shipments!B:B,shipments!H:H),0)</f>
        <v>98.1</v>
      </c>
      <c r="L259">
        <f t="shared" ref="L259:L322" si="13">ROUND(K259/G259,2)</f>
        <v>0.1</v>
      </c>
      <c r="M259" t="str">
        <f>_xlfn.XLOOKUP(B259,customer_orders!A:A,customer_orders!D:D)</f>
        <v>Shopify</v>
      </c>
      <c r="N259" t="str">
        <f>_xlfn.XLOOKUP(C259,inventory!B:B,inventory!C:C)</f>
        <v>Salt Lake City</v>
      </c>
      <c r="O259">
        <f>IF(_xlfn.XLOOKUP(C259,products!A:A,products!E:E)="NULL",0,_xlfn.XLOOKUP(C259,products!A:A,products!E:E))</f>
        <v>135.82</v>
      </c>
      <c r="P259">
        <f t="shared" ref="P259:P322" si="14">G259-O259</f>
        <v>880.26</v>
      </c>
      <c r="Q259" s="2" t="str">
        <f>_xlfn.XLOOKUP(I259,products!B:B,products!D:D)</f>
        <v>Office</v>
      </c>
    </row>
    <row r="260" spans="1:17">
      <c r="A260">
        <v>259</v>
      </c>
      <c r="B260">
        <v>1107</v>
      </c>
      <c r="C260">
        <v>2</v>
      </c>
      <c r="D260">
        <v>3</v>
      </c>
      <c r="E260">
        <v>135.25</v>
      </c>
      <c r="F260">
        <v>0</v>
      </c>
      <c r="G260">
        <f t="shared" si="12"/>
        <v>405.75</v>
      </c>
      <c r="H260" t="str">
        <f>_xlfn.XLOOKUP(B260,customer_orders!A:A,customer_orders!F:F)</f>
        <v>2026-03</v>
      </c>
      <c r="I260" t="str">
        <f>_xlfn.XLOOKUP(C260,products!A:A,products!B:B)</f>
        <v>SKU-0002</v>
      </c>
      <c r="J260" t="str">
        <f>_xlfn.XLOOKUP(B260,customer_orders!A:A,customer_orders!G:G)</f>
        <v>2026-w10</v>
      </c>
      <c r="K260">
        <f>IFERROR(_xlfn.XLOOKUP(B260,shipments!B:B,shipments!H:H),0)</f>
        <v>98.1</v>
      </c>
      <c r="L260">
        <f t="shared" si="13"/>
        <v>0.24</v>
      </c>
      <c r="M260" t="str">
        <f>_xlfn.XLOOKUP(B260,customer_orders!A:A,customer_orders!D:D)</f>
        <v>Shopify</v>
      </c>
      <c r="N260" t="str">
        <f>_xlfn.XLOOKUP(C260,inventory!B:B,inventory!C:C)</f>
        <v>South Jordan</v>
      </c>
      <c r="O260">
        <f>IF(_xlfn.XLOOKUP(C260,products!A:A,products!E:E)="NULL",0,_xlfn.XLOOKUP(C260,products!A:A,products!E:E))</f>
        <v>20.21</v>
      </c>
      <c r="P260">
        <f t="shared" si="14"/>
        <v>385.54</v>
      </c>
      <c r="Q260" s="2" t="str">
        <f>_xlfn.XLOOKUP(I260,products!B:B,products!D:D)</f>
        <v>Home</v>
      </c>
    </row>
    <row r="261" spans="1:17">
      <c r="A261">
        <v>260</v>
      </c>
      <c r="B261">
        <v>1107</v>
      </c>
      <c r="C261">
        <v>20</v>
      </c>
      <c r="D261">
        <v>5</v>
      </c>
      <c r="E261">
        <v>168.04</v>
      </c>
      <c r="F261">
        <v>0</v>
      </c>
      <c r="G261">
        <f t="shared" si="12"/>
        <v>840.19999999999993</v>
      </c>
      <c r="H261" t="str">
        <f>_xlfn.XLOOKUP(B261,customer_orders!A:A,customer_orders!F:F)</f>
        <v>2026-03</v>
      </c>
      <c r="I261" t="str">
        <f>_xlfn.XLOOKUP(C261,products!A:A,products!B:B)</f>
        <v>SKU-0020</v>
      </c>
      <c r="J261" t="str">
        <f>_xlfn.XLOOKUP(B261,customer_orders!A:A,customer_orders!G:G)</f>
        <v>2026-w10</v>
      </c>
      <c r="K261">
        <f>IFERROR(_xlfn.XLOOKUP(B261,shipments!B:B,shipments!H:H),0)</f>
        <v>98.1</v>
      </c>
      <c r="L261">
        <f t="shared" si="13"/>
        <v>0.12</v>
      </c>
      <c r="M261" t="str">
        <f>_xlfn.XLOOKUP(B261,customer_orders!A:A,customer_orders!D:D)</f>
        <v>Shopify</v>
      </c>
      <c r="N261" t="str">
        <f>_xlfn.XLOOKUP(C261,inventory!B:B,inventory!C:C)</f>
        <v>South Jordan</v>
      </c>
      <c r="O261">
        <f>IF(_xlfn.XLOOKUP(C261,products!A:A,products!E:E)="NULL",0,_xlfn.XLOOKUP(C261,products!A:A,products!E:E))</f>
        <v>124.3</v>
      </c>
      <c r="P261">
        <f t="shared" si="14"/>
        <v>715.9</v>
      </c>
      <c r="Q261" s="2" t="str">
        <f>_xlfn.XLOOKUP(I261,products!B:B,products!D:D)</f>
        <v>Electronics</v>
      </c>
    </row>
    <row r="262" spans="1:17">
      <c r="A262">
        <v>261</v>
      </c>
      <c r="B262">
        <v>1107</v>
      </c>
      <c r="C262">
        <v>41</v>
      </c>
      <c r="D262">
        <v>6</v>
      </c>
      <c r="E262">
        <v>153.69999999999999</v>
      </c>
      <c r="F262">
        <v>0</v>
      </c>
      <c r="G262">
        <f t="shared" si="12"/>
        <v>922.19999999999993</v>
      </c>
      <c r="H262" t="str">
        <f>_xlfn.XLOOKUP(B262,customer_orders!A:A,customer_orders!F:F)</f>
        <v>2026-03</v>
      </c>
      <c r="I262" t="str">
        <f>_xlfn.XLOOKUP(C262,products!A:A,products!B:B)</f>
        <v>SKU-0041</v>
      </c>
      <c r="J262" t="str">
        <f>_xlfn.XLOOKUP(B262,customer_orders!A:A,customer_orders!G:G)</f>
        <v>2026-w10</v>
      </c>
      <c r="K262">
        <f>IFERROR(_xlfn.XLOOKUP(B262,shipments!B:B,shipments!H:H),0)</f>
        <v>98.1</v>
      </c>
      <c r="L262">
        <f t="shared" si="13"/>
        <v>0.11</v>
      </c>
      <c r="M262" t="str">
        <f>_xlfn.XLOOKUP(B262,customer_orders!A:A,customer_orders!D:D)</f>
        <v>Shopify</v>
      </c>
      <c r="N262" t="str">
        <f>_xlfn.XLOOKUP(C262,inventory!B:B,inventory!C:C)</f>
        <v>Draper</v>
      </c>
      <c r="O262">
        <f>IF(_xlfn.XLOOKUP(C262,products!A:A,products!E:E)="NULL",0,_xlfn.XLOOKUP(C262,products!A:A,products!E:E))</f>
        <v>120.83</v>
      </c>
      <c r="P262">
        <f t="shared" si="14"/>
        <v>801.36999999999989</v>
      </c>
      <c r="Q262" s="2" t="str">
        <f>_xlfn.XLOOKUP(I262,products!B:B,products!D:D)</f>
        <v>Office</v>
      </c>
    </row>
    <row r="263" spans="1:17">
      <c r="A263">
        <v>262</v>
      </c>
      <c r="B263">
        <v>1108</v>
      </c>
      <c r="C263">
        <v>6</v>
      </c>
      <c r="D263">
        <v>4</v>
      </c>
      <c r="E263">
        <v>256.54000000000002</v>
      </c>
      <c r="F263">
        <v>0</v>
      </c>
      <c r="G263">
        <f t="shared" si="12"/>
        <v>1026.1600000000001</v>
      </c>
      <c r="H263" t="str">
        <f>_xlfn.XLOOKUP(B263,customer_orders!A:A,customer_orders!F:F)</f>
        <v>2026-02</v>
      </c>
      <c r="I263" t="str">
        <f>_xlfn.XLOOKUP(C263,products!A:A,products!B:B)</f>
        <v>SKU-0006</v>
      </c>
      <c r="J263" t="str">
        <f>_xlfn.XLOOKUP(B263,customer_orders!A:A,customer_orders!G:G)</f>
        <v>2026-w09</v>
      </c>
      <c r="K263">
        <f>IFERROR(_xlfn.XLOOKUP(B263,shipments!B:B,shipments!H:H),0)</f>
        <v>29.12</v>
      </c>
      <c r="L263">
        <f t="shared" si="13"/>
        <v>0.03</v>
      </c>
      <c r="M263" t="str">
        <f>_xlfn.XLOOKUP(B263,customer_orders!A:A,customer_orders!D:D)</f>
        <v>Shopify</v>
      </c>
      <c r="N263" t="str">
        <f>_xlfn.XLOOKUP(C263,inventory!B:B,inventory!C:C)</f>
        <v>South Jordan</v>
      </c>
      <c r="O263">
        <f>IF(_xlfn.XLOOKUP(C263,products!A:A,products!E:E)="NULL",0,_xlfn.XLOOKUP(C263,products!A:A,products!E:E))</f>
        <v>21.93</v>
      </c>
      <c r="P263">
        <f t="shared" si="14"/>
        <v>1004.2300000000001</v>
      </c>
      <c r="Q263" s="2" t="str">
        <f>_xlfn.XLOOKUP(I263,products!B:B,products!D:D)</f>
        <v>Home</v>
      </c>
    </row>
    <row r="264" spans="1:17">
      <c r="A264">
        <v>263</v>
      </c>
      <c r="B264">
        <v>1108</v>
      </c>
      <c r="C264">
        <v>35</v>
      </c>
      <c r="D264">
        <v>1</v>
      </c>
      <c r="E264">
        <v>46.14</v>
      </c>
      <c r="F264">
        <v>0</v>
      </c>
      <c r="G264">
        <f t="shared" si="12"/>
        <v>46.14</v>
      </c>
      <c r="H264" t="str">
        <f>_xlfn.XLOOKUP(B264,customer_orders!A:A,customer_orders!F:F)</f>
        <v>2026-02</v>
      </c>
      <c r="I264" t="str">
        <f>_xlfn.XLOOKUP(C264,products!A:A,products!B:B)</f>
        <v>SKU-0035</v>
      </c>
      <c r="J264" t="str">
        <f>_xlfn.XLOOKUP(B264,customer_orders!A:A,customer_orders!G:G)</f>
        <v>2026-w09</v>
      </c>
      <c r="K264">
        <f>IFERROR(_xlfn.XLOOKUP(B264,shipments!B:B,shipments!H:H),0)</f>
        <v>29.12</v>
      </c>
      <c r="L264">
        <f t="shared" si="13"/>
        <v>0.63</v>
      </c>
      <c r="M264" t="str">
        <f>_xlfn.XLOOKUP(B264,customer_orders!A:A,customer_orders!D:D)</f>
        <v>Shopify</v>
      </c>
      <c r="N264" t="str">
        <f>_xlfn.XLOOKUP(C264,inventory!B:B,inventory!C:C)</f>
        <v>Salt Lake City</v>
      </c>
      <c r="O264">
        <f>IF(_xlfn.XLOOKUP(C264,products!A:A,products!E:E)="NULL",0,_xlfn.XLOOKUP(C264,products!A:A,products!E:E))</f>
        <v>145.1</v>
      </c>
      <c r="P264">
        <f t="shared" si="14"/>
        <v>-98.96</v>
      </c>
      <c r="Q264" s="2" t="str">
        <f>_xlfn.XLOOKUP(I264,products!B:B,products!D:D)</f>
        <v>Office</v>
      </c>
    </row>
    <row r="265" spans="1:17">
      <c r="A265">
        <v>264</v>
      </c>
      <c r="B265">
        <v>1108</v>
      </c>
      <c r="C265">
        <v>15</v>
      </c>
      <c r="D265">
        <v>3</v>
      </c>
      <c r="E265">
        <v>198.21</v>
      </c>
      <c r="F265">
        <v>0</v>
      </c>
      <c r="G265">
        <f t="shared" si="12"/>
        <v>594.63</v>
      </c>
      <c r="H265" t="str">
        <f>_xlfn.XLOOKUP(B265,customer_orders!A:A,customer_orders!F:F)</f>
        <v>2026-02</v>
      </c>
      <c r="I265" t="str">
        <f>_xlfn.XLOOKUP(C265,products!A:A,products!B:B)</f>
        <v>SKU-0015</v>
      </c>
      <c r="J265" t="str">
        <f>_xlfn.XLOOKUP(B265,customer_orders!A:A,customer_orders!G:G)</f>
        <v>2026-w09</v>
      </c>
      <c r="K265">
        <f>IFERROR(_xlfn.XLOOKUP(B265,shipments!B:B,shipments!H:H),0)</f>
        <v>29.12</v>
      </c>
      <c r="L265">
        <f t="shared" si="13"/>
        <v>0.05</v>
      </c>
      <c r="M265" t="str">
        <f>_xlfn.XLOOKUP(B265,customer_orders!A:A,customer_orders!D:D)</f>
        <v>Shopify</v>
      </c>
      <c r="N265" t="str">
        <f>_xlfn.XLOOKUP(C265,inventory!B:B,inventory!C:C)</f>
        <v>South Jordan</v>
      </c>
      <c r="O265">
        <f>IF(_xlfn.XLOOKUP(C265,products!A:A,products!E:E)="NULL",0,_xlfn.XLOOKUP(C265,products!A:A,products!E:E))</f>
        <v>159.82</v>
      </c>
      <c r="P265">
        <f t="shared" si="14"/>
        <v>434.81</v>
      </c>
      <c r="Q265" s="2" t="str">
        <f>_xlfn.XLOOKUP(I265,products!B:B,products!D:D)</f>
        <v>Pet</v>
      </c>
    </row>
    <row r="266" spans="1:17">
      <c r="A266">
        <v>265</v>
      </c>
      <c r="B266">
        <v>1108</v>
      </c>
      <c r="C266">
        <v>133</v>
      </c>
      <c r="D266">
        <v>7</v>
      </c>
      <c r="E266">
        <v>214.42</v>
      </c>
      <c r="F266">
        <v>0</v>
      </c>
      <c r="G266">
        <f t="shared" si="12"/>
        <v>1500.9399999999998</v>
      </c>
      <c r="H266" t="str">
        <f>_xlfn.XLOOKUP(B266,customer_orders!A:A,customer_orders!F:F)</f>
        <v>2026-02</v>
      </c>
      <c r="I266" t="str">
        <f>_xlfn.XLOOKUP(C266,products!A:A,products!B:B)</f>
        <v>SKU-0133</v>
      </c>
      <c r="J266" t="str">
        <f>_xlfn.XLOOKUP(B266,customer_orders!A:A,customer_orders!G:G)</f>
        <v>2026-w09</v>
      </c>
      <c r="K266">
        <f>IFERROR(_xlfn.XLOOKUP(B266,shipments!B:B,shipments!H:H),0)</f>
        <v>29.12</v>
      </c>
      <c r="L266">
        <f t="shared" si="13"/>
        <v>0.02</v>
      </c>
      <c r="M266" t="str">
        <f>_xlfn.XLOOKUP(B266,customer_orders!A:A,customer_orders!D:D)</f>
        <v>Shopify</v>
      </c>
      <c r="N266" t="str">
        <f>_xlfn.XLOOKUP(C266,inventory!B:B,inventory!C:C)</f>
        <v>Unknown</v>
      </c>
      <c r="O266">
        <f>IF(_xlfn.XLOOKUP(C266,products!A:A,products!E:E)="NULL",0,_xlfn.XLOOKUP(C266,products!A:A,products!E:E))</f>
        <v>125.52</v>
      </c>
      <c r="P266">
        <f t="shared" si="14"/>
        <v>1375.4199999999998</v>
      </c>
      <c r="Q266" s="2" t="str">
        <f>_xlfn.XLOOKUP(I266,products!B:B,products!D:D)</f>
        <v>Home</v>
      </c>
    </row>
    <row r="267" spans="1:17">
      <c r="A267">
        <v>266</v>
      </c>
      <c r="B267">
        <v>1109</v>
      </c>
      <c r="C267">
        <v>131</v>
      </c>
      <c r="D267">
        <v>5</v>
      </c>
      <c r="E267">
        <v>57.46</v>
      </c>
      <c r="F267">
        <v>0</v>
      </c>
      <c r="G267">
        <f t="shared" si="12"/>
        <v>287.3</v>
      </c>
      <c r="H267" t="str">
        <f>_xlfn.XLOOKUP(B267,customer_orders!A:A,customer_orders!F:F)</f>
        <v>2026-02</v>
      </c>
      <c r="I267" t="str">
        <f>_xlfn.XLOOKUP(C267,products!A:A,products!B:B)</f>
        <v>SKU-0131</v>
      </c>
      <c r="J267" t="str">
        <f>_xlfn.XLOOKUP(B267,customer_orders!A:A,customer_orders!G:G)</f>
        <v>2026-w09</v>
      </c>
      <c r="K267">
        <f>IFERROR(_xlfn.XLOOKUP(B267,shipments!B:B,shipments!H:H),0)</f>
        <v>27.47</v>
      </c>
      <c r="L267">
        <f t="shared" si="13"/>
        <v>0.1</v>
      </c>
      <c r="M267" t="str">
        <f>_xlfn.XLOOKUP(B267,customer_orders!A:A,customer_orders!D:D)</f>
        <v>Amazon</v>
      </c>
      <c r="N267" t="str">
        <f>_xlfn.XLOOKUP(C267,inventory!B:B,inventory!C:C)</f>
        <v>Salt Lake City</v>
      </c>
      <c r="O267">
        <f>IF(_xlfn.XLOOKUP(C267,products!A:A,products!E:E)="NULL",0,_xlfn.XLOOKUP(C267,products!A:A,products!E:E))</f>
        <v>44.34</v>
      </c>
      <c r="P267">
        <f t="shared" si="14"/>
        <v>242.96</v>
      </c>
      <c r="Q267" s="2" t="str">
        <f>_xlfn.XLOOKUP(I267,products!B:B,products!D:D)</f>
        <v>Home</v>
      </c>
    </row>
    <row r="268" spans="1:17">
      <c r="A268">
        <v>267</v>
      </c>
      <c r="B268">
        <v>1109</v>
      </c>
      <c r="C268">
        <v>117</v>
      </c>
      <c r="D268">
        <v>2</v>
      </c>
      <c r="E268">
        <v>293.33</v>
      </c>
      <c r="F268">
        <v>4.22</v>
      </c>
      <c r="G268">
        <f t="shared" si="12"/>
        <v>582.43999999999994</v>
      </c>
      <c r="H268" t="str">
        <f>_xlfn.XLOOKUP(B268,customer_orders!A:A,customer_orders!F:F)</f>
        <v>2026-02</v>
      </c>
      <c r="I268" t="str">
        <f>_xlfn.XLOOKUP(C268,products!A:A,products!B:B)</f>
        <v>SKU-0117</v>
      </c>
      <c r="J268" t="str">
        <f>_xlfn.XLOOKUP(B268,customer_orders!A:A,customer_orders!G:G)</f>
        <v>2026-w09</v>
      </c>
      <c r="K268">
        <f>IFERROR(_xlfn.XLOOKUP(B268,shipments!B:B,shipments!H:H),0)</f>
        <v>27.47</v>
      </c>
      <c r="L268">
        <f t="shared" si="13"/>
        <v>0.05</v>
      </c>
      <c r="M268" t="str">
        <f>_xlfn.XLOOKUP(B268,customer_orders!A:A,customer_orders!D:D)</f>
        <v>Amazon</v>
      </c>
      <c r="N268" t="str">
        <f>_xlfn.XLOOKUP(C268,inventory!B:B,inventory!C:C)</f>
        <v>Draper</v>
      </c>
      <c r="O268">
        <f>IF(_xlfn.XLOOKUP(C268,products!A:A,products!E:E)="NULL",0,_xlfn.XLOOKUP(C268,products!A:A,products!E:E))</f>
        <v>131.80000000000001</v>
      </c>
      <c r="P268">
        <f t="shared" si="14"/>
        <v>450.63999999999993</v>
      </c>
      <c r="Q268" s="2" t="str">
        <f>_xlfn.XLOOKUP(I268,products!B:B,products!D:D)</f>
        <v>Pet</v>
      </c>
    </row>
    <row r="269" spans="1:17">
      <c r="A269">
        <v>268</v>
      </c>
      <c r="B269">
        <v>1110</v>
      </c>
      <c r="C269">
        <v>137</v>
      </c>
      <c r="D269">
        <v>2</v>
      </c>
      <c r="E269">
        <v>181.82</v>
      </c>
      <c r="F269">
        <v>0</v>
      </c>
      <c r="G269">
        <f t="shared" si="12"/>
        <v>363.64</v>
      </c>
      <c r="H269" t="str">
        <f>_xlfn.XLOOKUP(B269,customer_orders!A:A,customer_orders!F:F)</f>
        <v>2026-01</v>
      </c>
      <c r="I269" t="str">
        <f>_xlfn.XLOOKUP(C269,products!A:A,products!B:B)</f>
        <v>SKU-0137</v>
      </c>
      <c r="J269" t="str">
        <f>_xlfn.XLOOKUP(B269,customer_orders!A:A,customer_orders!G:G)</f>
        <v>2026-w05</v>
      </c>
      <c r="K269">
        <f>IFERROR(_xlfn.XLOOKUP(B269,shipments!B:B,shipments!H:H),0)</f>
        <v>108.05</v>
      </c>
      <c r="L269">
        <f t="shared" si="13"/>
        <v>0.3</v>
      </c>
      <c r="M269" t="str">
        <f>_xlfn.XLOOKUP(B269,customer_orders!A:A,customer_orders!D:D)</f>
        <v>Walmart</v>
      </c>
      <c r="N269" t="str">
        <f>_xlfn.XLOOKUP(C269,inventory!B:B,inventory!C:C)</f>
        <v>Salt Lake City</v>
      </c>
      <c r="O269">
        <f>IF(_xlfn.XLOOKUP(C269,products!A:A,products!E:E)="NULL",0,_xlfn.XLOOKUP(C269,products!A:A,products!E:E))</f>
        <v>36.76</v>
      </c>
      <c r="P269">
        <f t="shared" si="14"/>
        <v>326.88</v>
      </c>
      <c r="Q269" s="2" t="str">
        <f>_xlfn.XLOOKUP(I269,products!B:B,products!D:D)</f>
        <v>Pet</v>
      </c>
    </row>
    <row r="270" spans="1:17">
      <c r="A270">
        <v>269</v>
      </c>
      <c r="B270">
        <v>1111</v>
      </c>
      <c r="C270">
        <v>59</v>
      </c>
      <c r="D270">
        <v>8</v>
      </c>
      <c r="E270">
        <v>201.6</v>
      </c>
      <c r="F270">
        <v>0</v>
      </c>
      <c r="G270">
        <f t="shared" si="12"/>
        <v>1612.8</v>
      </c>
      <c r="H270" t="str">
        <f>_xlfn.XLOOKUP(B270,customer_orders!A:A,customer_orders!F:F)</f>
        <v>2026-04</v>
      </c>
      <c r="I270" t="str">
        <f>_xlfn.XLOOKUP(C270,products!A:A,products!B:B)</f>
        <v>SKU-0059</v>
      </c>
      <c r="J270" t="str">
        <f>_xlfn.XLOOKUP(B270,customer_orders!A:A,customer_orders!G:G)</f>
        <v>2026-w16</v>
      </c>
      <c r="K270">
        <f>IFERROR(_xlfn.XLOOKUP(B270,shipments!B:B,shipments!H:H),0)</f>
        <v>0</v>
      </c>
      <c r="L270">
        <f t="shared" si="13"/>
        <v>0</v>
      </c>
      <c r="M270" t="str">
        <f>_xlfn.XLOOKUP(B270,customer_orders!A:A,customer_orders!D:D)</f>
        <v>Amazon</v>
      </c>
      <c r="N270" t="str">
        <f>_xlfn.XLOOKUP(C270,inventory!B:B,inventory!C:C)</f>
        <v>Unknown</v>
      </c>
      <c r="O270">
        <f>IF(_xlfn.XLOOKUP(C270,products!A:A,products!E:E)="NULL",0,_xlfn.XLOOKUP(C270,products!A:A,products!E:E))</f>
        <v>162.32</v>
      </c>
      <c r="P270">
        <f t="shared" si="14"/>
        <v>1450.48</v>
      </c>
      <c r="Q270" s="2" t="str">
        <f>_xlfn.XLOOKUP(I270,products!B:B,products!D:D)</f>
        <v>Sports</v>
      </c>
    </row>
    <row r="271" spans="1:17">
      <c r="A271">
        <v>270</v>
      </c>
      <c r="B271">
        <v>1111</v>
      </c>
      <c r="C271">
        <v>109</v>
      </c>
      <c r="D271">
        <v>3</v>
      </c>
      <c r="E271">
        <v>257.52</v>
      </c>
      <c r="F271">
        <v>0</v>
      </c>
      <c r="G271">
        <f t="shared" si="12"/>
        <v>772.56</v>
      </c>
      <c r="H271" t="str">
        <f>_xlfn.XLOOKUP(B271,customer_orders!A:A,customer_orders!F:F)</f>
        <v>2026-04</v>
      </c>
      <c r="I271" t="str">
        <f>_xlfn.XLOOKUP(C271,products!A:A,products!B:B)</f>
        <v>SKU-0109</v>
      </c>
      <c r="J271" t="str">
        <f>_xlfn.XLOOKUP(B271,customer_orders!A:A,customer_orders!G:G)</f>
        <v>2026-w16</v>
      </c>
      <c r="K271">
        <f>IFERROR(_xlfn.XLOOKUP(B271,shipments!B:B,shipments!H:H),0)</f>
        <v>0</v>
      </c>
      <c r="L271">
        <f t="shared" si="13"/>
        <v>0</v>
      </c>
      <c r="M271" t="str">
        <f>_xlfn.XLOOKUP(B271,customer_orders!A:A,customer_orders!D:D)</f>
        <v>Amazon</v>
      </c>
      <c r="N271" t="str">
        <f>_xlfn.XLOOKUP(C271,inventory!B:B,inventory!C:C)</f>
        <v>Draper</v>
      </c>
      <c r="O271">
        <f>IF(_xlfn.XLOOKUP(C271,products!A:A,products!E:E)="NULL",0,_xlfn.XLOOKUP(C271,products!A:A,products!E:E))</f>
        <v>10.02</v>
      </c>
      <c r="P271">
        <f t="shared" si="14"/>
        <v>762.54</v>
      </c>
      <c r="Q271" s="2" t="str">
        <f>_xlfn.XLOOKUP(I271,products!B:B,products!D:D)</f>
        <v>Office</v>
      </c>
    </row>
    <row r="272" spans="1:17">
      <c r="A272">
        <v>271</v>
      </c>
      <c r="B272">
        <v>1111</v>
      </c>
      <c r="C272">
        <v>22</v>
      </c>
      <c r="D272">
        <v>5</v>
      </c>
      <c r="E272">
        <v>159.69</v>
      </c>
      <c r="F272">
        <v>9.3800000000000008</v>
      </c>
      <c r="G272">
        <f t="shared" si="12"/>
        <v>789.07</v>
      </c>
      <c r="H272" t="str">
        <f>_xlfn.XLOOKUP(B272,customer_orders!A:A,customer_orders!F:F)</f>
        <v>2026-04</v>
      </c>
      <c r="I272" t="str">
        <f>_xlfn.XLOOKUP(C272,products!A:A,products!B:B)</f>
        <v>SKU-0022</v>
      </c>
      <c r="J272" t="str">
        <f>_xlfn.XLOOKUP(B272,customer_orders!A:A,customer_orders!G:G)</f>
        <v>2026-w16</v>
      </c>
      <c r="K272">
        <f>IFERROR(_xlfn.XLOOKUP(B272,shipments!B:B,shipments!H:H),0)</f>
        <v>0</v>
      </c>
      <c r="L272">
        <f t="shared" si="13"/>
        <v>0</v>
      </c>
      <c r="M272" t="str">
        <f>_xlfn.XLOOKUP(B272,customer_orders!A:A,customer_orders!D:D)</f>
        <v>Amazon</v>
      </c>
      <c r="N272" t="str">
        <f>_xlfn.XLOOKUP(C272,inventory!B:B,inventory!C:C)</f>
        <v>Lehi</v>
      </c>
      <c r="O272">
        <f>IF(_xlfn.XLOOKUP(C272,products!A:A,products!E:E)="NULL",0,_xlfn.XLOOKUP(C272,products!A:A,products!E:E))</f>
        <v>138.34</v>
      </c>
      <c r="P272">
        <f t="shared" si="14"/>
        <v>650.73</v>
      </c>
      <c r="Q272" s="2" t="str">
        <f>_xlfn.XLOOKUP(I272,products!B:B,products!D:D)</f>
        <v>Sports</v>
      </c>
    </row>
    <row r="273" spans="1:17">
      <c r="A273">
        <v>272</v>
      </c>
      <c r="B273">
        <v>1111</v>
      </c>
      <c r="C273">
        <v>66</v>
      </c>
      <c r="D273">
        <v>4</v>
      </c>
      <c r="E273">
        <v>94.55</v>
      </c>
      <c r="F273">
        <v>0</v>
      </c>
      <c r="G273">
        <f t="shared" si="12"/>
        <v>378.2</v>
      </c>
      <c r="H273" t="str">
        <f>_xlfn.XLOOKUP(B273,customer_orders!A:A,customer_orders!F:F)</f>
        <v>2026-04</v>
      </c>
      <c r="I273" t="str">
        <f>_xlfn.XLOOKUP(C273,products!A:A,products!B:B)</f>
        <v>SKU-0066</v>
      </c>
      <c r="J273" t="str">
        <f>_xlfn.XLOOKUP(B273,customer_orders!A:A,customer_orders!G:G)</f>
        <v>2026-w16</v>
      </c>
      <c r="K273">
        <f>IFERROR(_xlfn.XLOOKUP(B273,shipments!B:B,shipments!H:H),0)</f>
        <v>0</v>
      </c>
      <c r="L273">
        <f t="shared" si="13"/>
        <v>0</v>
      </c>
      <c r="M273" t="str">
        <f>_xlfn.XLOOKUP(B273,customer_orders!A:A,customer_orders!D:D)</f>
        <v>Amazon</v>
      </c>
      <c r="N273" t="str">
        <f>_xlfn.XLOOKUP(C273,inventory!B:B,inventory!C:C)</f>
        <v>Salt Lake City</v>
      </c>
      <c r="O273">
        <f>IF(_xlfn.XLOOKUP(C273,products!A:A,products!E:E)="NULL",0,_xlfn.XLOOKUP(C273,products!A:A,products!E:E))</f>
        <v>174.21</v>
      </c>
      <c r="P273">
        <f t="shared" si="14"/>
        <v>203.98999999999998</v>
      </c>
      <c r="Q273" s="2" t="str">
        <f>_xlfn.XLOOKUP(I273,products!B:B,products!D:D)</f>
        <v>Sports</v>
      </c>
    </row>
    <row r="274" spans="1:17">
      <c r="A274">
        <v>273</v>
      </c>
      <c r="B274">
        <v>1112</v>
      </c>
      <c r="C274">
        <v>81</v>
      </c>
      <c r="D274">
        <v>7</v>
      </c>
      <c r="E274">
        <v>244.17</v>
      </c>
      <c r="F274">
        <v>0</v>
      </c>
      <c r="G274">
        <f t="shared" si="12"/>
        <v>1709.1899999999998</v>
      </c>
      <c r="H274" t="str">
        <f>_xlfn.XLOOKUP(B274,customer_orders!A:A,customer_orders!F:F)</f>
        <v>2026-01</v>
      </c>
      <c r="I274" t="str">
        <f>_xlfn.XLOOKUP(C274,products!A:A,products!B:B)</f>
        <v>SKU-0081</v>
      </c>
      <c r="J274" t="str">
        <f>_xlfn.XLOOKUP(B274,customer_orders!A:A,customer_orders!G:G)</f>
        <v>2026-w05</v>
      </c>
      <c r="K274">
        <f>IFERROR(_xlfn.XLOOKUP(B274,shipments!B:B,shipments!H:H),0)</f>
        <v>35.97</v>
      </c>
      <c r="L274">
        <f t="shared" si="13"/>
        <v>0.02</v>
      </c>
      <c r="M274" t="str">
        <f>_xlfn.XLOOKUP(B274,customer_orders!A:A,customer_orders!D:D)</f>
        <v>Amazon</v>
      </c>
      <c r="N274" t="str">
        <f>_xlfn.XLOOKUP(C274,inventory!B:B,inventory!C:C)</f>
        <v>Lehi</v>
      </c>
      <c r="O274">
        <f>IF(_xlfn.XLOOKUP(C274,products!A:A,products!E:E)="NULL",0,_xlfn.XLOOKUP(C274,products!A:A,products!E:E))</f>
        <v>43.3</v>
      </c>
      <c r="P274">
        <f t="shared" si="14"/>
        <v>1665.8899999999999</v>
      </c>
      <c r="Q274" s="2" t="str">
        <f>_xlfn.XLOOKUP(I274,products!B:B,products!D:D)</f>
        <v>Home</v>
      </c>
    </row>
    <row r="275" spans="1:17">
      <c r="A275">
        <v>274</v>
      </c>
      <c r="B275">
        <v>1112</v>
      </c>
      <c r="C275">
        <v>110</v>
      </c>
      <c r="D275">
        <v>5</v>
      </c>
      <c r="E275">
        <v>112</v>
      </c>
      <c r="F275">
        <v>4.66</v>
      </c>
      <c r="G275">
        <f t="shared" si="12"/>
        <v>555.34</v>
      </c>
      <c r="H275" t="str">
        <f>_xlfn.XLOOKUP(B275,customer_orders!A:A,customer_orders!F:F)</f>
        <v>2026-01</v>
      </c>
      <c r="I275" t="str">
        <f>_xlfn.XLOOKUP(C275,products!A:A,products!B:B)</f>
        <v>SKU-0110</v>
      </c>
      <c r="J275" t="str">
        <f>_xlfn.XLOOKUP(B275,customer_orders!A:A,customer_orders!G:G)</f>
        <v>2026-w05</v>
      </c>
      <c r="K275">
        <f>IFERROR(_xlfn.XLOOKUP(B275,shipments!B:B,shipments!H:H),0)</f>
        <v>35.97</v>
      </c>
      <c r="L275">
        <f t="shared" si="13"/>
        <v>0.06</v>
      </c>
      <c r="M275" t="str">
        <f>_xlfn.XLOOKUP(B275,customer_orders!A:A,customer_orders!D:D)</f>
        <v>Amazon</v>
      </c>
      <c r="N275" t="str">
        <f>_xlfn.XLOOKUP(C275,inventory!B:B,inventory!C:C)</f>
        <v>Draper</v>
      </c>
      <c r="O275">
        <f>IF(_xlfn.XLOOKUP(C275,products!A:A,products!E:E)="NULL",0,_xlfn.XLOOKUP(C275,products!A:A,products!E:E))</f>
        <v>144.62</v>
      </c>
      <c r="P275">
        <f t="shared" si="14"/>
        <v>410.72</v>
      </c>
      <c r="Q275" s="2" t="str">
        <f>_xlfn.XLOOKUP(I275,products!B:B,products!D:D)</f>
        <v>Beauty</v>
      </c>
    </row>
    <row r="276" spans="1:17">
      <c r="A276">
        <v>275</v>
      </c>
      <c r="B276">
        <v>1113</v>
      </c>
      <c r="C276">
        <v>65</v>
      </c>
      <c r="D276">
        <v>5</v>
      </c>
      <c r="E276">
        <v>203.11</v>
      </c>
      <c r="F276">
        <v>9.09</v>
      </c>
      <c r="G276">
        <f t="shared" si="12"/>
        <v>1006.46</v>
      </c>
      <c r="H276" t="str">
        <f>_xlfn.XLOOKUP(B276,customer_orders!A:A,customer_orders!F:F)</f>
        <v>2026-05</v>
      </c>
      <c r="I276" t="str">
        <f>_xlfn.XLOOKUP(C276,products!A:A,products!B:B)</f>
        <v>SKU-0065</v>
      </c>
      <c r="J276" t="str">
        <f>_xlfn.XLOOKUP(B276,customer_orders!A:A,customer_orders!G:G)</f>
        <v>2026-w19</v>
      </c>
      <c r="K276">
        <f>IFERROR(_xlfn.XLOOKUP(B276,shipments!B:B,shipments!H:H),0)</f>
        <v>111.4</v>
      </c>
      <c r="L276">
        <f t="shared" si="13"/>
        <v>0.11</v>
      </c>
      <c r="M276" t="str">
        <f>_xlfn.XLOOKUP(B276,customer_orders!A:A,customer_orders!D:D)</f>
        <v>Ebay</v>
      </c>
      <c r="N276" t="str">
        <f>_xlfn.XLOOKUP(C276,inventory!B:B,inventory!C:C)</f>
        <v>Salt Lake City</v>
      </c>
      <c r="O276">
        <f>IF(_xlfn.XLOOKUP(C276,products!A:A,products!E:E)="NULL",0,_xlfn.XLOOKUP(C276,products!A:A,products!E:E))</f>
        <v>44.01</v>
      </c>
      <c r="P276">
        <f t="shared" si="14"/>
        <v>962.45</v>
      </c>
      <c r="Q276" s="2" t="str">
        <f>_xlfn.XLOOKUP(I276,products!B:B,products!D:D)</f>
        <v>Sports</v>
      </c>
    </row>
    <row r="277" spans="1:17">
      <c r="A277">
        <v>276</v>
      </c>
      <c r="B277">
        <v>1113</v>
      </c>
      <c r="C277">
        <v>36</v>
      </c>
      <c r="D277">
        <v>2</v>
      </c>
      <c r="E277">
        <v>94.39</v>
      </c>
      <c r="F277">
        <v>11.47</v>
      </c>
      <c r="G277">
        <f t="shared" si="12"/>
        <v>177.31</v>
      </c>
      <c r="H277" t="str">
        <f>_xlfn.XLOOKUP(B277,customer_orders!A:A,customer_orders!F:F)</f>
        <v>2026-05</v>
      </c>
      <c r="I277" t="str">
        <f>_xlfn.XLOOKUP(C277,products!A:A,products!B:B)</f>
        <v>SKU-0036</v>
      </c>
      <c r="J277" t="str">
        <f>_xlfn.XLOOKUP(B277,customer_orders!A:A,customer_orders!G:G)</f>
        <v>2026-w19</v>
      </c>
      <c r="K277">
        <f>IFERROR(_xlfn.XLOOKUP(B277,shipments!B:B,shipments!H:H),0)</f>
        <v>111.4</v>
      </c>
      <c r="L277">
        <f t="shared" si="13"/>
        <v>0.63</v>
      </c>
      <c r="M277" t="str">
        <f>_xlfn.XLOOKUP(B277,customer_orders!A:A,customer_orders!D:D)</f>
        <v>Ebay</v>
      </c>
      <c r="N277" t="str">
        <f>_xlfn.XLOOKUP(C277,inventory!B:B,inventory!C:C)</f>
        <v>Draper</v>
      </c>
      <c r="O277">
        <f>IF(_xlfn.XLOOKUP(C277,products!A:A,products!E:E)="NULL",0,_xlfn.XLOOKUP(C277,products!A:A,products!E:E))</f>
        <v>78.83</v>
      </c>
      <c r="P277">
        <f t="shared" si="14"/>
        <v>98.48</v>
      </c>
      <c r="Q277" s="2" t="str">
        <f>_xlfn.XLOOKUP(I277,products!B:B,products!D:D)</f>
        <v>Pet</v>
      </c>
    </row>
    <row r="278" spans="1:17">
      <c r="A278">
        <v>277</v>
      </c>
      <c r="B278">
        <v>1113</v>
      </c>
      <c r="C278">
        <v>42</v>
      </c>
      <c r="D278">
        <v>2</v>
      </c>
      <c r="E278">
        <v>169.53</v>
      </c>
      <c r="F278">
        <v>4</v>
      </c>
      <c r="G278">
        <f t="shared" si="12"/>
        <v>335.06</v>
      </c>
      <c r="H278" t="str">
        <f>_xlfn.XLOOKUP(B278,customer_orders!A:A,customer_orders!F:F)</f>
        <v>2026-05</v>
      </c>
      <c r="I278" t="str">
        <f>_xlfn.XLOOKUP(C278,products!A:A,products!B:B)</f>
        <v>SKU-0042</v>
      </c>
      <c r="J278" t="str">
        <f>_xlfn.XLOOKUP(B278,customer_orders!A:A,customer_orders!G:G)</f>
        <v>2026-w19</v>
      </c>
      <c r="K278">
        <f>IFERROR(_xlfn.XLOOKUP(B278,shipments!B:B,shipments!H:H),0)</f>
        <v>111.4</v>
      </c>
      <c r="L278">
        <f t="shared" si="13"/>
        <v>0.33</v>
      </c>
      <c r="M278" t="str">
        <f>_xlfn.XLOOKUP(B278,customer_orders!A:A,customer_orders!D:D)</f>
        <v>Ebay</v>
      </c>
      <c r="N278" t="str">
        <f>_xlfn.XLOOKUP(C278,inventory!B:B,inventory!C:C)</f>
        <v>South Jordan</v>
      </c>
      <c r="O278">
        <f>IF(_xlfn.XLOOKUP(C278,products!A:A,products!E:E)="NULL",0,_xlfn.XLOOKUP(C278,products!A:A,products!E:E))</f>
        <v>106.36</v>
      </c>
      <c r="P278">
        <f t="shared" si="14"/>
        <v>228.7</v>
      </c>
      <c r="Q278" s="2" t="str">
        <f>_xlfn.XLOOKUP(I278,products!B:B,products!D:D)</f>
        <v>Beauty</v>
      </c>
    </row>
    <row r="279" spans="1:17">
      <c r="A279">
        <v>278</v>
      </c>
      <c r="B279">
        <v>1113</v>
      </c>
      <c r="C279">
        <v>87</v>
      </c>
      <c r="D279">
        <v>1</v>
      </c>
      <c r="E279">
        <v>124.17</v>
      </c>
      <c r="F279">
        <v>0</v>
      </c>
      <c r="G279">
        <f t="shared" si="12"/>
        <v>124.17</v>
      </c>
      <c r="H279" t="str">
        <f>_xlfn.XLOOKUP(B279,customer_orders!A:A,customer_orders!F:F)</f>
        <v>2026-05</v>
      </c>
      <c r="I279" t="str">
        <f>_xlfn.XLOOKUP(C279,products!A:A,products!B:B)</f>
        <v>SKU-0087</v>
      </c>
      <c r="J279" t="str">
        <f>_xlfn.XLOOKUP(B279,customer_orders!A:A,customer_orders!G:G)</f>
        <v>2026-w19</v>
      </c>
      <c r="K279">
        <f>IFERROR(_xlfn.XLOOKUP(B279,shipments!B:B,shipments!H:H),0)</f>
        <v>111.4</v>
      </c>
      <c r="L279">
        <f t="shared" si="13"/>
        <v>0.9</v>
      </c>
      <c r="M279" t="str">
        <f>_xlfn.XLOOKUP(B279,customer_orders!A:A,customer_orders!D:D)</f>
        <v>Ebay</v>
      </c>
      <c r="N279" t="str">
        <f>_xlfn.XLOOKUP(C279,inventory!B:B,inventory!C:C)</f>
        <v>Unknown</v>
      </c>
      <c r="O279">
        <f>IF(_xlfn.XLOOKUP(C279,products!A:A,products!E:E)="NULL",0,_xlfn.XLOOKUP(C279,products!A:A,products!E:E))</f>
        <v>31.4</v>
      </c>
      <c r="P279">
        <f t="shared" si="14"/>
        <v>92.77000000000001</v>
      </c>
      <c r="Q279" s="2" t="str">
        <f>_xlfn.XLOOKUP(I279,products!B:B,products!D:D)</f>
        <v>Home</v>
      </c>
    </row>
    <row r="280" spans="1:17">
      <c r="A280">
        <v>279</v>
      </c>
      <c r="B280">
        <v>1114</v>
      </c>
      <c r="C280">
        <v>103</v>
      </c>
      <c r="D280">
        <v>5</v>
      </c>
      <c r="E280">
        <v>241.92</v>
      </c>
      <c r="F280">
        <v>0</v>
      </c>
      <c r="G280">
        <f t="shared" si="12"/>
        <v>1209.5999999999999</v>
      </c>
      <c r="H280" t="str">
        <f>_xlfn.XLOOKUP(B280,customer_orders!A:A,customer_orders!F:F)</f>
        <v>2026-04</v>
      </c>
      <c r="I280" t="str">
        <f>_xlfn.XLOOKUP(C280,products!A:A,products!B:B)</f>
        <v>SKU-0103</v>
      </c>
      <c r="J280" t="str">
        <f>_xlfn.XLOOKUP(B280,customer_orders!A:A,customer_orders!G:G)</f>
        <v>2026-w15</v>
      </c>
      <c r="K280">
        <f>IFERROR(_xlfn.XLOOKUP(B280,shipments!B:B,shipments!H:H),0)</f>
        <v>94.44</v>
      </c>
      <c r="L280">
        <f t="shared" si="13"/>
        <v>0.08</v>
      </c>
      <c r="M280" t="str">
        <f>_xlfn.XLOOKUP(B280,customer_orders!A:A,customer_orders!D:D)</f>
        <v>Amazon</v>
      </c>
      <c r="N280" t="str">
        <f>_xlfn.XLOOKUP(C280,inventory!B:B,inventory!C:C)</f>
        <v>Draper</v>
      </c>
      <c r="O280">
        <f>IF(_xlfn.XLOOKUP(C280,products!A:A,products!E:E)="NULL",0,_xlfn.XLOOKUP(C280,products!A:A,products!E:E))</f>
        <v>145.97</v>
      </c>
      <c r="P280">
        <f t="shared" si="14"/>
        <v>1063.6299999999999</v>
      </c>
      <c r="Q280" s="2" t="str">
        <f>_xlfn.XLOOKUP(I280,products!B:B,products!D:D)</f>
        <v>Sports</v>
      </c>
    </row>
    <row r="281" spans="1:17">
      <c r="A281">
        <v>280</v>
      </c>
      <c r="B281">
        <v>1114</v>
      </c>
      <c r="C281">
        <v>45</v>
      </c>
      <c r="D281">
        <v>8</v>
      </c>
      <c r="E281">
        <v>184.44</v>
      </c>
      <c r="F281">
        <v>0</v>
      </c>
      <c r="G281">
        <f t="shared" si="12"/>
        <v>1475.52</v>
      </c>
      <c r="H281" t="str">
        <f>_xlfn.XLOOKUP(B281,customer_orders!A:A,customer_orders!F:F)</f>
        <v>2026-04</v>
      </c>
      <c r="I281" t="str">
        <f>_xlfn.XLOOKUP(C281,products!A:A,products!B:B)</f>
        <v>SKU-0045</v>
      </c>
      <c r="J281" t="str">
        <f>_xlfn.XLOOKUP(B281,customer_orders!A:A,customer_orders!G:G)</f>
        <v>2026-w15</v>
      </c>
      <c r="K281">
        <f>IFERROR(_xlfn.XLOOKUP(B281,shipments!B:B,shipments!H:H),0)</f>
        <v>94.44</v>
      </c>
      <c r="L281">
        <f t="shared" si="13"/>
        <v>0.06</v>
      </c>
      <c r="M281" t="str">
        <f>_xlfn.XLOOKUP(B281,customer_orders!A:A,customer_orders!D:D)</f>
        <v>Amazon</v>
      </c>
      <c r="N281" t="str">
        <f>_xlfn.XLOOKUP(C281,inventory!B:B,inventory!C:C)</f>
        <v>Draper</v>
      </c>
      <c r="O281">
        <f>IF(_xlfn.XLOOKUP(C281,products!A:A,products!E:E)="NULL",0,_xlfn.XLOOKUP(C281,products!A:A,products!E:E))</f>
        <v>48.09</v>
      </c>
      <c r="P281">
        <f t="shared" si="14"/>
        <v>1427.43</v>
      </c>
      <c r="Q281" s="2" t="str">
        <f>_xlfn.XLOOKUP(I281,products!B:B,products!D:D)</f>
        <v>Home</v>
      </c>
    </row>
    <row r="282" spans="1:17">
      <c r="A282">
        <v>281</v>
      </c>
      <c r="B282">
        <v>1114</v>
      </c>
      <c r="C282">
        <v>133</v>
      </c>
      <c r="D282">
        <v>5</v>
      </c>
      <c r="E282">
        <v>214.42</v>
      </c>
      <c r="F282">
        <v>0</v>
      </c>
      <c r="G282">
        <f t="shared" si="12"/>
        <v>1072.0999999999999</v>
      </c>
      <c r="H282" t="str">
        <f>_xlfn.XLOOKUP(B282,customer_orders!A:A,customer_orders!F:F)</f>
        <v>2026-04</v>
      </c>
      <c r="I282" t="str">
        <f>_xlfn.XLOOKUP(C282,products!A:A,products!B:B)</f>
        <v>SKU-0133</v>
      </c>
      <c r="J282" t="str">
        <f>_xlfn.XLOOKUP(B282,customer_orders!A:A,customer_orders!G:G)</f>
        <v>2026-w15</v>
      </c>
      <c r="K282">
        <f>IFERROR(_xlfn.XLOOKUP(B282,shipments!B:B,shipments!H:H),0)</f>
        <v>94.44</v>
      </c>
      <c r="L282">
        <f t="shared" si="13"/>
        <v>0.09</v>
      </c>
      <c r="M282" t="str">
        <f>_xlfn.XLOOKUP(B282,customer_orders!A:A,customer_orders!D:D)</f>
        <v>Amazon</v>
      </c>
      <c r="N282" t="str">
        <f>_xlfn.XLOOKUP(C282,inventory!B:B,inventory!C:C)</f>
        <v>Unknown</v>
      </c>
      <c r="O282">
        <f>IF(_xlfn.XLOOKUP(C282,products!A:A,products!E:E)="NULL",0,_xlfn.XLOOKUP(C282,products!A:A,products!E:E))</f>
        <v>125.52</v>
      </c>
      <c r="P282">
        <f t="shared" si="14"/>
        <v>946.57999999999993</v>
      </c>
      <c r="Q282" s="2" t="str">
        <f>_xlfn.XLOOKUP(I282,products!B:B,products!D:D)</f>
        <v>Home</v>
      </c>
    </row>
    <row r="283" spans="1:17">
      <c r="A283">
        <v>282</v>
      </c>
      <c r="B283">
        <v>1114</v>
      </c>
      <c r="C283">
        <v>44</v>
      </c>
      <c r="D283">
        <v>1</v>
      </c>
      <c r="E283">
        <v>34.369999999999997</v>
      </c>
      <c r="F283">
        <v>0</v>
      </c>
      <c r="G283">
        <f t="shared" si="12"/>
        <v>34.369999999999997</v>
      </c>
      <c r="H283" t="str">
        <f>_xlfn.XLOOKUP(B283,customer_orders!A:A,customer_orders!F:F)</f>
        <v>2026-04</v>
      </c>
      <c r="I283" t="str">
        <f>_xlfn.XLOOKUP(C283,products!A:A,products!B:B)</f>
        <v>SKU-0044</v>
      </c>
      <c r="J283" t="str">
        <f>_xlfn.XLOOKUP(B283,customer_orders!A:A,customer_orders!G:G)</f>
        <v>2026-w15</v>
      </c>
      <c r="K283">
        <f>IFERROR(_xlfn.XLOOKUP(B283,shipments!B:B,shipments!H:H),0)</f>
        <v>94.44</v>
      </c>
      <c r="L283">
        <f t="shared" si="13"/>
        <v>2.75</v>
      </c>
      <c r="M283" t="str">
        <f>_xlfn.XLOOKUP(B283,customer_orders!A:A,customer_orders!D:D)</f>
        <v>Amazon</v>
      </c>
      <c r="N283" t="str">
        <f>_xlfn.XLOOKUP(C283,inventory!B:B,inventory!C:C)</f>
        <v>West Valley</v>
      </c>
      <c r="O283">
        <f>IF(_xlfn.XLOOKUP(C283,products!A:A,products!E:E)="NULL",0,_xlfn.XLOOKUP(C283,products!A:A,products!E:E))</f>
        <v>16.989999999999998</v>
      </c>
      <c r="P283">
        <f t="shared" si="14"/>
        <v>17.38</v>
      </c>
      <c r="Q283" s="2" t="str">
        <f>_xlfn.XLOOKUP(I283,products!B:B,products!D:D)</f>
        <v>Home</v>
      </c>
    </row>
    <row r="284" spans="1:17">
      <c r="A284">
        <v>283</v>
      </c>
      <c r="B284">
        <v>1115</v>
      </c>
      <c r="C284">
        <v>24</v>
      </c>
      <c r="D284">
        <v>5</v>
      </c>
      <c r="E284">
        <v>20.55</v>
      </c>
      <c r="F284">
        <v>0</v>
      </c>
      <c r="G284">
        <f t="shared" si="12"/>
        <v>102.75</v>
      </c>
      <c r="H284" t="str">
        <f>_xlfn.XLOOKUP(B284,customer_orders!A:A,customer_orders!F:F)</f>
        <v>2026-02</v>
      </c>
      <c r="I284" t="str">
        <f>_xlfn.XLOOKUP(C284,products!A:A,products!B:B)</f>
        <v>SKU-0024</v>
      </c>
      <c r="J284" t="str">
        <f>_xlfn.XLOOKUP(B284,customer_orders!A:A,customer_orders!G:G)</f>
        <v>2026-w08</v>
      </c>
      <c r="K284">
        <f>IFERROR(_xlfn.XLOOKUP(B284,shipments!B:B,shipments!H:H),0)</f>
        <v>74.34</v>
      </c>
      <c r="L284">
        <f t="shared" si="13"/>
        <v>0.72</v>
      </c>
      <c r="M284" t="str">
        <f>_xlfn.XLOOKUP(B284,customer_orders!A:A,customer_orders!D:D)</f>
        <v>Amazon</v>
      </c>
      <c r="N284" t="str">
        <f>_xlfn.XLOOKUP(C284,inventory!B:B,inventory!C:C)</f>
        <v>Draper</v>
      </c>
      <c r="O284">
        <f>IF(_xlfn.XLOOKUP(C284,products!A:A,products!E:E)="NULL",0,_xlfn.XLOOKUP(C284,products!A:A,products!E:E))</f>
        <v>61.73</v>
      </c>
      <c r="P284">
        <f t="shared" si="14"/>
        <v>41.02</v>
      </c>
      <c r="Q284" s="2" t="str">
        <f>_xlfn.XLOOKUP(I284,products!B:B,products!D:D)</f>
        <v>Electronics</v>
      </c>
    </row>
    <row r="285" spans="1:17">
      <c r="A285">
        <v>284</v>
      </c>
      <c r="B285">
        <v>1116</v>
      </c>
      <c r="C285">
        <v>129</v>
      </c>
      <c r="D285">
        <v>5</v>
      </c>
      <c r="E285">
        <v>95.57</v>
      </c>
      <c r="F285">
        <v>0</v>
      </c>
      <c r="G285">
        <f t="shared" si="12"/>
        <v>477.84999999999997</v>
      </c>
      <c r="H285" t="str">
        <f>_xlfn.XLOOKUP(B285,customer_orders!A:A,customer_orders!F:F)</f>
        <v>2026-02</v>
      </c>
      <c r="I285" t="str">
        <f>_xlfn.XLOOKUP(C285,products!A:A,products!B:B)</f>
        <v>SKU-0129</v>
      </c>
      <c r="J285" t="str">
        <f>_xlfn.XLOOKUP(B285,customer_orders!A:A,customer_orders!G:G)</f>
        <v>2026-w07</v>
      </c>
      <c r="K285">
        <f>IFERROR(_xlfn.XLOOKUP(B285,shipments!B:B,shipments!H:H),0)</f>
        <v>98.33</v>
      </c>
      <c r="L285">
        <f t="shared" si="13"/>
        <v>0.21</v>
      </c>
      <c r="M285" t="str">
        <f>_xlfn.XLOOKUP(B285,customer_orders!A:A,customer_orders!D:D)</f>
        <v>Amazon</v>
      </c>
      <c r="N285" t="str">
        <f>_xlfn.XLOOKUP(C285,inventory!B:B,inventory!C:C)</f>
        <v>South Jordan</v>
      </c>
      <c r="O285">
        <f>IF(_xlfn.XLOOKUP(C285,products!A:A,products!E:E)="NULL",0,_xlfn.XLOOKUP(C285,products!A:A,products!E:E))</f>
        <v>55.42</v>
      </c>
      <c r="P285">
        <f t="shared" si="14"/>
        <v>422.42999999999995</v>
      </c>
      <c r="Q285" s="2" t="str">
        <f>_xlfn.XLOOKUP(I285,products!B:B,products!D:D)</f>
        <v>Electronics</v>
      </c>
    </row>
    <row r="286" spans="1:17">
      <c r="A286">
        <v>285</v>
      </c>
      <c r="B286">
        <v>1117</v>
      </c>
      <c r="C286">
        <v>8</v>
      </c>
      <c r="D286">
        <v>8</v>
      </c>
      <c r="E286">
        <v>118.07</v>
      </c>
      <c r="F286">
        <v>0</v>
      </c>
      <c r="G286">
        <f t="shared" si="12"/>
        <v>944.56</v>
      </c>
      <c r="H286" t="str">
        <f>_xlfn.XLOOKUP(B286,customer_orders!A:A,customer_orders!F:F)</f>
        <v>2026-05</v>
      </c>
      <c r="I286" t="str">
        <f>_xlfn.XLOOKUP(C286,products!A:A,products!B:B)</f>
        <v>SKU-0008</v>
      </c>
      <c r="J286" t="str">
        <f>_xlfn.XLOOKUP(B286,customer_orders!A:A,customer_orders!G:G)</f>
        <v>2026-w19</v>
      </c>
      <c r="K286">
        <f>IFERROR(_xlfn.XLOOKUP(B286,shipments!B:B,shipments!H:H),0)</f>
        <v>12.82</v>
      </c>
      <c r="L286">
        <f t="shared" si="13"/>
        <v>0.01</v>
      </c>
      <c r="M286" t="str">
        <f>_xlfn.XLOOKUP(B286,customer_orders!A:A,customer_orders!D:D)</f>
        <v>Ebay</v>
      </c>
      <c r="N286" t="str">
        <f>_xlfn.XLOOKUP(C286,inventory!B:B,inventory!C:C)</f>
        <v>Salt Lake City</v>
      </c>
      <c r="O286">
        <f>IF(_xlfn.XLOOKUP(C286,products!A:A,products!E:E)="NULL",0,_xlfn.XLOOKUP(C286,products!A:A,products!E:E))</f>
        <v>159.94999999999999</v>
      </c>
      <c r="P286">
        <f t="shared" si="14"/>
        <v>784.6099999999999</v>
      </c>
      <c r="Q286" s="2" t="str">
        <f>_xlfn.XLOOKUP(I286,products!B:B,products!D:D)</f>
        <v>Sports</v>
      </c>
    </row>
    <row r="287" spans="1:17">
      <c r="A287">
        <v>286</v>
      </c>
      <c r="B287">
        <v>1117</v>
      </c>
      <c r="C287">
        <v>98</v>
      </c>
      <c r="D287">
        <v>4</v>
      </c>
      <c r="E287">
        <v>285.64</v>
      </c>
      <c r="F287">
        <v>0</v>
      </c>
      <c r="G287">
        <f t="shared" si="12"/>
        <v>1142.56</v>
      </c>
      <c r="H287" t="str">
        <f>_xlfn.XLOOKUP(B287,customer_orders!A:A,customer_orders!F:F)</f>
        <v>2026-05</v>
      </c>
      <c r="I287" t="str">
        <f>_xlfn.XLOOKUP(C287,products!A:A,products!B:B)</f>
        <v>SKU-0098</v>
      </c>
      <c r="J287" t="str">
        <f>_xlfn.XLOOKUP(B287,customer_orders!A:A,customer_orders!G:G)</f>
        <v>2026-w19</v>
      </c>
      <c r="K287">
        <f>IFERROR(_xlfn.XLOOKUP(B287,shipments!B:B,shipments!H:H),0)</f>
        <v>12.82</v>
      </c>
      <c r="L287">
        <f t="shared" si="13"/>
        <v>0.01</v>
      </c>
      <c r="M287" t="str">
        <f>_xlfn.XLOOKUP(B287,customer_orders!A:A,customer_orders!D:D)</f>
        <v>Ebay</v>
      </c>
      <c r="N287" t="str">
        <f>_xlfn.XLOOKUP(C287,inventory!B:B,inventory!C:C)</f>
        <v>South Jordan</v>
      </c>
      <c r="O287">
        <f>IF(_xlfn.XLOOKUP(C287,products!A:A,products!E:E)="NULL",0,_xlfn.XLOOKUP(C287,products!A:A,products!E:E))</f>
        <v>136.99</v>
      </c>
      <c r="P287">
        <f t="shared" si="14"/>
        <v>1005.5699999999999</v>
      </c>
      <c r="Q287" s="2" t="str">
        <f>_xlfn.XLOOKUP(I287,products!B:B,products!D:D)</f>
        <v>Home</v>
      </c>
    </row>
    <row r="288" spans="1:17">
      <c r="A288">
        <v>287</v>
      </c>
      <c r="B288">
        <v>1117</v>
      </c>
      <c r="C288">
        <v>81</v>
      </c>
      <c r="D288">
        <v>7</v>
      </c>
      <c r="E288">
        <v>244.17</v>
      </c>
      <c r="F288">
        <v>0</v>
      </c>
      <c r="G288">
        <f t="shared" si="12"/>
        <v>1709.1899999999998</v>
      </c>
      <c r="H288" t="str">
        <f>_xlfn.XLOOKUP(B288,customer_orders!A:A,customer_orders!F:F)</f>
        <v>2026-05</v>
      </c>
      <c r="I288" t="str">
        <f>_xlfn.XLOOKUP(C288,products!A:A,products!B:B)</f>
        <v>SKU-0081</v>
      </c>
      <c r="J288" t="str">
        <f>_xlfn.XLOOKUP(B288,customer_orders!A:A,customer_orders!G:G)</f>
        <v>2026-w19</v>
      </c>
      <c r="K288">
        <f>IFERROR(_xlfn.XLOOKUP(B288,shipments!B:B,shipments!H:H),0)</f>
        <v>12.82</v>
      </c>
      <c r="L288">
        <f t="shared" si="13"/>
        <v>0.01</v>
      </c>
      <c r="M288" t="str">
        <f>_xlfn.XLOOKUP(B288,customer_orders!A:A,customer_orders!D:D)</f>
        <v>Ebay</v>
      </c>
      <c r="N288" t="str">
        <f>_xlfn.XLOOKUP(C288,inventory!B:B,inventory!C:C)</f>
        <v>Lehi</v>
      </c>
      <c r="O288">
        <f>IF(_xlfn.XLOOKUP(C288,products!A:A,products!E:E)="NULL",0,_xlfn.XLOOKUP(C288,products!A:A,products!E:E))</f>
        <v>43.3</v>
      </c>
      <c r="P288">
        <f t="shared" si="14"/>
        <v>1665.8899999999999</v>
      </c>
      <c r="Q288" s="2" t="str">
        <f>_xlfn.XLOOKUP(I288,products!B:B,products!D:D)</f>
        <v>Home</v>
      </c>
    </row>
    <row r="289" spans="1:17">
      <c r="A289">
        <v>288</v>
      </c>
      <c r="B289">
        <v>1117</v>
      </c>
      <c r="C289">
        <v>68</v>
      </c>
      <c r="D289">
        <v>4</v>
      </c>
      <c r="E289">
        <v>138.85</v>
      </c>
      <c r="F289">
        <v>5.0199999999999996</v>
      </c>
      <c r="G289">
        <f t="shared" si="12"/>
        <v>550.38</v>
      </c>
      <c r="H289" t="str">
        <f>_xlfn.XLOOKUP(B289,customer_orders!A:A,customer_orders!F:F)</f>
        <v>2026-05</v>
      </c>
      <c r="I289" t="str">
        <f>_xlfn.XLOOKUP(C289,products!A:A,products!B:B)</f>
        <v>SKU-0068</v>
      </c>
      <c r="J289" t="str">
        <f>_xlfn.XLOOKUP(B289,customer_orders!A:A,customer_orders!G:G)</f>
        <v>2026-w19</v>
      </c>
      <c r="K289">
        <f>IFERROR(_xlfn.XLOOKUP(B289,shipments!B:B,shipments!H:H),0)</f>
        <v>12.82</v>
      </c>
      <c r="L289">
        <f t="shared" si="13"/>
        <v>0.02</v>
      </c>
      <c r="M289" t="str">
        <f>_xlfn.XLOOKUP(B289,customer_orders!A:A,customer_orders!D:D)</f>
        <v>Ebay</v>
      </c>
      <c r="N289" t="str">
        <f>_xlfn.XLOOKUP(C289,inventory!B:B,inventory!C:C)</f>
        <v>West Valley</v>
      </c>
      <c r="O289">
        <f>IF(_xlfn.XLOOKUP(C289,products!A:A,products!E:E)="NULL",0,_xlfn.XLOOKUP(C289,products!A:A,products!E:E))</f>
        <v>23.97</v>
      </c>
      <c r="P289">
        <f t="shared" si="14"/>
        <v>526.41</v>
      </c>
      <c r="Q289" s="2" t="str">
        <f>_xlfn.XLOOKUP(I289,products!B:B,products!D:D)</f>
        <v>Sports</v>
      </c>
    </row>
    <row r="290" spans="1:17">
      <c r="A290">
        <v>289</v>
      </c>
      <c r="B290">
        <v>1118</v>
      </c>
      <c r="C290">
        <v>128</v>
      </c>
      <c r="D290">
        <v>4</v>
      </c>
      <c r="E290">
        <v>143.38999999999999</v>
      </c>
      <c r="F290">
        <v>0</v>
      </c>
      <c r="G290">
        <f t="shared" si="12"/>
        <v>573.55999999999995</v>
      </c>
      <c r="H290" t="str">
        <f>_xlfn.XLOOKUP(B290,customer_orders!A:A,customer_orders!F:F)</f>
        <v>2026-02</v>
      </c>
      <c r="I290" t="str">
        <f>_xlfn.XLOOKUP(C290,products!A:A,products!B:B)</f>
        <v>SKU-0128</v>
      </c>
      <c r="J290" t="str">
        <f>_xlfn.XLOOKUP(B290,customer_orders!A:A,customer_orders!G:G)</f>
        <v>2026-w09</v>
      </c>
      <c r="K290">
        <f>IFERROR(_xlfn.XLOOKUP(B290,shipments!B:B,shipments!H:H),0)</f>
        <v>94.36</v>
      </c>
      <c r="L290">
        <f t="shared" si="13"/>
        <v>0.16</v>
      </c>
      <c r="M290" t="str">
        <f>_xlfn.XLOOKUP(B290,customer_orders!A:A,customer_orders!D:D)</f>
        <v>Ebay</v>
      </c>
      <c r="N290" t="str">
        <f>_xlfn.XLOOKUP(C290,inventory!B:B,inventory!C:C)</f>
        <v>West Valley</v>
      </c>
      <c r="O290">
        <f>IF(_xlfn.XLOOKUP(C290,products!A:A,products!E:E)="NULL",0,_xlfn.XLOOKUP(C290,products!A:A,products!E:E))</f>
        <v>5.47</v>
      </c>
      <c r="P290">
        <f t="shared" si="14"/>
        <v>568.08999999999992</v>
      </c>
      <c r="Q290" s="2" t="str">
        <f>_xlfn.XLOOKUP(I290,products!B:B,products!D:D)</f>
        <v>Home</v>
      </c>
    </row>
    <row r="291" spans="1:17">
      <c r="A291">
        <v>290</v>
      </c>
      <c r="B291">
        <v>1118</v>
      </c>
      <c r="C291">
        <v>68</v>
      </c>
      <c r="D291">
        <v>4</v>
      </c>
      <c r="E291">
        <v>138.85</v>
      </c>
      <c r="F291">
        <v>0</v>
      </c>
      <c r="G291">
        <f t="shared" si="12"/>
        <v>555.4</v>
      </c>
      <c r="H291" t="str">
        <f>_xlfn.XLOOKUP(B291,customer_orders!A:A,customer_orders!F:F)</f>
        <v>2026-02</v>
      </c>
      <c r="I291" t="str">
        <f>_xlfn.XLOOKUP(C291,products!A:A,products!B:B)</f>
        <v>SKU-0068</v>
      </c>
      <c r="J291" t="str">
        <f>_xlfn.XLOOKUP(B291,customer_orders!A:A,customer_orders!G:G)</f>
        <v>2026-w09</v>
      </c>
      <c r="K291">
        <f>IFERROR(_xlfn.XLOOKUP(B291,shipments!B:B,shipments!H:H),0)</f>
        <v>94.36</v>
      </c>
      <c r="L291">
        <f t="shared" si="13"/>
        <v>0.17</v>
      </c>
      <c r="M291" t="str">
        <f>_xlfn.XLOOKUP(B291,customer_orders!A:A,customer_orders!D:D)</f>
        <v>Ebay</v>
      </c>
      <c r="N291" t="str">
        <f>_xlfn.XLOOKUP(C291,inventory!B:B,inventory!C:C)</f>
        <v>West Valley</v>
      </c>
      <c r="O291">
        <f>IF(_xlfn.XLOOKUP(C291,products!A:A,products!E:E)="NULL",0,_xlfn.XLOOKUP(C291,products!A:A,products!E:E))</f>
        <v>23.97</v>
      </c>
      <c r="P291">
        <f t="shared" si="14"/>
        <v>531.42999999999995</v>
      </c>
      <c r="Q291" s="2" t="str">
        <f>_xlfn.XLOOKUP(I291,products!B:B,products!D:D)</f>
        <v>Sports</v>
      </c>
    </row>
    <row r="292" spans="1:17">
      <c r="A292">
        <v>291</v>
      </c>
      <c r="B292">
        <v>1119</v>
      </c>
      <c r="C292">
        <v>81</v>
      </c>
      <c r="D292">
        <v>8</v>
      </c>
      <c r="E292">
        <v>244.17</v>
      </c>
      <c r="F292">
        <v>0</v>
      </c>
      <c r="G292">
        <f t="shared" si="12"/>
        <v>1953.36</v>
      </c>
      <c r="H292" t="str">
        <f>_xlfn.XLOOKUP(B292,customer_orders!A:A,customer_orders!F:F)</f>
        <v>2026-01</v>
      </c>
      <c r="I292" t="str">
        <f>_xlfn.XLOOKUP(C292,products!A:A,products!B:B)</f>
        <v>SKU-0081</v>
      </c>
      <c r="J292" t="str">
        <f>_xlfn.XLOOKUP(B292,customer_orders!A:A,customer_orders!G:G)</f>
        <v>2026-w01</v>
      </c>
      <c r="K292">
        <f>IFERROR(_xlfn.XLOOKUP(B292,shipments!B:B,shipments!H:H),0)</f>
        <v>59.49</v>
      </c>
      <c r="L292">
        <f t="shared" si="13"/>
        <v>0.03</v>
      </c>
      <c r="M292" t="str">
        <f>_xlfn.XLOOKUP(B292,customer_orders!A:A,customer_orders!D:D)</f>
        <v>Amazon</v>
      </c>
      <c r="N292" t="str">
        <f>_xlfn.XLOOKUP(C292,inventory!B:B,inventory!C:C)</f>
        <v>Lehi</v>
      </c>
      <c r="O292">
        <f>IF(_xlfn.XLOOKUP(C292,products!A:A,products!E:E)="NULL",0,_xlfn.XLOOKUP(C292,products!A:A,products!E:E))</f>
        <v>43.3</v>
      </c>
      <c r="P292">
        <f t="shared" si="14"/>
        <v>1910.06</v>
      </c>
      <c r="Q292" s="2" t="str">
        <f>_xlfn.XLOOKUP(I292,products!B:B,products!D:D)</f>
        <v>Home</v>
      </c>
    </row>
    <row r="293" spans="1:17">
      <c r="A293">
        <v>292</v>
      </c>
      <c r="B293">
        <v>1119</v>
      </c>
      <c r="C293">
        <v>126</v>
      </c>
      <c r="D293">
        <v>3</v>
      </c>
      <c r="E293">
        <v>32.17</v>
      </c>
      <c r="F293">
        <v>0</v>
      </c>
      <c r="G293">
        <f t="shared" si="12"/>
        <v>96.51</v>
      </c>
      <c r="H293" t="str">
        <f>_xlfn.XLOOKUP(B293,customer_orders!A:A,customer_orders!F:F)</f>
        <v>2026-01</v>
      </c>
      <c r="I293" t="str">
        <f>_xlfn.XLOOKUP(C293,products!A:A,products!B:B)</f>
        <v>SKU-0126</v>
      </c>
      <c r="J293" t="str">
        <f>_xlfn.XLOOKUP(B293,customer_orders!A:A,customer_orders!G:G)</f>
        <v>2026-w01</v>
      </c>
      <c r="K293">
        <f>IFERROR(_xlfn.XLOOKUP(B293,shipments!B:B,shipments!H:H),0)</f>
        <v>59.49</v>
      </c>
      <c r="L293">
        <f t="shared" si="13"/>
        <v>0.62</v>
      </c>
      <c r="M293" t="str">
        <f>_xlfn.XLOOKUP(B293,customer_orders!A:A,customer_orders!D:D)</f>
        <v>Amazon</v>
      </c>
      <c r="N293" t="str">
        <f>_xlfn.XLOOKUP(C293,inventory!B:B,inventory!C:C)</f>
        <v>South Jordan</v>
      </c>
      <c r="O293">
        <f>IF(_xlfn.XLOOKUP(C293,products!A:A,products!E:E)="NULL",0,_xlfn.XLOOKUP(C293,products!A:A,products!E:E))</f>
        <v>104.51</v>
      </c>
      <c r="P293">
        <f t="shared" si="14"/>
        <v>-8</v>
      </c>
      <c r="Q293" s="2" t="str">
        <f>_xlfn.XLOOKUP(I293,products!B:B,products!D:D)</f>
        <v>Office</v>
      </c>
    </row>
    <row r="294" spans="1:17">
      <c r="A294">
        <v>293</v>
      </c>
      <c r="B294">
        <v>1119</v>
      </c>
      <c r="C294">
        <v>102</v>
      </c>
      <c r="D294">
        <v>4</v>
      </c>
      <c r="E294">
        <v>71.52</v>
      </c>
      <c r="F294">
        <v>0</v>
      </c>
      <c r="G294">
        <f t="shared" si="12"/>
        <v>286.08</v>
      </c>
      <c r="H294" t="str">
        <f>_xlfn.XLOOKUP(B294,customer_orders!A:A,customer_orders!F:F)</f>
        <v>2026-01</v>
      </c>
      <c r="I294" t="str">
        <f>_xlfn.XLOOKUP(C294,products!A:A,products!B:B)</f>
        <v>SKU-0102</v>
      </c>
      <c r="J294" t="str">
        <f>_xlfn.XLOOKUP(B294,customer_orders!A:A,customer_orders!G:G)</f>
        <v>2026-w01</v>
      </c>
      <c r="K294">
        <f>IFERROR(_xlfn.XLOOKUP(B294,shipments!B:B,shipments!H:H),0)</f>
        <v>59.49</v>
      </c>
      <c r="L294">
        <f t="shared" si="13"/>
        <v>0.21</v>
      </c>
      <c r="M294" t="str">
        <f>_xlfn.XLOOKUP(B294,customer_orders!A:A,customer_orders!D:D)</f>
        <v>Amazon</v>
      </c>
      <c r="N294" t="str">
        <f>_xlfn.XLOOKUP(C294,inventory!B:B,inventory!C:C)</f>
        <v>West Valley</v>
      </c>
      <c r="O294">
        <f>IF(_xlfn.XLOOKUP(C294,products!A:A,products!E:E)="NULL",0,_xlfn.XLOOKUP(C294,products!A:A,products!E:E))</f>
        <v>169.76</v>
      </c>
      <c r="P294">
        <f t="shared" si="14"/>
        <v>116.32</v>
      </c>
      <c r="Q294" s="2" t="str">
        <f>_xlfn.XLOOKUP(I294,products!B:B,products!D:D)</f>
        <v>Office</v>
      </c>
    </row>
    <row r="295" spans="1:17">
      <c r="A295">
        <v>294</v>
      </c>
      <c r="B295">
        <v>1120</v>
      </c>
      <c r="C295">
        <v>81</v>
      </c>
      <c r="D295">
        <v>1</v>
      </c>
      <c r="E295">
        <v>244.17</v>
      </c>
      <c r="F295">
        <v>0</v>
      </c>
      <c r="G295">
        <f t="shared" si="12"/>
        <v>244.17</v>
      </c>
      <c r="H295" t="str">
        <f>_xlfn.XLOOKUP(B295,customer_orders!A:A,customer_orders!F:F)</f>
        <v>2026-02</v>
      </c>
      <c r="I295" t="str">
        <f>_xlfn.XLOOKUP(C295,products!A:A,products!B:B)</f>
        <v>SKU-0081</v>
      </c>
      <c r="J295" t="str">
        <f>_xlfn.XLOOKUP(B295,customer_orders!A:A,customer_orders!G:G)</f>
        <v>2026-w07</v>
      </c>
      <c r="K295">
        <f>IFERROR(_xlfn.XLOOKUP(B295,shipments!B:B,shipments!H:H),0)</f>
        <v>46.35</v>
      </c>
      <c r="L295">
        <f t="shared" si="13"/>
        <v>0.19</v>
      </c>
      <c r="M295" t="str">
        <f>_xlfn.XLOOKUP(B295,customer_orders!A:A,customer_orders!D:D)</f>
        <v>Amazon</v>
      </c>
      <c r="N295" t="str">
        <f>_xlfn.XLOOKUP(C295,inventory!B:B,inventory!C:C)</f>
        <v>Lehi</v>
      </c>
      <c r="O295">
        <f>IF(_xlfn.XLOOKUP(C295,products!A:A,products!E:E)="NULL",0,_xlfn.XLOOKUP(C295,products!A:A,products!E:E))</f>
        <v>43.3</v>
      </c>
      <c r="P295">
        <f t="shared" si="14"/>
        <v>200.87</v>
      </c>
      <c r="Q295" s="2" t="str">
        <f>_xlfn.XLOOKUP(I295,products!B:B,products!D:D)</f>
        <v>Home</v>
      </c>
    </row>
    <row r="296" spans="1:17">
      <c r="A296">
        <v>295</v>
      </c>
      <c r="B296">
        <v>1120</v>
      </c>
      <c r="C296">
        <v>98</v>
      </c>
      <c r="D296">
        <v>2</v>
      </c>
      <c r="E296">
        <v>285.64</v>
      </c>
      <c r="F296">
        <v>0</v>
      </c>
      <c r="G296">
        <f t="shared" si="12"/>
        <v>571.28</v>
      </c>
      <c r="H296" t="str">
        <f>_xlfn.XLOOKUP(B296,customer_orders!A:A,customer_orders!F:F)</f>
        <v>2026-02</v>
      </c>
      <c r="I296" t="str">
        <f>_xlfn.XLOOKUP(C296,products!A:A,products!B:B)</f>
        <v>SKU-0098</v>
      </c>
      <c r="J296" t="str">
        <f>_xlfn.XLOOKUP(B296,customer_orders!A:A,customer_orders!G:G)</f>
        <v>2026-w07</v>
      </c>
      <c r="K296">
        <f>IFERROR(_xlfn.XLOOKUP(B296,shipments!B:B,shipments!H:H),0)</f>
        <v>46.35</v>
      </c>
      <c r="L296">
        <f t="shared" si="13"/>
        <v>0.08</v>
      </c>
      <c r="M296" t="str">
        <f>_xlfn.XLOOKUP(B296,customer_orders!A:A,customer_orders!D:D)</f>
        <v>Amazon</v>
      </c>
      <c r="N296" t="str">
        <f>_xlfn.XLOOKUP(C296,inventory!B:B,inventory!C:C)</f>
        <v>South Jordan</v>
      </c>
      <c r="O296">
        <f>IF(_xlfn.XLOOKUP(C296,products!A:A,products!E:E)="NULL",0,_xlfn.XLOOKUP(C296,products!A:A,products!E:E))</f>
        <v>136.99</v>
      </c>
      <c r="P296">
        <f t="shared" si="14"/>
        <v>434.28999999999996</v>
      </c>
      <c r="Q296" s="2" t="str">
        <f>_xlfn.XLOOKUP(I296,products!B:B,products!D:D)</f>
        <v>Home</v>
      </c>
    </row>
    <row r="297" spans="1:17">
      <c r="A297">
        <v>296</v>
      </c>
      <c r="B297">
        <v>1120</v>
      </c>
      <c r="C297">
        <v>48</v>
      </c>
      <c r="D297">
        <v>5</v>
      </c>
      <c r="E297">
        <v>299.56</v>
      </c>
      <c r="F297">
        <v>4.32</v>
      </c>
      <c r="G297">
        <f t="shared" si="12"/>
        <v>1493.48</v>
      </c>
      <c r="H297" t="str">
        <f>_xlfn.XLOOKUP(B297,customer_orders!A:A,customer_orders!F:F)</f>
        <v>2026-02</v>
      </c>
      <c r="I297" t="str">
        <f>_xlfn.XLOOKUP(C297,products!A:A,products!B:B)</f>
        <v>SKU-0048</v>
      </c>
      <c r="J297" t="str">
        <f>_xlfn.XLOOKUP(B297,customer_orders!A:A,customer_orders!G:G)</f>
        <v>2026-w07</v>
      </c>
      <c r="K297">
        <f>IFERROR(_xlfn.XLOOKUP(B297,shipments!B:B,shipments!H:H),0)</f>
        <v>46.35</v>
      </c>
      <c r="L297">
        <f t="shared" si="13"/>
        <v>0.03</v>
      </c>
      <c r="M297" t="str">
        <f>_xlfn.XLOOKUP(B297,customer_orders!A:A,customer_orders!D:D)</f>
        <v>Amazon</v>
      </c>
      <c r="N297" t="str">
        <f>_xlfn.XLOOKUP(C297,inventory!B:B,inventory!C:C)</f>
        <v>Salt Lake City</v>
      </c>
      <c r="O297">
        <f>IF(_xlfn.XLOOKUP(C297,products!A:A,products!E:E)="NULL",0,_xlfn.XLOOKUP(C297,products!A:A,products!E:E))</f>
        <v>85.2</v>
      </c>
      <c r="P297">
        <f t="shared" si="14"/>
        <v>1408.28</v>
      </c>
      <c r="Q297" s="2" t="str">
        <f>_xlfn.XLOOKUP(I297,products!B:B,products!D:D)</f>
        <v>Home</v>
      </c>
    </row>
    <row r="298" spans="1:17">
      <c r="A298">
        <v>297</v>
      </c>
      <c r="B298">
        <v>1120</v>
      </c>
      <c r="C298">
        <v>88</v>
      </c>
      <c r="D298">
        <v>6</v>
      </c>
      <c r="E298">
        <v>109.3</v>
      </c>
      <c r="F298">
        <v>3.57</v>
      </c>
      <c r="G298">
        <f t="shared" si="12"/>
        <v>652.2299999999999</v>
      </c>
      <c r="H298" t="str">
        <f>_xlfn.XLOOKUP(B298,customer_orders!A:A,customer_orders!F:F)</f>
        <v>2026-02</v>
      </c>
      <c r="I298" t="str">
        <f>_xlfn.XLOOKUP(C298,products!A:A,products!B:B)</f>
        <v>SKU-0088</v>
      </c>
      <c r="J298" t="str">
        <f>_xlfn.XLOOKUP(B298,customer_orders!A:A,customer_orders!G:G)</f>
        <v>2026-w07</v>
      </c>
      <c r="K298">
        <f>IFERROR(_xlfn.XLOOKUP(B298,shipments!B:B,shipments!H:H),0)</f>
        <v>46.35</v>
      </c>
      <c r="L298">
        <f t="shared" si="13"/>
        <v>7.0000000000000007E-2</v>
      </c>
      <c r="M298" t="str">
        <f>_xlfn.XLOOKUP(B298,customer_orders!A:A,customer_orders!D:D)</f>
        <v>Amazon</v>
      </c>
      <c r="N298" t="str">
        <f>_xlfn.XLOOKUP(C298,inventory!B:B,inventory!C:C)</f>
        <v>Salt Lake City</v>
      </c>
      <c r="O298">
        <f>IF(_xlfn.XLOOKUP(C298,products!A:A,products!E:E)="NULL",0,_xlfn.XLOOKUP(C298,products!A:A,products!E:E))</f>
        <v>77.599999999999994</v>
      </c>
      <c r="P298">
        <f t="shared" si="14"/>
        <v>574.62999999999988</v>
      </c>
      <c r="Q298" s="2" t="str">
        <f>_xlfn.XLOOKUP(I298,products!B:B,products!D:D)</f>
        <v>Beauty</v>
      </c>
    </row>
    <row r="299" spans="1:17">
      <c r="A299">
        <v>298</v>
      </c>
      <c r="B299">
        <v>1121</v>
      </c>
      <c r="C299">
        <v>70</v>
      </c>
      <c r="D299">
        <v>4</v>
      </c>
      <c r="E299">
        <v>244.86</v>
      </c>
      <c r="F299">
        <v>8.77</v>
      </c>
      <c r="G299">
        <f t="shared" si="12"/>
        <v>970.67000000000007</v>
      </c>
      <c r="H299" t="str">
        <f>_xlfn.XLOOKUP(B299,customer_orders!A:A,customer_orders!F:F)</f>
        <v>2026-02</v>
      </c>
      <c r="I299" t="str">
        <f>_xlfn.XLOOKUP(C299,products!A:A,products!B:B)</f>
        <v>SKU-0070</v>
      </c>
      <c r="J299" t="str">
        <f>_xlfn.XLOOKUP(B299,customer_orders!A:A,customer_orders!G:G)</f>
        <v>2026-w06</v>
      </c>
      <c r="K299">
        <f>IFERROR(_xlfn.XLOOKUP(B299,shipments!B:B,shipments!H:H),0)</f>
        <v>531.84</v>
      </c>
      <c r="L299">
        <f t="shared" si="13"/>
        <v>0.55000000000000004</v>
      </c>
      <c r="M299" t="str">
        <f>_xlfn.XLOOKUP(B299,customer_orders!A:A,customer_orders!D:D)</f>
        <v>Shopify</v>
      </c>
      <c r="N299" t="str">
        <f>_xlfn.XLOOKUP(C299,inventory!B:B,inventory!C:C)</f>
        <v>Lehi</v>
      </c>
      <c r="O299">
        <f>IF(_xlfn.XLOOKUP(C299,products!A:A,products!E:E)="NULL",0,_xlfn.XLOOKUP(C299,products!A:A,products!E:E))</f>
        <v>95.99</v>
      </c>
      <c r="P299">
        <f t="shared" si="14"/>
        <v>874.68000000000006</v>
      </c>
      <c r="Q299" s="2" t="str">
        <f>_xlfn.XLOOKUP(I299,products!B:B,products!D:D)</f>
        <v>Office</v>
      </c>
    </row>
    <row r="300" spans="1:17">
      <c r="A300">
        <v>299</v>
      </c>
      <c r="B300">
        <v>1122</v>
      </c>
      <c r="C300">
        <v>102</v>
      </c>
      <c r="D300">
        <v>2</v>
      </c>
      <c r="E300">
        <v>71.52</v>
      </c>
      <c r="F300">
        <v>0</v>
      </c>
      <c r="G300">
        <f t="shared" si="12"/>
        <v>143.04</v>
      </c>
      <c r="H300" t="str">
        <f>_xlfn.XLOOKUP(B300,customer_orders!A:A,customer_orders!F:F)</f>
        <v>2026-03</v>
      </c>
      <c r="I300" t="str">
        <f>_xlfn.XLOOKUP(C300,products!A:A,products!B:B)</f>
        <v>SKU-0102</v>
      </c>
      <c r="J300" t="str">
        <f>_xlfn.XLOOKUP(B300,customer_orders!A:A,customer_orders!G:G)</f>
        <v>2026-w12</v>
      </c>
      <c r="K300">
        <f>IFERROR(_xlfn.XLOOKUP(B300,shipments!B:B,shipments!H:H),0)</f>
        <v>0</v>
      </c>
      <c r="L300">
        <f t="shared" si="13"/>
        <v>0</v>
      </c>
      <c r="M300" t="str">
        <f>_xlfn.XLOOKUP(B300,customer_orders!A:A,customer_orders!D:D)</f>
        <v>Amazon</v>
      </c>
      <c r="N300" t="str">
        <f>_xlfn.XLOOKUP(C300,inventory!B:B,inventory!C:C)</f>
        <v>West Valley</v>
      </c>
      <c r="O300">
        <f>IF(_xlfn.XLOOKUP(C300,products!A:A,products!E:E)="NULL",0,_xlfn.XLOOKUP(C300,products!A:A,products!E:E))</f>
        <v>169.76</v>
      </c>
      <c r="P300">
        <f t="shared" si="14"/>
        <v>-26.72</v>
      </c>
      <c r="Q300" s="2" t="str">
        <f>_xlfn.XLOOKUP(I300,products!B:B,products!D:D)</f>
        <v>Office</v>
      </c>
    </row>
    <row r="301" spans="1:17">
      <c r="A301">
        <v>300</v>
      </c>
      <c r="B301">
        <v>1123</v>
      </c>
      <c r="C301">
        <v>86</v>
      </c>
      <c r="D301">
        <v>5</v>
      </c>
      <c r="E301">
        <v>81.83</v>
      </c>
      <c r="F301">
        <v>0</v>
      </c>
      <c r="G301">
        <f t="shared" si="12"/>
        <v>409.15</v>
      </c>
      <c r="H301" t="str">
        <f>_xlfn.XLOOKUP(B301,customer_orders!A:A,customer_orders!F:F)</f>
        <v>2026-03</v>
      </c>
      <c r="I301" t="str">
        <f>_xlfn.XLOOKUP(C301,products!A:A,products!B:B)</f>
        <v>SKU-0086</v>
      </c>
      <c r="J301" t="str">
        <f>_xlfn.XLOOKUP(B301,customer_orders!A:A,customer_orders!G:G)</f>
        <v>2026-w10</v>
      </c>
      <c r="K301">
        <f>IFERROR(_xlfn.XLOOKUP(B301,shipments!B:B,shipments!H:H),0)</f>
        <v>75.180000000000007</v>
      </c>
      <c r="L301">
        <f t="shared" si="13"/>
        <v>0.18</v>
      </c>
      <c r="M301" t="str">
        <f>_xlfn.XLOOKUP(B301,customer_orders!A:A,customer_orders!D:D)</f>
        <v>Shopify</v>
      </c>
      <c r="N301" t="str">
        <f>_xlfn.XLOOKUP(C301,inventory!B:B,inventory!C:C)</f>
        <v>Draper</v>
      </c>
      <c r="O301">
        <f>IF(_xlfn.XLOOKUP(C301,products!A:A,products!E:E)="NULL",0,_xlfn.XLOOKUP(C301,products!A:A,products!E:E))</f>
        <v>129.87</v>
      </c>
      <c r="P301">
        <f t="shared" si="14"/>
        <v>279.27999999999997</v>
      </c>
      <c r="Q301" s="2" t="str">
        <f>_xlfn.XLOOKUP(I301,products!B:B,products!D:D)</f>
        <v>Pet</v>
      </c>
    </row>
    <row r="302" spans="1:17">
      <c r="A302">
        <v>301</v>
      </c>
      <c r="B302">
        <v>1123</v>
      </c>
      <c r="C302">
        <v>89</v>
      </c>
      <c r="D302">
        <v>1</v>
      </c>
      <c r="E302">
        <v>126</v>
      </c>
      <c r="F302">
        <v>0</v>
      </c>
      <c r="G302">
        <f t="shared" si="12"/>
        <v>126</v>
      </c>
      <c r="H302" t="str">
        <f>_xlfn.XLOOKUP(B302,customer_orders!A:A,customer_orders!F:F)</f>
        <v>2026-03</v>
      </c>
      <c r="I302" t="str">
        <f>_xlfn.XLOOKUP(C302,products!A:A,products!B:B)</f>
        <v>SKU-0089</v>
      </c>
      <c r="J302" t="str">
        <f>_xlfn.XLOOKUP(B302,customer_orders!A:A,customer_orders!G:G)</f>
        <v>2026-w10</v>
      </c>
      <c r="K302">
        <f>IFERROR(_xlfn.XLOOKUP(B302,shipments!B:B,shipments!H:H),0)</f>
        <v>75.180000000000007</v>
      </c>
      <c r="L302">
        <f t="shared" si="13"/>
        <v>0.6</v>
      </c>
      <c r="M302" t="str">
        <f>_xlfn.XLOOKUP(B302,customer_orders!A:A,customer_orders!D:D)</f>
        <v>Shopify</v>
      </c>
      <c r="N302" t="str">
        <f>_xlfn.XLOOKUP(C302,inventory!B:B,inventory!C:C)</f>
        <v>South Jordan</v>
      </c>
      <c r="O302">
        <f>IF(_xlfn.XLOOKUP(C302,products!A:A,products!E:E)="NULL",0,_xlfn.XLOOKUP(C302,products!A:A,products!E:E))</f>
        <v>150.76</v>
      </c>
      <c r="P302">
        <f t="shared" si="14"/>
        <v>-24.759999999999991</v>
      </c>
      <c r="Q302" s="2" t="str">
        <f>_xlfn.XLOOKUP(I302,products!B:B,products!D:D)</f>
        <v>Electronics</v>
      </c>
    </row>
    <row r="303" spans="1:17">
      <c r="A303">
        <v>302</v>
      </c>
      <c r="B303">
        <v>1123</v>
      </c>
      <c r="C303">
        <v>51</v>
      </c>
      <c r="D303">
        <v>3</v>
      </c>
      <c r="E303">
        <v>204.07</v>
      </c>
      <c r="F303">
        <v>0</v>
      </c>
      <c r="G303">
        <f t="shared" si="12"/>
        <v>612.21</v>
      </c>
      <c r="H303" t="str">
        <f>_xlfn.XLOOKUP(B303,customer_orders!A:A,customer_orders!F:F)</f>
        <v>2026-03</v>
      </c>
      <c r="I303" t="str">
        <f>_xlfn.XLOOKUP(C303,products!A:A,products!B:B)</f>
        <v>SKU-0051</v>
      </c>
      <c r="J303" t="str">
        <f>_xlfn.XLOOKUP(B303,customer_orders!A:A,customer_orders!G:G)</f>
        <v>2026-w10</v>
      </c>
      <c r="K303">
        <f>IFERROR(_xlfn.XLOOKUP(B303,shipments!B:B,shipments!H:H),0)</f>
        <v>75.180000000000007</v>
      </c>
      <c r="L303">
        <f t="shared" si="13"/>
        <v>0.12</v>
      </c>
      <c r="M303" t="str">
        <f>_xlfn.XLOOKUP(B303,customer_orders!A:A,customer_orders!D:D)</f>
        <v>Shopify</v>
      </c>
      <c r="N303" t="str">
        <f>_xlfn.XLOOKUP(C303,inventory!B:B,inventory!C:C)</f>
        <v>South Jordan</v>
      </c>
      <c r="O303">
        <f>IF(_xlfn.XLOOKUP(C303,products!A:A,products!E:E)="NULL",0,_xlfn.XLOOKUP(C303,products!A:A,products!E:E))</f>
        <v>57.39</v>
      </c>
      <c r="P303">
        <f t="shared" si="14"/>
        <v>554.82000000000005</v>
      </c>
      <c r="Q303" s="2" t="str">
        <f>_xlfn.XLOOKUP(I303,products!B:B,products!D:D)</f>
        <v>Electronics</v>
      </c>
    </row>
    <row r="304" spans="1:17">
      <c r="A304">
        <v>303</v>
      </c>
      <c r="B304">
        <v>1123</v>
      </c>
      <c r="C304">
        <v>91</v>
      </c>
      <c r="D304">
        <v>6</v>
      </c>
      <c r="E304">
        <v>170.65</v>
      </c>
      <c r="F304">
        <v>10.42</v>
      </c>
      <c r="G304">
        <f t="shared" si="12"/>
        <v>1013.4800000000001</v>
      </c>
      <c r="H304" t="str">
        <f>_xlfn.XLOOKUP(B304,customer_orders!A:A,customer_orders!F:F)</f>
        <v>2026-03</v>
      </c>
      <c r="I304" t="str">
        <f>_xlfn.XLOOKUP(C304,products!A:A,products!B:B)</f>
        <v>SKU-0091</v>
      </c>
      <c r="J304" t="str">
        <f>_xlfn.XLOOKUP(B304,customer_orders!A:A,customer_orders!G:G)</f>
        <v>2026-w10</v>
      </c>
      <c r="K304">
        <f>IFERROR(_xlfn.XLOOKUP(B304,shipments!B:B,shipments!H:H),0)</f>
        <v>75.180000000000007</v>
      </c>
      <c r="L304">
        <f t="shared" si="13"/>
        <v>7.0000000000000007E-2</v>
      </c>
      <c r="M304" t="str">
        <f>_xlfn.XLOOKUP(B304,customer_orders!A:A,customer_orders!D:D)</f>
        <v>Shopify</v>
      </c>
      <c r="N304" t="str">
        <f>_xlfn.XLOOKUP(C304,inventory!B:B,inventory!C:C)</f>
        <v>Salt Lake City</v>
      </c>
      <c r="O304">
        <f>IF(_xlfn.XLOOKUP(C304,products!A:A,products!E:E)="NULL",0,_xlfn.XLOOKUP(C304,products!A:A,products!E:E))</f>
        <v>135.82</v>
      </c>
      <c r="P304">
        <f t="shared" si="14"/>
        <v>877.66000000000008</v>
      </c>
      <c r="Q304" s="2" t="str">
        <f>_xlfn.XLOOKUP(I304,products!B:B,products!D:D)</f>
        <v>Office</v>
      </c>
    </row>
    <row r="305" spans="1:17">
      <c r="A305">
        <v>304</v>
      </c>
      <c r="B305">
        <v>1124</v>
      </c>
      <c r="C305">
        <v>19</v>
      </c>
      <c r="D305">
        <v>2</v>
      </c>
      <c r="E305">
        <v>298.89</v>
      </c>
      <c r="F305">
        <v>0</v>
      </c>
      <c r="G305">
        <f t="shared" si="12"/>
        <v>597.78</v>
      </c>
      <c r="H305" t="str">
        <f>_xlfn.XLOOKUP(B305,customer_orders!A:A,customer_orders!F:F)</f>
        <v>2026-04</v>
      </c>
      <c r="I305" t="str">
        <f>_xlfn.XLOOKUP(C305,products!A:A,products!B:B)</f>
        <v>SKU-0019</v>
      </c>
      <c r="J305" t="str">
        <f>_xlfn.XLOOKUP(B305,customer_orders!A:A,customer_orders!G:G)</f>
        <v>2026-w16</v>
      </c>
      <c r="K305">
        <f>IFERROR(_xlfn.XLOOKUP(B305,shipments!B:B,shipments!H:H),0)</f>
        <v>80.790000000000006</v>
      </c>
      <c r="L305">
        <f t="shared" si="13"/>
        <v>0.14000000000000001</v>
      </c>
      <c r="M305" t="str">
        <f>_xlfn.XLOOKUP(B305,customer_orders!A:A,customer_orders!D:D)</f>
        <v>Amazon</v>
      </c>
      <c r="N305" t="str">
        <f>_xlfn.XLOOKUP(C305,inventory!B:B,inventory!C:C)</f>
        <v>South Jordan</v>
      </c>
      <c r="O305">
        <f>IF(_xlfn.XLOOKUP(C305,products!A:A,products!E:E)="NULL",0,_xlfn.XLOOKUP(C305,products!A:A,products!E:E))</f>
        <v>71.78</v>
      </c>
      <c r="P305">
        <f t="shared" si="14"/>
        <v>526</v>
      </c>
      <c r="Q305" s="2" t="str">
        <f>_xlfn.XLOOKUP(I305,products!B:B,products!D:D)</f>
        <v>Home</v>
      </c>
    </row>
    <row r="306" spans="1:17">
      <c r="A306">
        <v>305</v>
      </c>
      <c r="B306">
        <v>1124</v>
      </c>
      <c r="C306">
        <v>81</v>
      </c>
      <c r="D306">
        <v>6</v>
      </c>
      <c r="E306">
        <v>244.17</v>
      </c>
      <c r="F306">
        <v>0</v>
      </c>
      <c r="G306">
        <f t="shared" si="12"/>
        <v>1465.02</v>
      </c>
      <c r="H306" t="str">
        <f>_xlfn.XLOOKUP(B306,customer_orders!A:A,customer_orders!F:F)</f>
        <v>2026-04</v>
      </c>
      <c r="I306" t="str">
        <f>_xlfn.XLOOKUP(C306,products!A:A,products!B:B)</f>
        <v>SKU-0081</v>
      </c>
      <c r="J306" t="str">
        <f>_xlfn.XLOOKUP(B306,customer_orders!A:A,customer_orders!G:G)</f>
        <v>2026-w16</v>
      </c>
      <c r="K306">
        <f>IFERROR(_xlfn.XLOOKUP(B306,shipments!B:B,shipments!H:H),0)</f>
        <v>80.790000000000006</v>
      </c>
      <c r="L306">
        <f t="shared" si="13"/>
        <v>0.06</v>
      </c>
      <c r="M306" t="str">
        <f>_xlfn.XLOOKUP(B306,customer_orders!A:A,customer_orders!D:D)</f>
        <v>Amazon</v>
      </c>
      <c r="N306" t="str">
        <f>_xlfn.XLOOKUP(C306,inventory!B:B,inventory!C:C)</f>
        <v>Lehi</v>
      </c>
      <c r="O306">
        <f>IF(_xlfn.XLOOKUP(C306,products!A:A,products!E:E)="NULL",0,_xlfn.XLOOKUP(C306,products!A:A,products!E:E))</f>
        <v>43.3</v>
      </c>
      <c r="P306">
        <f t="shared" si="14"/>
        <v>1421.72</v>
      </c>
      <c r="Q306" s="2" t="str">
        <f>_xlfn.XLOOKUP(I306,products!B:B,products!D:D)</f>
        <v>Home</v>
      </c>
    </row>
    <row r="307" spans="1:17">
      <c r="A307">
        <v>306</v>
      </c>
      <c r="B307">
        <v>1124</v>
      </c>
      <c r="C307">
        <v>102</v>
      </c>
      <c r="D307">
        <v>5</v>
      </c>
      <c r="E307">
        <v>71.52</v>
      </c>
      <c r="F307">
        <v>0</v>
      </c>
      <c r="G307">
        <f t="shared" si="12"/>
        <v>357.59999999999997</v>
      </c>
      <c r="H307" t="str">
        <f>_xlfn.XLOOKUP(B307,customer_orders!A:A,customer_orders!F:F)</f>
        <v>2026-04</v>
      </c>
      <c r="I307" t="str">
        <f>_xlfn.XLOOKUP(C307,products!A:A,products!B:B)</f>
        <v>SKU-0102</v>
      </c>
      <c r="J307" t="str">
        <f>_xlfn.XLOOKUP(B307,customer_orders!A:A,customer_orders!G:G)</f>
        <v>2026-w16</v>
      </c>
      <c r="K307">
        <f>IFERROR(_xlfn.XLOOKUP(B307,shipments!B:B,shipments!H:H),0)</f>
        <v>80.790000000000006</v>
      </c>
      <c r="L307">
        <f t="shared" si="13"/>
        <v>0.23</v>
      </c>
      <c r="M307" t="str">
        <f>_xlfn.XLOOKUP(B307,customer_orders!A:A,customer_orders!D:D)</f>
        <v>Amazon</v>
      </c>
      <c r="N307" t="str">
        <f>_xlfn.XLOOKUP(C307,inventory!B:B,inventory!C:C)</f>
        <v>West Valley</v>
      </c>
      <c r="O307">
        <f>IF(_xlfn.XLOOKUP(C307,products!A:A,products!E:E)="NULL",0,_xlfn.XLOOKUP(C307,products!A:A,products!E:E))</f>
        <v>169.76</v>
      </c>
      <c r="P307">
        <f t="shared" si="14"/>
        <v>187.83999999999997</v>
      </c>
      <c r="Q307" s="2" t="str">
        <f>_xlfn.XLOOKUP(I307,products!B:B,products!D:D)</f>
        <v>Office</v>
      </c>
    </row>
    <row r="308" spans="1:17">
      <c r="A308">
        <v>307</v>
      </c>
      <c r="B308">
        <v>1124</v>
      </c>
      <c r="C308">
        <v>134</v>
      </c>
      <c r="D308">
        <v>8</v>
      </c>
      <c r="E308">
        <v>26.36</v>
      </c>
      <c r="F308">
        <v>0</v>
      </c>
      <c r="G308">
        <f t="shared" si="12"/>
        <v>210.88</v>
      </c>
      <c r="H308" t="str">
        <f>_xlfn.XLOOKUP(B308,customer_orders!A:A,customer_orders!F:F)</f>
        <v>2026-04</v>
      </c>
      <c r="I308" t="str">
        <f>_xlfn.XLOOKUP(C308,products!A:A,products!B:B)</f>
        <v>SKU-0134</v>
      </c>
      <c r="J308" t="str">
        <f>_xlfn.XLOOKUP(B308,customer_orders!A:A,customer_orders!G:G)</f>
        <v>2026-w16</v>
      </c>
      <c r="K308">
        <f>IFERROR(_xlfn.XLOOKUP(B308,shipments!B:B,shipments!H:H),0)</f>
        <v>80.790000000000006</v>
      </c>
      <c r="L308">
        <f t="shared" si="13"/>
        <v>0.38</v>
      </c>
      <c r="M308" t="str">
        <f>_xlfn.XLOOKUP(B308,customer_orders!A:A,customer_orders!D:D)</f>
        <v>Amazon</v>
      </c>
      <c r="N308" t="str">
        <f>_xlfn.XLOOKUP(C308,inventory!B:B,inventory!C:C)</f>
        <v>Draper</v>
      </c>
      <c r="O308">
        <f>IF(_xlfn.XLOOKUP(C308,products!A:A,products!E:E)="NULL",0,_xlfn.XLOOKUP(C308,products!A:A,products!E:E))</f>
        <v>19.079999999999998</v>
      </c>
      <c r="P308">
        <f t="shared" si="14"/>
        <v>191.8</v>
      </c>
      <c r="Q308" s="2" t="str">
        <f>_xlfn.XLOOKUP(I308,products!B:B,products!D:D)</f>
        <v>Pet</v>
      </c>
    </row>
    <row r="309" spans="1:17">
      <c r="A309">
        <v>308</v>
      </c>
      <c r="B309">
        <v>1125</v>
      </c>
      <c r="C309">
        <v>122</v>
      </c>
      <c r="D309">
        <v>1</v>
      </c>
      <c r="E309">
        <v>151.15</v>
      </c>
      <c r="F309">
        <v>1.37</v>
      </c>
      <c r="G309">
        <f t="shared" si="12"/>
        <v>149.78</v>
      </c>
      <c r="H309" t="str">
        <f>_xlfn.XLOOKUP(B309,customer_orders!A:A,customer_orders!F:F)</f>
        <v>2026-02</v>
      </c>
      <c r="I309" t="str">
        <f>_xlfn.XLOOKUP(C309,products!A:A,products!B:B)</f>
        <v>SKU-0122</v>
      </c>
      <c r="J309" t="str">
        <f>_xlfn.XLOOKUP(B309,customer_orders!A:A,customer_orders!G:G)</f>
        <v>2026-w07</v>
      </c>
      <c r="K309">
        <f>IFERROR(_xlfn.XLOOKUP(B309,shipments!B:B,shipments!H:H),0)</f>
        <v>34.44</v>
      </c>
      <c r="L309">
        <f t="shared" si="13"/>
        <v>0.23</v>
      </c>
      <c r="M309" t="str">
        <f>_xlfn.XLOOKUP(B309,customer_orders!A:A,customer_orders!D:D)</f>
        <v>Amazon</v>
      </c>
      <c r="N309" t="str">
        <f>_xlfn.XLOOKUP(C309,inventory!B:B,inventory!C:C)</f>
        <v>South Jordan</v>
      </c>
      <c r="O309">
        <f>IF(_xlfn.XLOOKUP(C309,products!A:A,products!E:E)="NULL",0,_xlfn.XLOOKUP(C309,products!A:A,products!E:E))</f>
        <v>169.69</v>
      </c>
      <c r="P309">
        <f t="shared" si="14"/>
        <v>-19.909999999999997</v>
      </c>
      <c r="Q309" s="2" t="str">
        <f>_xlfn.XLOOKUP(I309,products!B:B,products!D:D)</f>
        <v>Electronics</v>
      </c>
    </row>
    <row r="310" spans="1:17">
      <c r="A310">
        <v>309</v>
      </c>
      <c r="B310">
        <v>1126</v>
      </c>
      <c r="C310">
        <v>33</v>
      </c>
      <c r="D310">
        <v>3</v>
      </c>
      <c r="E310">
        <v>42.63</v>
      </c>
      <c r="F310">
        <v>0</v>
      </c>
      <c r="G310">
        <f t="shared" si="12"/>
        <v>127.89000000000001</v>
      </c>
      <c r="H310" t="str">
        <f>_xlfn.XLOOKUP(B310,customer_orders!A:A,customer_orders!F:F)</f>
        <v>2026-02</v>
      </c>
      <c r="I310" t="str">
        <f>_xlfn.XLOOKUP(C310,products!A:A,products!B:B)</f>
        <v>SKU-0033</v>
      </c>
      <c r="J310" t="str">
        <f>_xlfn.XLOOKUP(B310,customer_orders!A:A,customer_orders!G:G)</f>
        <v>2026-w09</v>
      </c>
      <c r="K310">
        <f>IFERROR(_xlfn.XLOOKUP(B310,shipments!B:B,shipments!H:H),0)</f>
        <v>77.2</v>
      </c>
      <c r="L310">
        <f t="shared" si="13"/>
        <v>0.6</v>
      </c>
      <c r="M310" t="str">
        <f>_xlfn.XLOOKUP(B310,customer_orders!A:A,customer_orders!D:D)</f>
        <v>Shopify</v>
      </c>
      <c r="N310" t="str">
        <f>_xlfn.XLOOKUP(C310,inventory!B:B,inventory!C:C)</f>
        <v>South Jordan</v>
      </c>
      <c r="O310">
        <f>IF(_xlfn.XLOOKUP(C310,products!A:A,products!E:E)="NULL",0,_xlfn.XLOOKUP(C310,products!A:A,products!E:E))</f>
        <v>38.32</v>
      </c>
      <c r="P310">
        <f t="shared" si="14"/>
        <v>89.570000000000022</v>
      </c>
      <c r="Q310" s="2" t="str">
        <f>_xlfn.XLOOKUP(I310,products!B:B,products!D:D)</f>
        <v>Pet</v>
      </c>
    </row>
    <row r="311" spans="1:17">
      <c r="A311">
        <v>310</v>
      </c>
      <c r="B311">
        <v>1126</v>
      </c>
      <c r="C311">
        <v>8</v>
      </c>
      <c r="D311">
        <v>1</v>
      </c>
      <c r="E311">
        <v>118.07</v>
      </c>
      <c r="F311">
        <v>0</v>
      </c>
      <c r="G311">
        <f t="shared" si="12"/>
        <v>118.07</v>
      </c>
      <c r="H311" t="str">
        <f>_xlfn.XLOOKUP(B311,customer_orders!A:A,customer_orders!F:F)</f>
        <v>2026-02</v>
      </c>
      <c r="I311" t="str">
        <f>_xlfn.XLOOKUP(C311,products!A:A,products!B:B)</f>
        <v>SKU-0008</v>
      </c>
      <c r="J311" t="str">
        <f>_xlfn.XLOOKUP(B311,customer_orders!A:A,customer_orders!G:G)</f>
        <v>2026-w09</v>
      </c>
      <c r="K311">
        <f>IFERROR(_xlfn.XLOOKUP(B311,shipments!B:B,shipments!H:H),0)</f>
        <v>77.2</v>
      </c>
      <c r="L311">
        <f t="shared" si="13"/>
        <v>0.65</v>
      </c>
      <c r="M311" t="str">
        <f>_xlfn.XLOOKUP(B311,customer_orders!A:A,customer_orders!D:D)</f>
        <v>Shopify</v>
      </c>
      <c r="N311" t="str">
        <f>_xlfn.XLOOKUP(C311,inventory!B:B,inventory!C:C)</f>
        <v>Salt Lake City</v>
      </c>
      <c r="O311">
        <f>IF(_xlfn.XLOOKUP(C311,products!A:A,products!E:E)="NULL",0,_xlfn.XLOOKUP(C311,products!A:A,products!E:E))</f>
        <v>159.94999999999999</v>
      </c>
      <c r="P311">
        <f t="shared" si="14"/>
        <v>-41.879999999999995</v>
      </c>
      <c r="Q311" s="2" t="str">
        <f>_xlfn.XLOOKUP(I311,products!B:B,products!D:D)</f>
        <v>Sports</v>
      </c>
    </row>
    <row r="312" spans="1:17">
      <c r="A312">
        <v>311</v>
      </c>
      <c r="B312">
        <v>1126</v>
      </c>
      <c r="C312">
        <v>122</v>
      </c>
      <c r="D312">
        <v>8</v>
      </c>
      <c r="E312">
        <v>151.15</v>
      </c>
      <c r="F312">
        <v>0</v>
      </c>
      <c r="G312">
        <f t="shared" si="12"/>
        <v>1209.2</v>
      </c>
      <c r="H312" t="str">
        <f>_xlfn.XLOOKUP(B312,customer_orders!A:A,customer_orders!F:F)</f>
        <v>2026-02</v>
      </c>
      <c r="I312" t="str">
        <f>_xlfn.XLOOKUP(C312,products!A:A,products!B:B)</f>
        <v>SKU-0122</v>
      </c>
      <c r="J312" t="str">
        <f>_xlfn.XLOOKUP(B312,customer_orders!A:A,customer_orders!G:G)</f>
        <v>2026-w09</v>
      </c>
      <c r="K312">
        <f>IFERROR(_xlfn.XLOOKUP(B312,shipments!B:B,shipments!H:H),0)</f>
        <v>77.2</v>
      </c>
      <c r="L312">
        <f t="shared" si="13"/>
        <v>0.06</v>
      </c>
      <c r="M312" t="str">
        <f>_xlfn.XLOOKUP(B312,customer_orders!A:A,customer_orders!D:D)</f>
        <v>Shopify</v>
      </c>
      <c r="N312" t="str">
        <f>_xlfn.XLOOKUP(C312,inventory!B:B,inventory!C:C)</f>
        <v>South Jordan</v>
      </c>
      <c r="O312">
        <f>IF(_xlfn.XLOOKUP(C312,products!A:A,products!E:E)="NULL",0,_xlfn.XLOOKUP(C312,products!A:A,products!E:E))</f>
        <v>169.69</v>
      </c>
      <c r="P312">
        <f t="shared" si="14"/>
        <v>1039.51</v>
      </c>
      <c r="Q312" s="2" t="str">
        <f>_xlfn.XLOOKUP(I312,products!B:B,products!D:D)</f>
        <v>Electronics</v>
      </c>
    </row>
    <row r="313" spans="1:17">
      <c r="A313">
        <v>312</v>
      </c>
      <c r="B313">
        <v>1126</v>
      </c>
      <c r="C313">
        <v>141</v>
      </c>
      <c r="D313">
        <v>8</v>
      </c>
      <c r="E313">
        <v>15.33</v>
      </c>
      <c r="F313">
        <v>0</v>
      </c>
      <c r="G313">
        <f t="shared" si="12"/>
        <v>122.64</v>
      </c>
      <c r="H313" t="str">
        <f>_xlfn.XLOOKUP(B313,customer_orders!A:A,customer_orders!F:F)</f>
        <v>2026-02</v>
      </c>
      <c r="I313" t="str">
        <f>_xlfn.XLOOKUP(C313,products!A:A,products!B:B)</f>
        <v>SKU-0141</v>
      </c>
      <c r="J313" t="str">
        <f>_xlfn.XLOOKUP(B313,customer_orders!A:A,customer_orders!G:G)</f>
        <v>2026-w09</v>
      </c>
      <c r="K313">
        <f>IFERROR(_xlfn.XLOOKUP(B313,shipments!B:B,shipments!H:H),0)</f>
        <v>77.2</v>
      </c>
      <c r="L313">
        <f t="shared" si="13"/>
        <v>0.63</v>
      </c>
      <c r="M313" t="str">
        <f>_xlfn.XLOOKUP(B313,customer_orders!A:A,customer_orders!D:D)</f>
        <v>Shopify</v>
      </c>
      <c r="N313" t="str">
        <f>_xlfn.XLOOKUP(C313,inventory!B:B,inventory!C:C)</f>
        <v>Unknown</v>
      </c>
      <c r="O313">
        <f>IF(_xlfn.XLOOKUP(C313,products!A:A,products!E:E)="NULL",0,_xlfn.XLOOKUP(C313,products!A:A,products!E:E))</f>
        <v>149.36000000000001</v>
      </c>
      <c r="P313">
        <f t="shared" si="14"/>
        <v>-26.720000000000013</v>
      </c>
      <c r="Q313" s="2" t="str">
        <f>_xlfn.XLOOKUP(I313,products!B:B,products!D:D)</f>
        <v>Office</v>
      </c>
    </row>
    <row r="314" spans="1:17">
      <c r="A314">
        <v>313</v>
      </c>
      <c r="B314">
        <v>1127</v>
      </c>
      <c r="C314">
        <v>23</v>
      </c>
      <c r="D314">
        <v>8</v>
      </c>
      <c r="E314">
        <v>58.56</v>
      </c>
      <c r="F314">
        <v>5.31</v>
      </c>
      <c r="G314">
        <f t="shared" si="12"/>
        <v>463.17</v>
      </c>
      <c r="H314" t="str">
        <f>_xlfn.XLOOKUP(B314,customer_orders!A:A,customer_orders!F:F)</f>
        <v>2026-03</v>
      </c>
      <c r="I314" t="str">
        <f>_xlfn.XLOOKUP(C314,products!A:A,products!B:B)</f>
        <v>SKU-0023</v>
      </c>
      <c r="J314" t="str">
        <f>_xlfn.XLOOKUP(B314,customer_orders!A:A,customer_orders!G:G)</f>
        <v>2026-w12</v>
      </c>
      <c r="K314">
        <f>IFERROR(_xlfn.XLOOKUP(B314,shipments!B:B,shipments!H:H),0)</f>
        <v>0</v>
      </c>
      <c r="L314">
        <f t="shared" si="13"/>
        <v>0</v>
      </c>
      <c r="M314" t="str">
        <f>_xlfn.XLOOKUP(B314,customer_orders!A:A,customer_orders!D:D)</f>
        <v>Walmart</v>
      </c>
      <c r="N314" t="str">
        <f>_xlfn.XLOOKUP(C314,inventory!B:B,inventory!C:C)</f>
        <v>Draper</v>
      </c>
      <c r="O314">
        <f>IF(_xlfn.XLOOKUP(C314,products!A:A,products!E:E)="NULL",0,_xlfn.XLOOKUP(C314,products!A:A,products!E:E))</f>
        <v>111.57</v>
      </c>
      <c r="P314">
        <f t="shared" si="14"/>
        <v>351.6</v>
      </c>
      <c r="Q314" s="2" t="str">
        <f>_xlfn.XLOOKUP(I314,products!B:B,products!D:D)</f>
        <v>Sports</v>
      </c>
    </row>
    <row r="315" spans="1:17">
      <c r="A315">
        <v>314</v>
      </c>
      <c r="B315">
        <v>1127</v>
      </c>
      <c r="C315">
        <v>67</v>
      </c>
      <c r="D315">
        <v>3</v>
      </c>
      <c r="E315">
        <v>291.56</v>
      </c>
      <c r="F315">
        <v>0</v>
      </c>
      <c r="G315">
        <f t="shared" si="12"/>
        <v>874.68000000000006</v>
      </c>
      <c r="H315" t="str">
        <f>_xlfn.XLOOKUP(B315,customer_orders!A:A,customer_orders!F:F)</f>
        <v>2026-03</v>
      </c>
      <c r="I315" t="str">
        <f>_xlfn.XLOOKUP(C315,products!A:A,products!B:B)</f>
        <v>SKU-0067</v>
      </c>
      <c r="J315" t="str">
        <f>_xlfn.XLOOKUP(B315,customer_orders!A:A,customer_orders!G:G)</f>
        <v>2026-w12</v>
      </c>
      <c r="K315">
        <f>IFERROR(_xlfn.XLOOKUP(B315,shipments!B:B,shipments!H:H),0)</f>
        <v>0</v>
      </c>
      <c r="L315">
        <f t="shared" si="13"/>
        <v>0</v>
      </c>
      <c r="M315" t="str">
        <f>_xlfn.XLOOKUP(B315,customer_orders!A:A,customer_orders!D:D)</f>
        <v>Walmart</v>
      </c>
      <c r="N315" t="str">
        <f>_xlfn.XLOOKUP(C315,inventory!B:B,inventory!C:C)</f>
        <v>West Valley</v>
      </c>
      <c r="O315">
        <f>IF(_xlfn.XLOOKUP(C315,products!A:A,products!E:E)="NULL",0,_xlfn.XLOOKUP(C315,products!A:A,products!E:E))</f>
        <v>25.18</v>
      </c>
      <c r="P315">
        <f t="shared" si="14"/>
        <v>849.50000000000011</v>
      </c>
      <c r="Q315" s="2" t="str">
        <f>_xlfn.XLOOKUP(I315,products!B:B,products!D:D)</f>
        <v>Kitchen</v>
      </c>
    </row>
    <row r="316" spans="1:17">
      <c r="A316">
        <v>315</v>
      </c>
      <c r="B316">
        <v>1128</v>
      </c>
      <c r="C316">
        <v>126</v>
      </c>
      <c r="D316">
        <v>8</v>
      </c>
      <c r="E316">
        <v>32.17</v>
      </c>
      <c r="F316">
        <v>5.19</v>
      </c>
      <c r="G316">
        <f t="shared" si="12"/>
        <v>252.17000000000002</v>
      </c>
      <c r="H316" t="str">
        <f>_xlfn.XLOOKUP(B316,customer_orders!A:A,customer_orders!F:F)</f>
        <v>2026-02</v>
      </c>
      <c r="I316" t="str">
        <f>_xlfn.XLOOKUP(C316,products!A:A,products!B:B)</f>
        <v>SKU-0126</v>
      </c>
      <c r="J316" t="str">
        <f>_xlfn.XLOOKUP(B316,customer_orders!A:A,customer_orders!G:G)</f>
        <v>2026-w06</v>
      </c>
      <c r="K316">
        <f>IFERROR(_xlfn.XLOOKUP(B316,shipments!B:B,shipments!H:H),0)</f>
        <v>0</v>
      </c>
      <c r="L316">
        <f t="shared" si="13"/>
        <v>0</v>
      </c>
      <c r="M316" t="str">
        <f>_xlfn.XLOOKUP(B316,customer_orders!A:A,customer_orders!D:D)</f>
        <v>Ebay</v>
      </c>
      <c r="N316" t="str">
        <f>_xlfn.XLOOKUP(C316,inventory!B:B,inventory!C:C)</f>
        <v>South Jordan</v>
      </c>
      <c r="O316">
        <f>IF(_xlfn.XLOOKUP(C316,products!A:A,products!E:E)="NULL",0,_xlfn.XLOOKUP(C316,products!A:A,products!E:E))</f>
        <v>104.51</v>
      </c>
      <c r="P316">
        <f t="shared" si="14"/>
        <v>147.66000000000003</v>
      </c>
      <c r="Q316" s="2" t="str">
        <f>_xlfn.XLOOKUP(I316,products!B:B,products!D:D)</f>
        <v>Office</v>
      </c>
    </row>
    <row r="317" spans="1:17">
      <c r="A317">
        <v>316</v>
      </c>
      <c r="B317">
        <v>1129</v>
      </c>
      <c r="C317">
        <v>106</v>
      </c>
      <c r="D317">
        <v>7</v>
      </c>
      <c r="E317">
        <v>65.2</v>
      </c>
      <c r="F317">
        <v>0</v>
      </c>
      <c r="G317">
        <f t="shared" si="12"/>
        <v>456.40000000000003</v>
      </c>
      <c r="H317" t="str">
        <f>_xlfn.XLOOKUP(B317,customer_orders!A:A,customer_orders!F:F)</f>
        <v>2026-03</v>
      </c>
      <c r="I317" t="str">
        <f>_xlfn.XLOOKUP(C317,products!A:A,products!B:B)</f>
        <v>SKU-0106</v>
      </c>
      <c r="J317" t="str">
        <f>_xlfn.XLOOKUP(B317,customer_orders!A:A,customer_orders!G:G)</f>
        <v>2026-w10</v>
      </c>
      <c r="K317">
        <f>IFERROR(_xlfn.XLOOKUP(B317,shipments!B:B,shipments!H:H),0)</f>
        <v>63.93</v>
      </c>
      <c r="L317">
        <f t="shared" si="13"/>
        <v>0.14000000000000001</v>
      </c>
      <c r="M317" t="str">
        <f>_xlfn.XLOOKUP(B317,customer_orders!A:A,customer_orders!D:D)</f>
        <v>Amazon</v>
      </c>
      <c r="N317" t="str">
        <f>_xlfn.XLOOKUP(C317,inventory!B:B,inventory!C:C)</f>
        <v>Lehi</v>
      </c>
      <c r="O317">
        <f>IF(_xlfn.XLOOKUP(C317,products!A:A,products!E:E)="NULL",0,_xlfn.XLOOKUP(C317,products!A:A,products!E:E))</f>
        <v>0</v>
      </c>
      <c r="P317">
        <f t="shared" si="14"/>
        <v>456.40000000000003</v>
      </c>
      <c r="Q317" s="2" t="str">
        <f>_xlfn.XLOOKUP(I317,products!B:B,products!D:D)</f>
        <v>Toys</v>
      </c>
    </row>
    <row r="318" spans="1:17">
      <c r="A318">
        <v>317</v>
      </c>
      <c r="B318">
        <v>1129</v>
      </c>
      <c r="C318">
        <v>100</v>
      </c>
      <c r="D318">
        <v>7</v>
      </c>
      <c r="E318">
        <v>233.57</v>
      </c>
      <c r="F318">
        <v>0</v>
      </c>
      <c r="G318">
        <f t="shared" si="12"/>
        <v>1634.99</v>
      </c>
      <c r="H318" t="str">
        <f>_xlfn.XLOOKUP(B318,customer_orders!A:A,customer_orders!F:F)</f>
        <v>2026-03</v>
      </c>
      <c r="I318" t="str">
        <f>_xlfn.XLOOKUP(C318,products!A:A,products!B:B)</f>
        <v>SKU-0100</v>
      </c>
      <c r="J318" t="str">
        <f>_xlfn.XLOOKUP(B318,customer_orders!A:A,customer_orders!G:G)</f>
        <v>2026-w10</v>
      </c>
      <c r="K318">
        <f>IFERROR(_xlfn.XLOOKUP(B318,shipments!B:B,shipments!H:H),0)</f>
        <v>63.93</v>
      </c>
      <c r="L318">
        <f t="shared" si="13"/>
        <v>0.04</v>
      </c>
      <c r="M318" t="str">
        <f>_xlfn.XLOOKUP(B318,customer_orders!A:A,customer_orders!D:D)</f>
        <v>Amazon</v>
      </c>
      <c r="N318" t="str">
        <f>_xlfn.XLOOKUP(C318,inventory!B:B,inventory!C:C)</f>
        <v>Lehi</v>
      </c>
      <c r="O318">
        <f>IF(_xlfn.XLOOKUP(C318,products!A:A,products!E:E)="NULL",0,_xlfn.XLOOKUP(C318,products!A:A,products!E:E))</f>
        <v>127.41</v>
      </c>
      <c r="P318">
        <f t="shared" si="14"/>
        <v>1507.58</v>
      </c>
      <c r="Q318" s="2" t="str">
        <f>_xlfn.XLOOKUP(I318,products!B:B,products!D:D)</f>
        <v>Beauty</v>
      </c>
    </row>
    <row r="319" spans="1:17">
      <c r="A319">
        <v>318</v>
      </c>
      <c r="B319">
        <v>1130</v>
      </c>
      <c r="C319">
        <v>35</v>
      </c>
      <c r="D319">
        <v>5</v>
      </c>
      <c r="E319">
        <v>46.14</v>
      </c>
      <c r="F319">
        <v>2.54</v>
      </c>
      <c r="G319">
        <f t="shared" si="12"/>
        <v>228.16</v>
      </c>
      <c r="H319" t="str">
        <f>_xlfn.XLOOKUP(B319,customer_orders!A:A,customer_orders!F:F)</f>
        <v>2026-03</v>
      </c>
      <c r="I319" t="str">
        <f>_xlfn.XLOOKUP(C319,products!A:A,products!B:B)</f>
        <v>SKU-0035</v>
      </c>
      <c r="J319" t="str">
        <f>_xlfn.XLOOKUP(B319,customer_orders!A:A,customer_orders!G:G)</f>
        <v>2026-w11</v>
      </c>
      <c r="K319">
        <f>IFERROR(_xlfn.XLOOKUP(B319,shipments!B:B,shipments!H:H),0)</f>
        <v>21.65</v>
      </c>
      <c r="L319">
        <f t="shared" si="13"/>
        <v>0.09</v>
      </c>
      <c r="M319" t="str">
        <f>_xlfn.XLOOKUP(B319,customer_orders!A:A,customer_orders!D:D)</f>
        <v>Shopify</v>
      </c>
      <c r="N319" t="str">
        <f>_xlfn.XLOOKUP(C319,inventory!B:B,inventory!C:C)</f>
        <v>Salt Lake City</v>
      </c>
      <c r="O319">
        <f>IF(_xlfn.XLOOKUP(C319,products!A:A,products!E:E)="NULL",0,_xlfn.XLOOKUP(C319,products!A:A,products!E:E))</f>
        <v>145.1</v>
      </c>
      <c r="P319">
        <f t="shared" si="14"/>
        <v>83.06</v>
      </c>
      <c r="Q319" s="2" t="str">
        <f>_xlfn.XLOOKUP(I319,products!B:B,products!D:D)</f>
        <v>Office</v>
      </c>
    </row>
    <row r="320" spans="1:17">
      <c r="A320">
        <v>319</v>
      </c>
      <c r="B320">
        <v>1130</v>
      </c>
      <c r="C320">
        <v>116</v>
      </c>
      <c r="D320">
        <v>5</v>
      </c>
      <c r="E320">
        <v>211.7</v>
      </c>
      <c r="F320">
        <v>10.81</v>
      </c>
      <c r="G320">
        <f t="shared" si="12"/>
        <v>1047.69</v>
      </c>
      <c r="H320" t="str">
        <f>_xlfn.XLOOKUP(B320,customer_orders!A:A,customer_orders!F:F)</f>
        <v>2026-03</v>
      </c>
      <c r="I320" t="str">
        <f>_xlfn.XLOOKUP(C320,products!A:A,products!B:B)</f>
        <v>SKU-0116</v>
      </c>
      <c r="J320" t="str">
        <f>_xlfn.XLOOKUP(B320,customer_orders!A:A,customer_orders!G:G)</f>
        <v>2026-w11</v>
      </c>
      <c r="K320">
        <f>IFERROR(_xlfn.XLOOKUP(B320,shipments!B:B,shipments!H:H),0)</f>
        <v>21.65</v>
      </c>
      <c r="L320">
        <f t="shared" si="13"/>
        <v>0.02</v>
      </c>
      <c r="M320" t="str">
        <f>_xlfn.XLOOKUP(B320,customer_orders!A:A,customer_orders!D:D)</f>
        <v>Shopify</v>
      </c>
      <c r="N320" t="str">
        <f>_xlfn.XLOOKUP(C320,inventory!B:B,inventory!C:C)</f>
        <v>Lehi</v>
      </c>
      <c r="O320">
        <f>IF(_xlfn.XLOOKUP(C320,products!A:A,products!E:E)="NULL",0,_xlfn.XLOOKUP(C320,products!A:A,products!E:E))</f>
        <v>171.4</v>
      </c>
      <c r="P320">
        <f t="shared" si="14"/>
        <v>876.29000000000008</v>
      </c>
      <c r="Q320" s="2" t="str">
        <f>_xlfn.XLOOKUP(I320,products!B:B,products!D:D)</f>
        <v>Home</v>
      </c>
    </row>
    <row r="321" spans="1:17">
      <c r="A321">
        <v>320</v>
      </c>
      <c r="B321">
        <v>1131</v>
      </c>
      <c r="C321">
        <v>3</v>
      </c>
      <c r="D321">
        <v>4</v>
      </c>
      <c r="E321">
        <v>22.56</v>
      </c>
      <c r="F321">
        <v>0</v>
      </c>
      <c r="G321">
        <f t="shared" si="12"/>
        <v>90.24</v>
      </c>
      <c r="H321" t="str">
        <f>_xlfn.XLOOKUP(B321,customer_orders!A:A,customer_orders!F:F)</f>
        <v>2026-03</v>
      </c>
      <c r="I321" t="str">
        <f>_xlfn.XLOOKUP(C321,products!A:A,products!B:B)</f>
        <v>SKU-0003</v>
      </c>
      <c r="J321" t="str">
        <f>_xlfn.XLOOKUP(B321,customer_orders!A:A,customer_orders!G:G)</f>
        <v>2026-w11</v>
      </c>
      <c r="K321">
        <f>IFERROR(_xlfn.XLOOKUP(B321,shipments!B:B,shipments!H:H),0)</f>
        <v>58.54</v>
      </c>
      <c r="L321">
        <f t="shared" si="13"/>
        <v>0.65</v>
      </c>
      <c r="M321" t="str">
        <f>_xlfn.XLOOKUP(B321,customer_orders!A:A,customer_orders!D:D)</f>
        <v>Shopify</v>
      </c>
      <c r="N321" t="str">
        <f>_xlfn.XLOOKUP(C321,inventory!B:B,inventory!C:C)</f>
        <v>South Jordan</v>
      </c>
      <c r="O321">
        <f>IF(_xlfn.XLOOKUP(C321,products!A:A,products!E:E)="NULL",0,_xlfn.XLOOKUP(C321,products!A:A,products!E:E))</f>
        <v>93.44</v>
      </c>
      <c r="P321">
        <f t="shared" si="14"/>
        <v>-3.2000000000000028</v>
      </c>
      <c r="Q321" s="2" t="str">
        <f>_xlfn.XLOOKUP(I321,products!B:B,products!D:D)</f>
        <v>Beauty</v>
      </c>
    </row>
    <row r="322" spans="1:17">
      <c r="A322">
        <v>321</v>
      </c>
      <c r="B322">
        <v>1131</v>
      </c>
      <c r="C322">
        <v>127</v>
      </c>
      <c r="D322">
        <v>4</v>
      </c>
      <c r="E322">
        <v>38.14</v>
      </c>
      <c r="F322">
        <v>0</v>
      </c>
      <c r="G322">
        <f t="shared" si="12"/>
        <v>152.56</v>
      </c>
      <c r="H322" t="str">
        <f>_xlfn.XLOOKUP(B322,customer_orders!A:A,customer_orders!F:F)</f>
        <v>2026-03</v>
      </c>
      <c r="I322" t="str">
        <f>_xlfn.XLOOKUP(C322,products!A:A,products!B:B)</f>
        <v>SKU-0127</v>
      </c>
      <c r="J322" t="str">
        <f>_xlfn.XLOOKUP(B322,customer_orders!A:A,customer_orders!G:G)</f>
        <v>2026-w11</v>
      </c>
      <c r="K322">
        <f>IFERROR(_xlfn.XLOOKUP(B322,shipments!B:B,shipments!H:H),0)</f>
        <v>58.54</v>
      </c>
      <c r="L322">
        <f t="shared" si="13"/>
        <v>0.38</v>
      </c>
      <c r="M322" t="str">
        <f>_xlfn.XLOOKUP(B322,customer_orders!A:A,customer_orders!D:D)</f>
        <v>Shopify</v>
      </c>
      <c r="N322" t="str">
        <f>_xlfn.XLOOKUP(C322,inventory!B:B,inventory!C:C)</f>
        <v>South Jordan</v>
      </c>
      <c r="O322">
        <f>IF(_xlfn.XLOOKUP(C322,products!A:A,products!E:E)="NULL",0,_xlfn.XLOOKUP(C322,products!A:A,products!E:E))</f>
        <v>51.31</v>
      </c>
      <c r="P322">
        <f t="shared" si="14"/>
        <v>101.25</v>
      </c>
      <c r="Q322" s="2" t="str">
        <f>_xlfn.XLOOKUP(I322,products!B:B,products!D:D)</f>
        <v>Beauty</v>
      </c>
    </row>
    <row r="323" spans="1:17">
      <c r="A323">
        <v>322</v>
      </c>
      <c r="B323">
        <v>1131</v>
      </c>
      <c r="C323">
        <v>128</v>
      </c>
      <c r="D323">
        <v>6</v>
      </c>
      <c r="E323">
        <v>143.38999999999999</v>
      </c>
      <c r="F323">
        <v>0</v>
      </c>
      <c r="G323">
        <f t="shared" ref="G323:G386" si="15">E323*D323-F323</f>
        <v>860.33999999999992</v>
      </c>
      <c r="H323" t="str">
        <f>_xlfn.XLOOKUP(B323,customer_orders!A:A,customer_orders!F:F)</f>
        <v>2026-03</v>
      </c>
      <c r="I323" t="str">
        <f>_xlfn.XLOOKUP(C323,products!A:A,products!B:B)</f>
        <v>SKU-0128</v>
      </c>
      <c r="J323" t="str">
        <f>_xlfn.XLOOKUP(B323,customer_orders!A:A,customer_orders!G:G)</f>
        <v>2026-w11</v>
      </c>
      <c r="K323">
        <f>IFERROR(_xlfn.XLOOKUP(B323,shipments!B:B,shipments!H:H),0)</f>
        <v>58.54</v>
      </c>
      <c r="L323">
        <f t="shared" ref="L323:L386" si="16">ROUND(K323/G323,2)</f>
        <v>7.0000000000000007E-2</v>
      </c>
      <c r="M323" t="str">
        <f>_xlfn.XLOOKUP(B323,customer_orders!A:A,customer_orders!D:D)</f>
        <v>Shopify</v>
      </c>
      <c r="N323" t="str">
        <f>_xlfn.XLOOKUP(C323,inventory!B:B,inventory!C:C)</f>
        <v>West Valley</v>
      </c>
      <c r="O323">
        <f>IF(_xlfn.XLOOKUP(C323,products!A:A,products!E:E)="NULL",0,_xlfn.XLOOKUP(C323,products!A:A,products!E:E))</f>
        <v>5.47</v>
      </c>
      <c r="P323">
        <f t="shared" ref="P323:P386" si="17">G323-O323</f>
        <v>854.86999999999989</v>
      </c>
      <c r="Q323" s="2" t="str">
        <f>_xlfn.XLOOKUP(I323,products!B:B,products!D:D)</f>
        <v>Home</v>
      </c>
    </row>
    <row r="324" spans="1:17">
      <c r="A324">
        <v>323</v>
      </c>
      <c r="B324">
        <v>1131</v>
      </c>
      <c r="C324">
        <v>85</v>
      </c>
      <c r="D324">
        <v>2</v>
      </c>
      <c r="E324">
        <v>163.57</v>
      </c>
      <c r="F324">
        <v>0</v>
      </c>
      <c r="G324">
        <f t="shared" si="15"/>
        <v>327.14</v>
      </c>
      <c r="H324" t="str">
        <f>_xlfn.XLOOKUP(B324,customer_orders!A:A,customer_orders!F:F)</f>
        <v>2026-03</v>
      </c>
      <c r="I324" t="str">
        <f>_xlfn.XLOOKUP(C324,products!A:A,products!B:B)</f>
        <v>SKU-0085</v>
      </c>
      <c r="J324" t="str">
        <f>_xlfn.XLOOKUP(B324,customer_orders!A:A,customer_orders!G:G)</f>
        <v>2026-w11</v>
      </c>
      <c r="K324">
        <f>IFERROR(_xlfn.XLOOKUP(B324,shipments!B:B,shipments!H:H),0)</f>
        <v>58.54</v>
      </c>
      <c r="L324">
        <f t="shared" si="16"/>
        <v>0.18</v>
      </c>
      <c r="M324" t="str">
        <f>_xlfn.XLOOKUP(B324,customer_orders!A:A,customer_orders!D:D)</f>
        <v>Shopify</v>
      </c>
      <c r="N324" t="str">
        <f>_xlfn.XLOOKUP(C324,inventory!B:B,inventory!C:C)</f>
        <v>Draper</v>
      </c>
      <c r="O324">
        <f>IF(_xlfn.XLOOKUP(C324,products!A:A,products!E:E)="NULL",0,_xlfn.XLOOKUP(C324,products!A:A,products!E:E))</f>
        <v>139.02000000000001</v>
      </c>
      <c r="P324">
        <f t="shared" si="17"/>
        <v>188.11999999999998</v>
      </c>
      <c r="Q324" s="2" t="str">
        <f>_xlfn.XLOOKUP(I324,products!B:B,products!D:D)</f>
        <v>Beauty</v>
      </c>
    </row>
    <row r="325" spans="1:17">
      <c r="A325">
        <v>324</v>
      </c>
      <c r="B325">
        <v>1132</v>
      </c>
      <c r="C325">
        <v>64</v>
      </c>
      <c r="D325">
        <v>1</v>
      </c>
      <c r="E325">
        <v>247.73</v>
      </c>
      <c r="F325">
        <v>0</v>
      </c>
      <c r="G325">
        <f t="shared" si="15"/>
        <v>247.73</v>
      </c>
      <c r="H325" t="str">
        <f>_xlfn.XLOOKUP(B325,customer_orders!A:A,customer_orders!F:F)</f>
        <v>2026-02</v>
      </c>
      <c r="I325" t="str">
        <f>_xlfn.XLOOKUP(C325,products!A:A,products!B:B)</f>
        <v>SKU-0064</v>
      </c>
      <c r="J325" t="str">
        <f>_xlfn.XLOOKUP(B325,customer_orders!A:A,customer_orders!G:G)</f>
        <v>2026-w06</v>
      </c>
      <c r="K325">
        <f>IFERROR(_xlfn.XLOOKUP(B325,shipments!B:B,shipments!H:H),0)</f>
        <v>104.18</v>
      </c>
      <c r="L325">
        <f t="shared" si="16"/>
        <v>0.42</v>
      </c>
      <c r="M325" t="str">
        <f>_xlfn.XLOOKUP(B325,customer_orders!A:A,customer_orders!D:D)</f>
        <v>Shopify</v>
      </c>
      <c r="N325" t="str">
        <f>_xlfn.XLOOKUP(C325,inventory!B:B,inventory!C:C)</f>
        <v>Unknown</v>
      </c>
      <c r="O325">
        <f>IF(_xlfn.XLOOKUP(C325,products!A:A,products!E:E)="NULL",0,_xlfn.XLOOKUP(C325,products!A:A,products!E:E))</f>
        <v>43.93</v>
      </c>
      <c r="P325">
        <f t="shared" si="17"/>
        <v>203.79999999999998</v>
      </c>
      <c r="Q325" s="2" t="str">
        <f>_xlfn.XLOOKUP(I325,products!B:B,products!D:D)</f>
        <v>Electronics</v>
      </c>
    </row>
    <row r="326" spans="1:17">
      <c r="A326">
        <v>325</v>
      </c>
      <c r="B326">
        <v>1132</v>
      </c>
      <c r="C326">
        <v>134</v>
      </c>
      <c r="D326">
        <v>4</v>
      </c>
      <c r="E326">
        <v>26.36</v>
      </c>
      <c r="F326">
        <v>0</v>
      </c>
      <c r="G326">
        <f t="shared" si="15"/>
        <v>105.44</v>
      </c>
      <c r="H326" t="str">
        <f>_xlfn.XLOOKUP(B326,customer_orders!A:A,customer_orders!F:F)</f>
        <v>2026-02</v>
      </c>
      <c r="I326" t="str">
        <f>_xlfn.XLOOKUP(C326,products!A:A,products!B:B)</f>
        <v>SKU-0134</v>
      </c>
      <c r="J326" t="str">
        <f>_xlfn.XLOOKUP(B326,customer_orders!A:A,customer_orders!G:G)</f>
        <v>2026-w06</v>
      </c>
      <c r="K326">
        <f>IFERROR(_xlfn.XLOOKUP(B326,shipments!B:B,shipments!H:H),0)</f>
        <v>104.18</v>
      </c>
      <c r="L326">
        <f t="shared" si="16"/>
        <v>0.99</v>
      </c>
      <c r="M326" t="str">
        <f>_xlfn.XLOOKUP(B326,customer_orders!A:A,customer_orders!D:D)</f>
        <v>Shopify</v>
      </c>
      <c r="N326" t="str">
        <f>_xlfn.XLOOKUP(C326,inventory!B:B,inventory!C:C)</f>
        <v>Draper</v>
      </c>
      <c r="O326">
        <f>IF(_xlfn.XLOOKUP(C326,products!A:A,products!E:E)="NULL",0,_xlfn.XLOOKUP(C326,products!A:A,products!E:E))</f>
        <v>19.079999999999998</v>
      </c>
      <c r="P326">
        <f t="shared" si="17"/>
        <v>86.36</v>
      </c>
      <c r="Q326" s="2" t="str">
        <f>_xlfn.XLOOKUP(I326,products!B:B,products!D:D)</f>
        <v>Pet</v>
      </c>
    </row>
    <row r="327" spans="1:17">
      <c r="A327">
        <v>326</v>
      </c>
      <c r="B327">
        <v>1132</v>
      </c>
      <c r="C327">
        <v>83</v>
      </c>
      <c r="D327">
        <v>3</v>
      </c>
      <c r="E327">
        <v>269.23</v>
      </c>
      <c r="F327">
        <v>0</v>
      </c>
      <c r="G327">
        <f t="shared" si="15"/>
        <v>807.69</v>
      </c>
      <c r="H327" t="str">
        <f>_xlfn.XLOOKUP(B327,customer_orders!A:A,customer_orders!F:F)</f>
        <v>2026-02</v>
      </c>
      <c r="I327" t="str">
        <f>_xlfn.XLOOKUP(C327,products!A:A,products!B:B)</f>
        <v>SKU-0083</v>
      </c>
      <c r="J327" t="str">
        <f>_xlfn.XLOOKUP(B327,customer_orders!A:A,customer_orders!G:G)</f>
        <v>2026-w06</v>
      </c>
      <c r="K327">
        <f>IFERROR(_xlfn.XLOOKUP(B327,shipments!B:B,shipments!H:H),0)</f>
        <v>104.18</v>
      </c>
      <c r="L327">
        <f t="shared" si="16"/>
        <v>0.13</v>
      </c>
      <c r="M327" t="str">
        <f>_xlfn.XLOOKUP(B327,customer_orders!A:A,customer_orders!D:D)</f>
        <v>Shopify</v>
      </c>
      <c r="N327" t="str">
        <f>_xlfn.XLOOKUP(C327,inventory!B:B,inventory!C:C)</f>
        <v>Salt Lake City</v>
      </c>
      <c r="O327">
        <f>IF(_xlfn.XLOOKUP(C327,products!A:A,products!E:E)="NULL",0,_xlfn.XLOOKUP(C327,products!A:A,products!E:E))</f>
        <v>147.63</v>
      </c>
      <c r="P327">
        <f t="shared" si="17"/>
        <v>660.06000000000006</v>
      </c>
      <c r="Q327" s="2" t="str">
        <f>_xlfn.XLOOKUP(I327,products!B:B,products!D:D)</f>
        <v>Pet</v>
      </c>
    </row>
    <row r="328" spans="1:17">
      <c r="A328">
        <v>327</v>
      </c>
      <c r="B328">
        <v>1132</v>
      </c>
      <c r="C328">
        <v>141</v>
      </c>
      <c r="D328">
        <v>2</v>
      </c>
      <c r="E328">
        <v>15.33</v>
      </c>
      <c r="F328">
        <v>0</v>
      </c>
      <c r="G328">
        <f t="shared" si="15"/>
        <v>30.66</v>
      </c>
      <c r="H328" t="str">
        <f>_xlfn.XLOOKUP(B328,customer_orders!A:A,customer_orders!F:F)</f>
        <v>2026-02</v>
      </c>
      <c r="I328" t="str">
        <f>_xlfn.XLOOKUP(C328,products!A:A,products!B:B)</f>
        <v>SKU-0141</v>
      </c>
      <c r="J328" t="str">
        <f>_xlfn.XLOOKUP(B328,customer_orders!A:A,customer_orders!G:G)</f>
        <v>2026-w06</v>
      </c>
      <c r="K328">
        <f>IFERROR(_xlfn.XLOOKUP(B328,shipments!B:B,shipments!H:H),0)</f>
        <v>104.18</v>
      </c>
      <c r="L328">
        <f t="shared" si="16"/>
        <v>3.4</v>
      </c>
      <c r="M328" t="str">
        <f>_xlfn.XLOOKUP(B328,customer_orders!A:A,customer_orders!D:D)</f>
        <v>Shopify</v>
      </c>
      <c r="N328" t="str">
        <f>_xlfn.XLOOKUP(C328,inventory!B:B,inventory!C:C)</f>
        <v>Unknown</v>
      </c>
      <c r="O328">
        <f>IF(_xlfn.XLOOKUP(C328,products!A:A,products!E:E)="NULL",0,_xlfn.XLOOKUP(C328,products!A:A,products!E:E))</f>
        <v>149.36000000000001</v>
      </c>
      <c r="P328">
        <f t="shared" si="17"/>
        <v>-118.70000000000002</v>
      </c>
      <c r="Q328" s="2" t="str">
        <f>_xlfn.XLOOKUP(I328,products!B:B,products!D:D)</f>
        <v>Office</v>
      </c>
    </row>
    <row r="329" spans="1:17">
      <c r="A329">
        <v>328</v>
      </c>
      <c r="B329">
        <v>1133</v>
      </c>
      <c r="C329">
        <v>102</v>
      </c>
      <c r="D329">
        <v>4</v>
      </c>
      <c r="E329">
        <v>71.52</v>
      </c>
      <c r="F329">
        <v>0</v>
      </c>
      <c r="G329">
        <f t="shared" si="15"/>
        <v>286.08</v>
      </c>
      <c r="H329" t="str">
        <f>_xlfn.XLOOKUP(B329,customer_orders!A:A,customer_orders!F:F)</f>
        <v>2026-03</v>
      </c>
      <c r="I329" t="str">
        <f>_xlfn.XLOOKUP(C329,products!A:A,products!B:B)</f>
        <v>SKU-0102</v>
      </c>
      <c r="J329" t="str">
        <f>_xlfn.XLOOKUP(B329,customer_orders!A:A,customer_orders!G:G)</f>
        <v>2026-w13</v>
      </c>
      <c r="K329">
        <f>IFERROR(_xlfn.XLOOKUP(B329,shipments!B:B,shipments!H:H),0)</f>
        <v>83.86</v>
      </c>
      <c r="L329">
        <f t="shared" si="16"/>
        <v>0.28999999999999998</v>
      </c>
      <c r="M329" t="str">
        <f>_xlfn.XLOOKUP(B329,customer_orders!A:A,customer_orders!D:D)</f>
        <v>Shopify</v>
      </c>
      <c r="N329" t="str">
        <f>_xlfn.XLOOKUP(C329,inventory!B:B,inventory!C:C)</f>
        <v>West Valley</v>
      </c>
      <c r="O329">
        <f>IF(_xlfn.XLOOKUP(C329,products!A:A,products!E:E)="NULL",0,_xlfn.XLOOKUP(C329,products!A:A,products!E:E))</f>
        <v>169.76</v>
      </c>
      <c r="P329">
        <f t="shared" si="17"/>
        <v>116.32</v>
      </c>
      <c r="Q329" s="2" t="str">
        <f>_xlfn.XLOOKUP(I329,products!B:B,products!D:D)</f>
        <v>Office</v>
      </c>
    </row>
    <row r="330" spans="1:17">
      <c r="A330">
        <v>329</v>
      </c>
      <c r="B330">
        <v>1134</v>
      </c>
      <c r="C330">
        <v>16</v>
      </c>
      <c r="D330">
        <v>1</v>
      </c>
      <c r="E330">
        <v>168.61</v>
      </c>
      <c r="F330">
        <v>0</v>
      </c>
      <c r="G330">
        <f t="shared" si="15"/>
        <v>168.61</v>
      </c>
      <c r="H330" t="str">
        <f>_xlfn.XLOOKUP(B330,customer_orders!A:A,customer_orders!F:F)</f>
        <v>2026-05</v>
      </c>
      <c r="I330" t="str">
        <f>_xlfn.XLOOKUP(C330,products!A:A,products!B:B)</f>
        <v>SKU-0016</v>
      </c>
      <c r="J330" t="str">
        <f>_xlfn.XLOOKUP(B330,customer_orders!A:A,customer_orders!G:G)</f>
        <v>2026-w19</v>
      </c>
      <c r="K330">
        <f>IFERROR(_xlfn.XLOOKUP(B330,shipments!B:B,shipments!H:H),0)</f>
        <v>45.55</v>
      </c>
      <c r="L330">
        <f t="shared" si="16"/>
        <v>0.27</v>
      </c>
      <c r="M330" t="str">
        <f>_xlfn.XLOOKUP(B330,customer_orders!A:A,customer_orders!D:D)</f>
        <v>Shopify</v>
      </c>
      <c r="N330" t="str">
        <f>_xlfn.XLOOKUP(C330,inventory!B:B,inventory!C:C)</f>
        <v>Draper</v>
      </c>
      <c r="O330">
        <f>IF(_xlfn.XLOOKUP(C330,products!A:A,products!E:E)="NULL",0,_xlfn.XLOOKUP(C330,products!A:A,products!E:E))</f>
        <v>135.37</v>
      </c>
      <c r="P330">
        <f t="shared" si="17"/>
        <v>33.240000000000009</v>
      </c>
      <c r="Q330" s="2" t="str">
        <f>_xlfn.XLOOKUP(I330,products!B:B,products!D:D)</f>
        <v>Toys</v>
      </c>
    </row>
    <row r="331" spans="1:17">
      <c r="A331">
        <v>330</v>
      </c>
      <c r="B331">
        <v>1134</v>
      </c>
      <c r="C331">
        <v>138</v>
      </c>
      <c r="D331">
        <v>2</v>
      </c>
      <c r="E331">
        <v>106.5</v>
      </c>
      <c r="F331">
        <v>0</v>
      </c>
      <c r="G331">
        <f t="shared" si="15"/>
        <v>213</v>
      </c>
      <c r="H331" t="str">
        <f>_xlfn.XLOOKUP(B331,customer_orders!A:A,customer_orders!F:F)</f>
        <v>2026-05</v>
      </c>
      <c r="I331" t="str">
        <f>_xlfn.XLOOKUP(C331,products!A:A,products!B:B)</f>
        <v>SKU-0138</v>
      </c>
      <c r="J331" t="str">
        <f>_xlfn.XLOOKUP(B331,customer_orders!A:A,customer_orders!G:G)</f>
        <v>2026-w19</v>
      </c>
      <c r="K331">
        <f>IFERROR(_xlfn.XLOOKUP(B331,shipments!B:B,shipments!H:H),0)</f>
        <v>45.55</v>
      </c>
      <c r="L331">
        <f t="shared" si="16"/>
        <v>0.21</v>
      </c>
      <c r="M331" t="str">
        <f>_xlfn.XLOOKUP(B331,customer_orders!A:A,customer_orders!D:D)</f>
        <v>Shopify</v>
      </c>
      <c r="N331" t="str">
        <f>_xlfn.XLOOKUP(C331,inventory!B:B,inventory!C:C)</f>
        <v>South Jordan</v>
      </c>
      <c r="O331">
        <f>IF(_xlfn.XLOOKUP(C331,products!A:A,products!E:E)="NULL",0,_xlfn.XLOOKUP(C331,products!A:A,products!E:E))</f>
        <v>76.459999999999994</v>
      </c>
      <c r="P331">
        <f t="shared" si="17"/>
        <v>136.54000000000002</v>
      </c>
      <c r="Q331" s="2" t="str">
        <f>_xlfn.XLOOKUP(I331,products!B:B,products!D:D)</f>
        <v>Pet</v>
      </c>
    </row>
    <row r="332" spans="1:17">
      <c r="A332">
        <v>331</v>
      </c>
      <c r="B332">
        <v>1134</v>
      </c>
      <c r="C332">
        <v>82</v>
      </c>
      <c r="D332">
        <v>6</v>
      </c>
      <c r="E332">
        <v>243.4</v>
      </c>
      <c r="F332">
        <v>12.28</v>
      </c>
      <c r="G332">
        <f t="shared" si="15"/>
        <v>1448.1200000000001</v>
      </c>
      <c r="H332" t="str">
        <f>_xlfn.XLOOKUP(B332,customer_orders!A:A,customer_orders!F:F)</f>
        <v>2026-05</v>
      </c>
      <c r="I332" t="str">
        <f>_xlfn.XLOOKUP(C332,products!A:A,products!B:B)</f>
        <v>SKU-0082</v>
      </c>
      <c r="J332" t="str">
        <f>_xlfn.XLOOKUP(B332,customer_orders!A:A,customer_orders!G:G)</f>
        <v>2026-w19</v>
      </c>
      <c r="K332">
        <f>IFERROR(_xlfn.XLOOKUP(B332,shipments!B:B,shipments!H:H),0)</f>
        <v>45.55</v>
      </c>
      <c r="L332">
        <f t="shared" si="16"/>
        <v>0.03</v>
      </c>
      <c r="M332" t="str">
        <f>_xlfn.XLOOKUP(B332,customer_orders!A:A,customer_orders!D:D)</f>
        <v>Shopify</v>
      </c>
      <c r="N332" t="str">
        <f>_xlfn.XLOOKUP(C332,inventory!B:B,inventory!C:C)</f>
        <v>Unknown</v>
      </c>
      <c r="O332">
        <f>IF(_xlfn.XLOOKUP(C332,products!A:A,products!E:E)="NULL",0,_xlfn.XLOOKUP(C332,products!A:A,products!E:E))</f>
        <v>84.88</v>
      </c>
      <c r="P332">
        <f t="shared" si="17"/>
        <v>1363.2400000000002</v>
      </c>
      <c r="Q332" s="2" t="str">
        <f>_xlfn.XLOOKUP(I332,products!B:B,products!D:D)</f>
        <v>Beauty</v>
      </c>
    </row>
    <row r="333" spans="1:17">
      <c r="A333">
        <v>332</v>
      </c>
      <c r="B333">
        <v>1135</v>
      </c>
      <c r="C333">
        <v>146</v>
      </c>
      <c r="D333">
        <v>3</v>
      </c>
      <c r="E333">
        <v>199.6</v>
      </c>
      <c r="F333">
        <v>0</v>
      </c>
      <c r="G333">
        <f t="shared" si="15"/>
        <v>598.79999999999995</v>
      </c>
      <c r="H333" t="str">
        <f>_xlfn.XLOOKUP(B333,customer_orders!A:A,customer_orders!F:F)</f>
        <v>2026-03</v>
      </c>
      <c r="I333" t="str">
        <f>_xlfn.XLOOKUP(C333,products!A:A,products!B:B)</f>
        <v>SKU-0146</v>
      </c>
      <c r="J333" t="str">
        <f>_xlfn.XLOOKUP(B333,customer_orders!A:A,customer_orders!G:G)</f>
        <v>2026-w12</v>
      </c>
      <c r="K333">
        <f>IFERROR(_xlfn.XLOOKUP(B333,shipments!B:B,shipments!H:H),0)</f>
        <v>56.13</v>
      </c>
      <c r="L333">
        <f t="shared" si="16"/>
        <v>0.09</v>
      </c>
      <c r="M333" t="str">
        <f>_xlfn.XLOOKUP(B333,customer_orders!A:A,customer_orders!D:D)</f>
        <v>Shopify</v>
      </c>
      <c r="N333" t="str">
        <f>_xlfn.XLOOKUP(C333,inventory!B:B,inventory!C:C)</f>
        <v>South Jordan</v>
      </c>
      <c r="O333">
        <f>IF(_xlfn.XLOOKUP(C333,products!A:A,products!E:E)="NULL",0,_xlfn.XLOOKUP(C333,products!A:A,products!E:E))</f>
        <v>170.74</v>
      </c>
      <c r="P333">
        <f t="shared" si="17"/>
        <v>428.05999999999995</v>
      </c>
      <c r="Q333" s="2" t="str">
        <f>_xlfn.XLOOKUP(I333,products!B:B,products!D:D)</f>
        <v>Home</v>
      </c>
    </row>
    <row r="334" spans="1:17">
      <c r="A334">
        <v>333</v>
      </c>
      <c r="B334">
        <v>1135</v>
      </c>
      <c r="C334">
        <v>120</v>
      </c>
      <c r="D334">
        <v>5</v>
      </c>
      <c r="E334">
        <v>229.55</v>
      </c>
      <c r="F334">
        <v>0</v>
      </c>
      <c r="G334">
        <f t="shared" si="15"/>
        <v>1147.75</v>
      </c>
      <c r="H334" t="str">
        <f>_xlfn.XLOOKUP(B334,customer_orders!A:A,customer_orders!F:F)</f>
        <v>2026-03</v>
      </c>
      <c r="I334" t="str">
        <f>_xlfn.XLOOKUP(C334,products!A:A,products!B:B)</f>
        <v>SKU-0120</v>
      </c>
      <c r="J334" t="str">
        <f>_xlfn.XLOOKUP(B334,customer_orders!A:A,customer_orders!G:G)</f>
        <v>2026-w12</v>
      </c>
      <c r="K334">
        <f>IFERROR(_xlfn.XLOOKUP(B334,shipments!B:B,shipments!H:H),0)</f>
        <v>56.13</v>
      </c>
      <c r="L334">
        <f t="shared" si="16"/>
        <v>0.05</v>
      </c>
      <c r="M334" t="str">
        <f>_xlfn.XLOOKUP(B334,customer_orders!A:A,customer_orders!D:D)</f>
        <v>Shopify</v>
      </c>
      <c r="N334" t="str">
        <f>_xlfn.XLOOKUP(C334,inventory!B:B,inventory!C:C)</f>
        <v>Draper</v>
      </c>
      <c r="O334">
        <f>IF(_xlfn.XLOOKUP(C334,products!A:A,products!E:E)="NULL",0,_xlfn.XLOOKUP(C334,products!A:A,products!E:E))</f>
        <v>116.63</v>
      </c>
      <c r="P334">
        <f t="shared" si="17"/>
        <v>1031.1199999999999</v>
      </c>
      <c r="Q334" s="2" t="str">
        <f>_xlfn.XLOOKUP(I334,products!B:B,products!D:D)</f>
        <v>Sports</v>
      </c>
    </row>
    <row r="335" spans="1:17">
      <c r="A335">
        <v>334</v>
      </c>
      <c r="B335">
        <v>1136</v>
      </c>
      <c r="C335">
        <v>5</v>
      </c>
      <c r="D335">
        <v>6</v>
      </c>
      <c r="E335">
        <v>59.31</v>
      </c>
      <c r="F335">
        <v>0</v>
      </c>
      <c r="G335">
        <f t="shared" si="15"/>
        <v>355.86</v>
      </c>
      <c r="H335" t="str">
        <f>_xlfn.XLOOKUP(B335,customer_orders!A:A,customer_orders!F:F)</f>
        <v>2026-01</v>
      </c>
      <c r="I335" t="str">
        <f>_xlfn.XLOOKUP(C335,products!A:A,products!B:B)</f>
        <v>SKU-0005</v>
      </c>
      <c r="J335" t="str">
        <f>_xlfn.XLOOKUP(B335,customer_orders!A:A,customer_orders!G:G)</f>
        <v>2026-w01</v>
      </c>
      <c r="K335">
        <f>IFERROR(_xlfn.XLOOKUP(B335,shipments!B:B,shipments!H:H),0)</f>
        <v>92.83</v>
      </c>
      <c r="L335">
        <f t="shared" si="16"/>
        <v>0.26</v>
      </c>
      <c r="M335" t="str">
        <f>_xlfn.XLOOKUP(B335,customer_orders!A:A,customer_orders!D:D)</f>
        <v>Amazon</v>
      </c>
      <c r="N335" t="str">
        <f>_xlfn.XLOOKUP(C335,inventory!B:B,inventory!C:C)</f>
        <v>South Jordan</v>
      </c>
      <c r="O335">
        <f>IF(_xlfn.XLOOKUP(C335,products!A:A,products!E:E)="NULL",0,_xlfn.XLOOKUP(C335,products!A:A,products!E:E))</f>
        <v>64.540000000000006</v>
      </c>
      <c r="P335">
        <f t="shared" si="17"/>
        <v>291.32</v>
      </c>
      <c r="Q335" s="2" t="str">
        <f>_xlfn.XLOOKUP(I335,products!B:B,products!D:D)</f>
        <v>Toys</v>
      </c>
    </row>
    <row r="336" spans="1:17">
      <c r="A336">
        <v>335</v>
      </c>
      <c r="B336">
        <v>1136</v>
      </c>
      <c r="C336">
        <v>83</v>
      </c>
      <c r="D336">
        <v>2</v>
      </c>
      <c r="E336">
        <v>269.23</v>
      </c>
      <c r="F336">
        <v>10.220000000000001</v>
      </c>
      <c r="G336">
        <f t="shared" si="15"/>
        <v>528.24</v>
      </c>
      <c r="H336" t="str">
        <f>_xlfn.XLOOKUP(B336,customer_orders!A:A,customer_orders!F:F)</f>
        <v>2026-01</v>
      </c>
      <c r="I336" t="str">
        <f>_xlfn.XLOOKUP(C336,products!A:A,products!B:B)</f>
        <v>SKU-0083</v>
      </c>
      <c r="J336" t="str">
        <f>_xlfn.XLOOKUP(B336,customer_orders!A:A,customer_orders!G:G)</f>
        <v>2026-w01</v>
      </c>
      <c r="K336">
        <f>IFERROR(_xlfn.XLOOKUP(B336,shipments!B:B,shipments!H:H),0)</f>
        <v>92.83</v>
      </c>
      <c r="L336">
        <f t="shared" si="16"/>
        <v>0.18</v>
      </c>
      <c r="M336" t="str">
        <f>_xlfn.XLOOKUP(B336,customer_orders!A:A,customer_orders!D:D)</f>
        <v>Amazon</v>
      </c>
      <c r="N336" t="str">
        <f>_xlfn.XLOOKUP(C336,inventory!B:B,inventory!C:C)</f>
        <v>Salt Lake City</v>
      </c>
      <c r="O336">
        <f>IF(_xlfn.XLOOKUP(C336,products!A:A,products!E:E)="NULL",0,_xlfn.XLOOKUP(C336,products!A:A,products!E:E))</f>
        <v>147.63</v>
      </c>
      <c r="P336">
        <f t="shared" si="17"/>
        <v>380.61</v>
      </c>
      <c r="Q336" s="2" t="str">
        <f>_xlfn.XLOOKUP(I336,products!B:B,products!D:D)</f>
        <v>Pet</v>
      </c>
    </row>
    <row r="337" spans="1:17">
      <c r="A337">
        <v>336</v>
      </c>
      <c r="B337">
        <v>1137</v>
      </c>
      <c r="C337">
        <v>12</v>
      </c>
      <c r="D337">
        <v>3</v>
      </c>
      <c r="E337">
        <v>61.57</v>
      </c>
      <c r="F337">
        <v>0</v>
      </c>
      <c r="G337">
        <f t="shared" si="15"/>
        <v>184.71</v>
      </c>
      <c r="H337" t="str">
        <f>_xlfn.XLOOKUP(B337,customer_orders!A:A,customer_orders!F:F)</f>
        <v>2026-03</v>
      </c>
      <c r="I337" t="str">
        <f>_xlfn.XLOOKUP(C337,products!A:A,products!B:B)</f>
        <v>SKU-0012</v>
      </c>
      <c r="J337" t="str">
        <f>_xlfn.XLOOKUP(B337,customer_orders!A:A,customer_orders!G:G)</f>
        <v>2026-w13</v>
      </c>
      <c r="K337">
        <f>IFERROR(_xlfn.XLOOKUP(B337,shipments!B:B,shipments!H:H),0)</f>
        <v>26.23</v>
      </c>
      <c r="L337">
        <f t="shared" si="16"/>
        <v>0.14000000000000001</v>
      </c>
      <c r="M337" t="str">
        <f>_xlfn.XLOOKUP(B337,customer_orders!A:A,customer_orders!D:D)</f>
        <v>Amazon</v>
      </c>
      <c r="N337" t="str">
        <f>_xlfn.XLOOKUP(C337,inventory!B:B,inventory!C:C)</f>
        <v>Unknown</v>
      </c>
      <c r="O337">
        <f>IF(_xlfn.XLOOKUP(C337,products!A:A,products!E:E)="NULL",0,_xlfn.XLOOKUP(C337,products!A:A,products!E:E))</f>
        <v>132.6</v>
      </c>
      <c r="P337">
        <f t="shared" si="17"/>
        <v>52.110000000000014</v>
      </c>
      <c r="Q337" s="2" t="str">
        <f>_xlfn.XLOOKUP(I337,products!B:B,products!D:D)</f>
        <v>Toys</v>
      </c>
    </row>
    <row r="338" spans="1:17">
      <c r="A338">
        <v>337</v>
      </c>
      <c r="B338">
        <v>1138</v>
      </c>
      <c r="C338">
        <v>4</v>
      </c>
      <c r="D338">
        <v>4</v>
      </c>
      <c r="E338">
        <v>94.28</v>
      </c>
      <c r="F338">
        <v>0</v>
      </c>
      <c r="G338">
        <f t="shared" si="15"/>
        <v>377.12</v>
      </c>
      <c r="H338" t="str">
        <f>_xlfn.XLOOKUP(B338,customer_orders!A:A,customer_orders!F:F)</f>
        <v>2026-03</v>
      </c>
      <c r="I338" t="str">
        <f>_xlfn.XLOOKUP(C338,products!A:A,products!B:B)</f>
        <v>SKU-0004</v>
      </c>
      <c r="J338" t="str">
        <f>_xlfn.XLOOKUP(B338,customer_orders!A:A,customer_orders!G:G)</f>
        <v>2026-w10</v>
      </c>
      <c r="K338">
        <f>IFERROR(_xlfn.XLOOKUP(B338,shipments!B:B,shipments!H:H),0)</f>
        <v>45.87</v>
      </c>
      <c r="L338">
        <f t="shared" si="16"/>
        <v>0.12</v>
      </c>
      <c r="M338" t="str">
        <f>_xlfn.XLOOKUP(B338,customer_orders!A:A,customer_orders!D:D)</f>
        <v>Ebay</v>
      </c>
      <c r="N338" t="str">
        <f>_xlfn.XLOOKUP(C338,inventory!B:B,inventory!C:C)</f>
        <v>Draper</v>
      </c>
      <c r="O338">
        <f>IF(_xlfn.XLOOKUP(C338,products!A:A,products!E:E)="NULL",0,_xlfn.XLOOKUP(C338,products!A:A,products!E:E))</f>
        <v>83.61</v>
      </c>
      <c r="P338">
        <f t="shared" si="17"/>
        <v>293.51</v>
      </c>
      <c r="Q338" s="2" t="str">
        <f>_xlfn.XLOOKUP(I338,products!B:B,products!D:D)</f>
        <v>Office</v>
      </c>
    </row>
    <row r="339" spans="1:17">
      <c r="A339">
        <v>338</v>
      </c>
      <c r="B339">
        <v>1139</v>
      </c>
      <c r="C339">
        <v>78</v>
      </c>
      <c r="D339">
        <v>2</v>
      </c>
      <c r="E339">
        <v>71.75</v>
      </c>
      <c r="F339">
        <v>0</v>
      </c>
      <c r="G339">
        <f t="shared" si="15"/>
        <v>143.5</v>
      </c>
      <c r="H339" t="str">
        <f>_xlfn.XLOOKUP(B339,customer_orders!A:A,customer_orders!F:F)</f>
        <v>2026-03</v>
      </c>
      <c r="I339" t="str">
        <f>_xlfn.XLOOKUP(C339,products!A:A,products!B:B)</f>
        <v>SKU-0078</v>
      </c>
      <c r="J339" t="str">
        <f>_xlfn.XLOOKUP(B339,customer_orders!A:A,customer_orders!G:G)</f>
        <v>2026-w11</v>
      </c>
      <c r="K339">
        <f>IFERROR(_xlfn.XLOOKUP(B339,shipments!B:B,shipments!H:H),0)</f>
        <v>65.67</v>
      </c>
      <c r="L339">
        <f t="shared" si="16"/>
        <v>0.46</v>
      </c>
      <c r="M339" t="str">
        <f>_xlfn.XLOOKUP(B339,customer_orders!A:A,customer_orders!D:D)</f>
        <v>Amazon</v>
      </c>
      <c r="N339" t="str">
        <f>_xlfn.XLOOKUP(C339,inventory!B:B,inventory!C:C)</f>
        <v>Draper</v>
      </c>
      <c r="O339">
        <f>IF(_xlfn.XLOOKUP(C339,products!A:A,products!E:E)="NULL",0,_xlfn.XLOOKUP(C339,products!A:A,products!E:E))</f>
        <v>44.31</v>
      </c>
      <c r="P339">
        <f t="shared" si="17"/>
        <v>99.19</v>
      </c>
      <c r="Q339" s="2" t="str">
        <f>_xlfn.XLOOKUP(I339,products!B:B,products!D:D)</f>
        <v>Beauty</v>
      </c>
    </row>
    <row r="340" spans="1:17">
      <c r="A340">
        <v>339</v>
      </c>
      <c r="B340">
        <v>1140</v>
      </c>
      <c r="C340">
        <v>28</v>
      </c>
      <c r="D340">
        <v>6</v>
      </c>
      <c r="E340">
        <v>206.43</v>
      </c>
      <c r="F340">
        <v>10.44</v>
      </c>
      <c r="G340">
        <f t="shared" si="15"/>
        <v>1228.1399999999999</v>
      </c>
      <c r="H340" t="str">
        <f>_xlfn.XLOOKUP(B340,customer_orders!A:A,customer_orders!F:F)</f>
        <v>2026-02</v>
      </c>
      <c r="I340" t="str">
        <f>_xlfn.XLOOKUP(C340,products!A:A,products!B:B)</f>
        <v>SKU-0028</v>
      </c>
      <c r="J340" t="str">
        <f>_xlfn.XLOOKUP(B340,customer_orders!A:A,customer_orders!G:G)</f>
        <v>2026-w08</v>
      </c>
      <c r="K340">
        <f>IFERROR(_xlfn.XLOOKUP(B340,shipments!B:B,shipments!H:H),0)</f>
        <v>99.83</v>
      </c>
      <c r="L340">
        <f t="shared" si="16"/>
        <v>0.08</v>
      </c>
      <c r="M340" t="str">
        <f>_xlfn.XLOOKUP(B340,customer_orders!A:A,customer_orders!D:D)</f>
        <v>Shopify</v>
      </c>
      <c r="N340" t="str">
        <f>_xlfn.XLOOKUP(C340,inventory!B:B,inventory!C:C)</f>
        <v>West Valley</v>
      </c>
      <c r="O340">
        <f>IF(_xlfn.XLOOKUP(C340,products!A:A,products!E:E)="NULL",0,_xlfn.XLOOKUP(C340,products!A:A,products!E:E))</f>
        <v>74.819999999999993</v>
      </c>
      <c r="P340">
        <f t="shared" si="17"/>
        <v>1153.32</v>
      </c>
      <c r="Q340" s="2" t="str">
        <f>_xlfn.XLOOKUP(I340,products!B:B,products!D:D)</f>
        <v>Beauty</v>
      </c>
    </row>
    <row r="341" spans="1:17">
      <c r="A341">
        <v>340</v>
      </c>
      <c r="B341">
        <v>1140</v>
      </c>
      <c r="C341">
        <v>27</v>
      </c>
      <c r="D341">
        <v>3</v>
      </c>
      <c r="E341">
        <v>165.39</v>
      </c>
      <c r="F341">
        <v>12.09</v>
      </c>
      <c r="G341">
        <f t="shared" si="15"/>
        <v>484.08</v>
      </c>
      <c r="H341" t="str">
        <f>_xlfn.XLOOKUP(B341,customer_orders!A:A,customer_orders!F:F)</f>
        <v>2026-02</v>
      </c>
      <c r="I341" t="str">
        <f>_xlfn.XLOOKUP(C341,products!A:A,products!B:B)</f>
        <v>SKU-0027</v>
      </c>
      <c r="J341" t="str">
        <f>_xlfn.XLOOKUP(B341,customer_orders!A:A,customer_orders!G:G)</f>
        <v>2026-w08</v>
      </c>
      <c r="K341">
        <f>IFERROR(_xlfn.XLOOKUP(B341,shipments!B:B,shipments!H:H),0)</f>
        <v>99.83</v>
      </c>
      <c r="L341">
        <f t="shared" si="16"/>
        <v>0.21</v>
      </c>
      <c r="M341" t="str">
        <f>_xlfn.XLOOKUP(B341,customer_orders!A:A,customer_orders!D:D)</f>
        <v>Shopify</v>
      </c>
      <c r="N341" t="str">
        <f>_xlfn.XLOOKUP(C341,inventory!B:B,inventory!C:C)</f>
        <v>Salt Lake City</v>
      </c>
      <c r="O341">
        <f>IF(_xlfn.XLOOKUP(C341,products!A:A,products!E:E)="NULL",0,_xlfn.XLOOKUP(C341,products!A:A,products!E:E))</f>
        <v>33.9</v>
      </c>
      <c r="P341">
        <f t="shared" si="17"/>
        <v>450.18</v>
      </c>
      <c r="Q341" s="2" t="str">
        <f>_xlfn.XLOOKUP(I341,products!B:B,products!D:D)</f>
        <v>Pet</v>
      </c>
    </row>
    <row r="342" spans="1:17">
      <c r="A342">
        <v>341</v>
      </c>
      <c r="B342">
        <v>1140</v>
      </c>
      <c r="C342">
        <v>130</v>
      </c>
      <c r="D342">
        <v>6</v>
      </c>
      <c r="E342">
        <v>193.14</v>
      </c>
      <c r="F342">
        <v>10.210000000000001</v>
      </c>
      <c r="G342">
        <f t="shared" si="15"/>
        <v>1148.6299999999999</v>
      </c>
      <c r="H342" t="str">
        <f>_xlfn.XLOOKUP(B342,customer_orders!A:A,customer_orders!F:F)</f>
        <v>2026-02</v>
      </c>
      <c r="I342" t="str">
        <f>_xlfn.XLOOKUP(C342,products!A:A,products!B:B)</f>
        <v>SKU-0130</v>
      </c>
      <c r="J342" t="str">
        <f>_xlfn.XLOOKUP(B342,customer_orders!A:A,customer_orders!G:G)</f>
        <v>2026-w08</v>
      </c>
      <c r="K342">
        <f>IFERROR(_xlfn.XLOOKUP(B342,shipments!B:B,shipments!H:H),0)</f>
        <v>99.83</v>
      </c>
      <c r="L342">
        <f t="shared" si="16"/>
        <v>0.09</v>
      </c>
      <c r="M342" t="str">
        <f>_xlfn.XLOOKUP(B342,customer_orders!A:A,customer_orders!D:D)</f>
        <v>Shopify</v>
      </c>
      <c r="N342" t="str">
        <f>_xlfn.XLOOKUP(C342,inventory!B:B,inventory!C:C)</f>
        <v>South Jordan</v>
      </c>
      <c r="O342">
        <f>IF(_xlfn.XLOOKUP(C342,products!A:A,products!E:E)="NULL",0,_xlfn.XLOOKUP(C342,products!A:A,products!E:E))</f>
        <v>142.87</v>
      </c>
      <c r="P342">
        <f t="shared" si="17"/>
        <v>1005.7599999999999</v>
      </c>
      <c r="Q342" s="2" t="str">
        <f>_xlfn.XLOOKUP(I342,products!B:B,products!D:D)</f>
        <v>Beauty</v>
      </c>
    </row>
    <row r="343" spans="1:17">
      <c r="A343">
        <v>342</v>
      </c>
      <c r="B343">
        <v>1140</v>
      </c>
      <c r="C343">
        <v>91</v>
      </c>
      <c r="D343">
        <v>6</v>
      </c>
      <c r="E343">
        <v>170.65</v>
      </c>
      <c r="F343">
        <v>0</v>
      </c>
      <c r="G343">
        <f t="shared" si="15"/>
        <v>1023.9000000000001</v>
      </c>
      <c r="H343" t="str">
        <f>_xlfn.XLOOKUP(B343,customer_orders!A:A,customer_orders!F:F)</f>
        <v>2026-02</v>
      </c>
      <c r="I343" t="str">
        <f>_xlfn.XLOOKUP(C343,products!A:A,products!B:B)</f>
        <v>SKU-0091</v>
      </c>
      <c r="J343" t="str">
        <f>_xlfn.XLOOKUP(B343,customer_orders!A:A,customer_orders!G:G)</f>
        <v>2026-w08</v>
      </c>
      <c r="K343">
        <f>IFERROR(_xlfn.XLOOKUP(B343,shipments!B:B,shipments!H:H),0)</f>
        <v>99.83</v>
      </c>
      <c r="L343">
        <f t="shared" si="16"/>
        <v>0.1</v>
      </c>
      <c r="M343" t="str">
        <f>_xlfn.XLOOKUP(B343,customer_orders!A:A,customer_orders!D:D)</f>
        <v>Shopify</v>
      </c>
      <c r="N343" t="str">
        <f>_xlfn.XLOOKUP(C343,inventory!B:B,inventory!C:C)</f>
        <v>Salt Lake City</v>
      </c>
      <c r="O343">
        <f>IF(_xlfn.XLOOKUP(C343,products!A:A,products!E:E)="NULL",0,_xlfn.XLOOKUP(C343,products!A:A,products!E:E))</f>
        <v>135.82</v>
      </c>
      <c r="P343">
        <f t="shared" si="17"/>
        <v>888.08000000000015</v>
      </c>
      <c r="Q343" s="2" t="str">
        <f>_xlfn.XLOOKUP(I343,products!B:B,products!D:D)</f>
        <v>Office</v>
      </c>
    </row>
    <row r="344" spans="1:17">
      <c r="A344">
        <v>343</v>
      </c>
      <c r="B344">
        <v>1141</v>
      </c>
      <c r="C344">
        <v>1</v>
      </c>
      <c r="D344">
        <v>1</v>
      </c>
      <c r="E344">
        <v>84.79</v>
      </c>
      <c r="F344">
        <v>0</v>
      </c>
      <c r="G344">
        <f t="shared" si="15"/>
        <v>84.79</v>
      </c>
      <c r="H344" t="str">
        <f>_xlfn.XLOOKUP(B344,customer_orders!A:A,customer_orders!F:F)</f>
        <v>2026-03</v>
      </c>
      <c r="I344" t="str">
        <f>_xlfn.XLOOKUP(C344,products!A:A,products!B:B)</f>
        <v>SKU-0001</v>
      </c>
      <c r="J344" t="str">
        <f>_xlfn.XLOOKUP(B344,customer_orders!A:A,customer_orders!G:G)</f>
        <v>2026-w10</v>
      </c>
      <c r="K344">
        <f>IFERROR(_xlfn.XLOOKUP(B344,shipments!B:B,shipments!H:H),0)</f>
        <v>0</v>
      </c>
      <c r="L344">
        <f t="shared" si="16"/>
        <v>0</v>
      </c>
      <c r="M344" t="str">
        <f>_xlfn.XLOOKUP(B344,customer_orders!A:A,customer_orders!D:D)</f>
        <v>Walmart</v>
      </c>
      <c r="N344" t="str">
        <f>_xlfn.XLOOKUP(C344,inventory!B:B,inventory!C:C)</f>
        <v>South Jordan</v>
      </c>
      <c r="O344">
        <f>IF(_xlfn.XLOOKUP(C344,products!A:A,products!E:E)="NULL",0,_xlfn.XLOOKUP(C344,products!A:A,products!E:E))</f>
        <v>134.77000000000001</v>
      </c>
      <c r="P344">
        <f t="shared" si="17"/>
        <v>-49.980000000000004</v>
      </c>
      <c r="Q344" s="2" t="str">
        <f>_xlfn.XLOOKUP(I344,products!B:B,products!D:D)</f>
        <v>Home</v>
      </c>
    </row>
    <row r="345" spans="1:17">
      <c r="A345">
        <v>344</v>
      </c>
      <c r="B345">
        <v>1141</v>
      </c>
      <c r="C345">
        <v>133</v>
      </c>
      <c r="D345">
        <v>3</v>
      </c>
      <c r="E345">
        <v>214.42</v>
      </c>
      <c r="F345">
        <v>0</v>
      </c>
      <c r="G345">
        <f t="shared" si="15"/>
        <v>643.26</v>
      </c>
      <c r="H345" t="str">
        <f>_xlfn.XLOOKUP(B345,customer_orders!A:A,customer_orders!F:F)</f>
        <v>2026-03</v>
      </c>
      <c r="I345" t="str">
        <f>_xlfn.XLOOKUP(C345,products!A:A,products!B:B)</f>
        <v>SKU-0133</v>
      </c>
      <c r="J345" t="str">
        <f>_xlfn.XLOOKUP(B345,customer_orders!A:A,customer_orders!G:G)</f>
        <v>2026-w10</v>
      </c>
      <c r="K345">
        <f>IFERROR(_xlfn.XLOOKUP(B345,shipments!B:B,shipments!H:H),0)</f>
        <v>0</v>
      </c>
      <c r="L345">
        <f t="shared" si="16"/>
        <v>0</v>
      </c>
      <c r="M345" t="str">
        <f>_xlfn.XLOOKUP(B345,customer_orders!A:A,customer_orders!D:D)</f>
        <v>Walmart</v>
      </c>
      <c r="N345" t="str">
        <f>_xlfn.XLOOKUP(C345,inventory!B:B,inventory!C:C)</f>
        <v>Unknown</v>
      </c>
      <c r="O345">
        <f>IF(_xlfn.XLOOKUP(C345,products!A:A,products!E:E)="NULL",0,_xlfn.XLOOKUP(C345,products!A:A,products!E:E))</f>
        <v>125.52</v>
      </c>
      <c r="P345">
        <f t="shared" si="17"/>
        <v>517.74</v>
      </c>
      <c r="Q345" s="2" t="str">
        <f>_xlfn.XLOOKUP(I345,products!B:B,products!D:D)</f>
        <v>Home</v>
      </c>
    </row>
    <row r="346" spans="1:17">
      <c r="A346">
        <v>345</v>
      </c>
      <c r="B346">
        <v>1141</v>
      </c>
      <c r="C346">
        <v>2</v>
      </c>
      <c r="D346">
        <v>5</v>
      </c>
      <c r="E346">
        <v>135.25</v>
      </c>
      <c r="F346">
        <v>0</v>
      </c>
      <c r="G346">
        <f t="shared" si="15"/>
        <v>676.25</v>
      </c>
      <c r="H346" t="str">
        <f>_xlfn.XLOOKUP(B346,customer_orders!A:A,customer_orders!F:F)</f>
        <v>2026-03</v>
      </c>
      <c r="I346" t="str">
        <f>_xlfn.XLOOKUP(C346,products!A:A,products!B:B)</f>
        <v>SKU-0002</v>
      </c>
      <c r="J346" t="str">
        <f>_xlfn.XLOOKUP(B346,customer_orders!A:A,customer_orders!G:G)</f>
        <v>2026-w10</v>
      </c>
      <c r="K346">
        <f>IFERROR(_xlfn.XLOOKUP(B346,shipments!B:B,shipments!H:H),0)</f>
        <v>0</v>
      </c>
      <c r="L346">
        <f t="shared" si="16"/>
        <v>0</v>
      </c>
      <c r="M346" t="str">
        <f>_xlfn.XLOOKUP(B346,customer_orders!A:A,customer_orders!D:D)</f>
        <v>Walmart</v>
      </c>
      <c r="N346" t="str">
        <f>_xlfn.XLOOKUP(C346,inventory!B:B,inventory!C:C)</f>
        <v>South Jordan</v>
      </c>
      <c r="O346">
        <f>IF(_xlfn.XLOOKUP(C346,products!A:A,products!E:E)="NULL",0,_xlfn.XLOOKUP(C346,products!A:A,products!E:E))</f>
        <v>20.21</v>
      </c>
      <c r="P346">
        <f t="shared" si="17"/>
        <v>656.04</v>
      </c>
      <c r="Q346" s="2" t="str">
        <f>_xlfn.XLOOKUP(I346,products!B:B,products!D:D)</f>
        <v>Home</v>
      </c>
    </row>
    <row r="347" spans="1:17">
      <c r="A347">
        <v>346</v>
      </c>
      <c r="B347">
        <v>1141</v>
      </c>
      <c r="C347">
        <v>81</v>
      </c>
      <c r="D347">
        <v>1</v>
      </c>
      <c r="E347">
        <v>244.17</v>
      </c>
      <c r="F347">
        <v>0</v>
      </c>
      <c r="G347">
        <f t="shared" si="15"/>
        <v>244.17</v>
      </c>
      <c r="H347" t="str">
        <f>_xlfn.XLOOKUP(B347,customer_orders!A:A,customer_orders!F:F)</f>
        <v>2026-03</v>
      </c>
      <c r="I347" t="str">
        <f>_xlfn.XLOOKUP(C347,products!A:A,products!B:B)</f>
        <v>SKU-0081</v>
      </c>
      <c r="J347" t="str">
        <f>_xlfn.XLOOKUP(B347,customer_orders!A:A,customer_orders!G:G)</f>
        <v>2026-w10</v>
      </c>
      <c r="K347">
        <f>IFERROR(_xlfn.XLOOKUP(B347,shipments!B:B,shipments!H:H),0)</f>
        <v>0</v>
      </c>
      <c r="L347">
        <f t="shared" si="16"/>
        <v>0</v>
      </c>
      <c r="M347" t="str">
        <f>_xlfn.XLOOKUP(B347,customer_orders!A:A,customer_orders!D:D)</f>
        <v>Walmart</v>
      </c>
      <c r="N347" t="str">
        <f>_xlfn.XLOOKUP(C347,inventory!B:B,inventory!C:C)</f>
        <v>Lehi</v>
      </c>
      <c r="O347">
        <f>IF(_xlfn.XLOOKUP(C347,products!A:A,products!E:E)="NULL",0,_xlfn.XLOOKUP(C347,products!A:A,products!E:E))</f>
        <v>43.3</v>
      </c>
      <c r="P347">
        <f t="shared" si="17"/>
        <v>200.87</v>
      </c>
      <c r="Q347" s="2" t="str">
        <f>_xlfn.XLOOKUP(I347,products!B:B,products!D:D)</f>
        <v>Home</v>
      </c>
    </row>
    <row r="348" spans="1:17">
      <c r="A348">
        <v>347</v>
      </c>
      <c r="B348">
        <v>1142</v>
      </c>
      <c r="C348">
        <v>25</v>
      </c>
      <c r="D348">
        <v>1</v>
      </c>
      <c r="E348">
        <v>265.23</v>
      </c>
      <c r="F348">
        <v>0</v>
      </c>
      <c r="G348">
        <f t="shared" si="15"/>
        <v>265.23</v>
      </c>
      <c r="H348" t="str">
        <f>_xlfn.XLOOKUP(B348,customer_orders!A:A,customer_orders!F:F)</f>
        <v>2026-05</v>
      </c>
      <c r="I348" t="str">
        <f>_xlfn.XLOOKUP(C348,products!A:A,products!B:B)</f>
        <v>SKU-0025</v>
      </c>
      <c r="J348" t="str">
        <f>_xlfn.XLOOKUP(B348,customer_orders!A:A,customer_orders!G:G)</f>
        <v>2026-w20</v>
      </c>
      <c r="K348">
        <f>IFERROR(_xlfn.XLOOKUP(B348,shipments!B:B,shipments!H:H),0)</f>
        <v>14.66</v>
      </c>
      <c r="L348">
        <f t="shared" si="16"/>
        <v>0.06</v>
      </c>
      <c r="M348" t="str">
        <f>_xlfn.XLOOKUP(B348,customer_orders!A:A,customer_orders!D:D)</f>
        <v>Amazon</v>
      </c>
      <c r="N348" t="str">
        <f>_xlfn.XLOOKUP(C348,inventory!B:B,inventory!C:C)</f>
        <v>Salt Lake City</v>
      </c>
      <c r="O348">
        <f>IF(_xlfn.XLOOKUP(C348,products!A:A,products!E:E)="NULL",0,_xlfn.XLOOKUP(C348,products!A:A,products!E:E))</f>
        <v>15.14</v>
      </c>
      <c r="P348">
        <f t="shared" si="17"/>
        <v>250.09000000000003</v>
      </c>
      <c r="Q348" s="2" t="str">
        <f>_xlfn.XLOOKUP(I348,products!B:B,products!D:D)</f>
        <v>Sports</v>
      </c>
    </row>
    <row r="349" spans="1:17">
      <c r="A349">
        <v>348</v>
      </c>
      <c r="B349">
        <v>1142</v>
      </c>
      <c r="C349">
        <v>36</v>
      </c>
      <c r="D349">
        <v>5</v>
      </c>
      <c r="E349">
        <v>94.39</v>
      </c>
      <c r="F349">
        <v>0</v>
      </c>
      <c r="G349">
        <f t="shared" si="15"/>
        <v>471.95</v>
      </c>
      <c r="H349" t="str">
        <f>_xlfn.XLOOKUP(B349,customer_orders!A:A,customer_orders!F:F)</f>
        <v>2026-05</v>
      </c>
      <c r="I349" t="str">
        <f>_xlfn.XLOOKUP(C349,products!A:A,products!B:B)</f>
        <v>SKU-0036</v>
      </c>
      <c r="J349" t="str">
        <f>_xlfn.XLOOKUP(B349,customer_orders!A:A,customer_orders!G:G)</f>
        <v>2026-w20</v>
      </c>
      <c r="K349">
        <f>IFERROR(_xlfn.XLOOKUP(B349,shipments!B:B,shipments!H:H),0)</f>
        <v>14.66</v>
      </c>
      <c r="L349">
        <f t="shared" si="16"/>
        <v>0.03</v>
      </c>
      <c r="M349" t="str">
        <f>_xlfn.XLOOKUP(B349,customer_orders!A:A,customer_orders!D:D)</f>
        <v>Amazon</v>
      </c>
      <c r="N349" t="str">
        <f>_xlfn.XLOOKUP(C349,inventory!B:B,inventory!C:C)</f>
        <v>Draper</v>
      </c>
      <c r="O349">
        <f>IF(_xlfn.XLOOKUP(C349,products!A:A,products!E:E)="NULL",0,_xlfn.XLOOKUP(C349,products!A:A,products!E:E))</f>
        <v>78.83</v>
      </c>
      <c r="P349">
        <f t="shared" si="17"/>
        <v>393.12</v>
      </c>
      <c r="Q349" s="2" t="str">
        <f>_xlfn.XLOOKUP(I349,products!B:B,products!D:D)</f>
        <v>Pet</v>
      </c>
    </row>
    <row r="350" spans="1:17">
      <c r="A350">
        <v>349</v>
      </c>
      <c r="B350">
        <v>1143</v>
      </c>
      <c r="C350">
        <v>77</v>
      </c>
      <c r="D350">
        <v>1</v>
      </c>
      <c r="E350">
        <v>195.39</v>
      </c>
      <c r="F350">
        <v>11.23</v>
      </c>
      <c r="G350">
        <f t="shared" si="15"/>
        <v>184.16</v>
      </c>
      <c r="H350" t="str">
        <f>_xlfn.XLOOKUP(B350,customer_orders!A:A,customer_orders!F:F)</f>
        <v>2026-05</v>
      </c>
      <c r="I350" t="str">
        <f>_xlfn.XLOOKUP(C350,products!A:A,products!B:B)</f>
        <v>SKU-0077</v>
      </c>
      <c r="J350" t="str">
        <f>_xlfn.XLOOKUP(B350,customer_orders!A:A,customer_orders!G:G)</f>
        <v>2026-w19</v>
      </c>
      <c r="K350">
        <f>IFERROR(_xlfn.XLOOKUP(B350,shipments!B:B,shipments!H:H),0)</f>
        <v>44.36</v>
      </c>
      <c r="L350">
        <f t="shared" si="16"/>
        <v>0.24</v>
      </c>
      <c r="M350" t="str">
        <f>_xlfn.XLOOKUP(B350,customer_orders!A:A,customer_orders!D:D)</f>
        <v>Walmart</v>
      </c>
      <c r="N350" t="str">
        <f>_xlfn.XLOOKUP(C350,inventory!B:B,inventory!C:C)</f>
        <v>Draper</v>
      </c>
      <c r="O350">
        <f>IF(_xlfn.XLOOKUP(C350,products!A:A,products!E:E)="NULL",0,_xlfn.XLOOKUP(C350,products!A:A,products!E:E))</f>
        <v>95.2</v>
      </c>
      <c r="P350">
        <f t="shared" si="17"/>
        <v>88.96</v>
      </c>
      <c r="Q350" s="2" t="str">
        <f>_xlfn.XLOOKUP(I350,products!B:B,products!D:D)</f>
        <v>Home</v>
      </c>
    </row>
    <row r="351" spans="1:17">
      <c r="A351">
        <v>350</v>
      </c>
      <c r="B351">
        <v>1144</v>
      </c>
      <c r="C351">
        <v>79</v>
      </c>
      <c r="D351">
        <v>1</v>
      </c>
      <c r="E351">
        <v>234.02</v>
      </c>
      <c r="F351">
        <v>0</v>
      </c>
      <c r="G351">
        <f t="shared" si="15"/>
        <v>234.02</v>
      </c>
      <c r="H351" t="str">
        <f>_xlfn.XLOOKUP(B351,customer_orders!A:A,customer_orders!F:F)</f>
        <v>2026-01</v>
      </c>
      <c r="I351" t="str">
        <f>_xlfn.XLOOKUP(C351,products!A:A,products!B:B)</f>
        <v>SKU-0079</v>
      </c>
      <c r="J351" t="str">
        <f>_xlfn.XLOOKUP(B351,customer_orders!A:A,customer_orders!G:G)</f>
        <v>2026-w01</v>
      </c>
      <c r="K351">
        <f>IFERROR(_xlfn.XLOOKUP(B351,shipments!B:B,shipments!H:H),0)</f>
        <v>21.77</v>
      </c>
      <c r="L351">
        <f t="shared" si="16"/>
        <v>0.09</v>
      </c>
      <c r="M351" t="str">
        <f>_xlfn.XLOOKUP(B351,customer_orders!A:A,customer_orders!D:D)</f>
        <v>Shopify</v>
      </c>
      <c r="N351" t="str">
        <f>_xlfn.XLOOKUP(C351,inventory!B:B,inventory!C:C)</f>
        <v>Unknown</v>
      </c>
      <c r="O351">
        <f>IF(_xlfn.XLOOKUP(C351,products!A:A,products!E:E)="NULL",0,_xlfn.XLOOKUP(C351,products!A:A,products!E:E))</f>
        <v>111.97</v>
      </c>
      <c r="P351">
        <f t="shared" si="17"/>
        <v>122.05000000000001</v>
      </c>
      <c r="Q351" s="2" t="str">
        <f>_xlfn.XLOOKUP(I351,products!B:B,products!D:D)</f>
        <v>Beauty</v>
      </c>
    </row>
    <row r="352" spans="1:17">
      <c r="A352">
        <v>351</v>
      </c>
      <c r="B352">
        <v>1145</v>
      </c>
      <c r="C352">
        <v>101</v>
      </c>
      <c r="D352">
        <v>3</v>
      </c>
      <c r="E352">
        <v>45.81</v>
      </c>
      <c r="F352">
        <v>0</v>
      </c>
      <c r="G352">
        <f t="shared" si="15"/>
        <v>137.43</v>
      </c>
      <c r="H352" t="str">
        <f>_xlfn.XLOOKUP(B352,customer_orders!A:A,customer_orders!F:F)</f>
        <v>2026-05</v>
      </c>
      <c r="I352" t="str">
        <f>_xlfn.XLOOKUP(C352,products!A:A,products!B:B)</f>
        <v>SKU-0101</v>
      </c>
      <c r="J352" t="str">
        <f>_xlfn.XLOOKUP(B352,customer_orders!A:A,customer_orders!G:G)</f>
        <v>2026-w20</v>
      </c>
      <c r="K352">
        <f>IFERROR(_xlfn.XLOOKUP(B352,shipments!B:B,shipments!H:H),0)</f>
        <v>26.98</v>
      </c>
      <c r="L352">
        <f t="shared" si="16"/>
        <v>0.2</v>
      </c>
      <c r="M352" t="str">
        <f>_xlfn.XLOOKUP(B352,customer_orders!A:A,customer_orders!D:D)</f>
        <v>Shopify</v>
      </c>
      <c r="N352" t="str">
        <f>_xlfn.XLOOKUP(C352,inventory!B:B,inventory!C:C)</f>
        <v>South Jordan</v>
      </c>
      <c r="O352">
        <f>IF(_xlfn.XLOOKUP(C352,products!A:A,products!E:E)="NULL",0,_xlfn.XLOOKUP(C352,products!A:A,products!E:E))</f>
        <v>173.83</v>
      </c>
      <c r="P352">
        <f t="shared" si="17"/>
        <v>-36.400000000000006</v>
      </c>
      <c r="Q352" s="2" t="str">
        <f>_xlfn.XLOOKUP(I352,products!B:B,products!D:D)</f>
        <v>Home</v>
      </c>
    </row>
    <row r="353" spans="1:17">
      <c r="A353">
        <v>352</v>
      </c>
      <c r="B353">
        <v>1145</v>
      </c>
      <c r="C353">
        <v>122</v>
      </c>
      <c r="D353">
        <v>1</v>
      </c>
      <c r="E353">
        <v>151.15</v>
      </c>
      <c r="F353">
        <v>0</v>
      </c>
      <c r="G353">
        <f t="shared" si="15"/>
        <v>151.15</v>
      </c>
      <c r="H353" t="str">
        <f>_xlfn.XLOOKUP(B353,customer_orders!A:A,customer_orders!F:F)</f>
        <v>2026-05</v>
      </c>
      <c r="I353" t="str">
        <f>_xlfn.XLOOKUP(C353,products!A:A,products!B:B)</f>
        <v>SKU-0122</v>
      </c>
      <c r="J353" t="str">
        <f>_xlfn.XLOOKUP(B353,customer_orders!A:A,customer_orders!G:G)</f>
        <v>2026-w20</v>
      </c>
      <c r="K353">
        <f>IFERROR(_xlfn.XLOOKUP(B353,shipments!B:B,shipments!H:H),0)</f>
        <v>26.98</v>
      </c>
      <c r="L353">
        <f t="shared" si="16"/>
        <v>0.18</v>
      </c>
      <c r="M353" t="str">
        <f>_xlfn.XLOOKUP(B353,customer_orders!A:A,customer_orders!D:D)</f>
        <v>Shopify</v>
      </c>
      <c r="N353" t="str">
        <f>_xlfn.XLOOKUP(C353,inventory!B:B,inventory!C:C)</f>
        <v>South Jordan</v>
      </c>
      <c r="O353">
        <f>IF(_xlfn.XLOOKUP(C353,products!A:A,products!E:E)="NULL",0,_xlfn.XLOOKUP(C353,products!A:A,products!E:E))</f>
        <v>169.69</v>
      </c>
      <c r="P353">
        <f t="shared" si="17"/>
        <v>-18.539999999999992</v>
      </c>
      <c r="Q353" s="2" t="str">
        <f>_xlfn.XLOOKUP(I353,products!B:B,products!D:D)</f>
        <v>Electronics</v>
      </c>
    </row>
    <row r="354" spans="1:17">
      <c r="A354">
        <v>353</v>
      </c>
      <c r="B354">
        <v>1145</v>
      </c>
      <c r="C354">
        <v>22</v>
      </c>
      <c r="D354">
        <v>7</v>
      </c>
      <c r="E354">
        <v>159.69</v>
      </c>
      <c r="F354">
        <v>0</v>
      </c>
      <c r="G354">
        <f t="shared" si="15"/>
        <v>1117.83</v>
      </c>
      <c r="H354" t="str">
        <f>_xlfn.XLOOKUP(B354,customer_orders!A:A,customer_orders!F:F)</f>
        <v>2026-05</v>
      </c>
      <c r="I354" t="str">
        <f>_xlfn.XLOOKUP(C354,products!A:A,products!B:B)</f>
        <v>SKU-0022</v>
      </c>
      <c r="J354" t="str">
        <f>_xlfn.XLOOKUP(B354,customer_orders!A:A,customer_orders!G:G)</f>
        <v>2026-w20</v>
      </c>
      <c r="K354">
        <f>IFERROR(_xlfn.XLOOKUP(B354,shipments!B:B,shipments!H:H),0)</f>
        <v>26.98</v>
      </c>
      <c r="L354">
        <f t="shared" si="16"/>
        <v>0.02</v>
      </c>
      <c r="M354" t="str">
        <f>_xlfn.XLOOKUP(B354,customer_orders!A:A,customer_orders!D:D)</f>
        <v>Shopify</v>
      </c>
      <c r="N354" t="str">
        <f>_xlfn.XLOOKUP(C354,inventory!B:B,inventory!C:C)</f>
        <v>Lehi</v>
      </c>
      <c r="O354">
        <f>IF(_xlfn.XLOOKUP(C354,products!A:A,products!E:E)="NULL",0,_xlfn.XLOOKUP(C354,products!A:A,products!E:E))</f>
        <v>138.34</v>
      </c>
      <c r="P354">
        <f t="shared" si="17"/>
        <v>979.4899999999999</v>
      </c>
      <c r="Q354" s="2" t="str">
        <f>_xlfn.XLOOKUP(I354,products!B:B,products!D:D)</f>
        <v>Sports</v>
      </c>
    </row>
    <row r="355" spans="1:17">
      <c r="A355">
        <v>354</v>
      </c>
      <c r="B355">
        <v>1146</v>
      </c>
      <c r="C355">
        <v>83</v>
      </c>
      <c r="D355">
        <v>2</v>
      </c>
      <c r="E355">
        <v>269.23</v>
      </c>
      <c r="F355">
        <v>2.58</v>
      </c>
      <c r="G355">
        <f t="shared" si="15"/>
        <v>535.88</v>
      </c>
      <c r="H355" t="str">
        <f>_xlfn.XLOOKUP(B355,customer_orders!A:A,customer_orders!F:F)</f>
        <v>2026-03</v>
      </c>
      <c r="I355" t="str">
        <f>_xlfn.XLOOKUP(C355,products!A:A,products!B:B)</f>
        <v>SKU-0083</v>
      </c>
      <c r="J355" t="str">
        <f>_xlfn.XLOOKUP(B355,customer_orders!A:A,customer_orders!G:G)</f>
        <v>2026-w10</v>
      </c>
      <c r="K355">
        <f>IFERROR(_xlfn.XLOOKUP(B355,shipments!B:B,shipments!H:H),0)</f>
        <v>83.5</v>
      </c>
      <c r="L355">
        <f t="shared" si="16"/>
        <v>0.16</v>
      </c>
      <c r="M355" t="str">
        <f>_xlfn.XLOOKUP(B355,customer_orders!A:A,customer_orders!D:D)</f>
        <v>Amazon</v>
      </c>
      <c r="N355" t="str">
        <f>_xlfn.XLOOKUP(C355,inventory!B:B,inventory!C:C)</f>
        <v>Salt Lake City</v>
      </c>
      <c r="O355">
        <f>IF(_xlfn.XLOOKUP(C355,products!A:A,products!E:E)="NULL",0,_xlfn.XLOOKUP(C355,products!A:A,products!E:E))</f>
        <v>147.63</v>
      </c>
      <c r="P355">
        <f t="shared" si="17"/>
        <v>388.25</v>
      </c>
      <c r="Q355" s="2" t="str">
        <f>_xlfn.XLOOKUP(I355,products!B:B,products!D:D)</f>
        <v>Pet</v>
      </c>
    </row>
    <row r="356" spans="1:17">
      <c r="A356">
        <v>355</v>
      </c>
      <c r="B356">
        <v>1146</v>
      </c>
      <c r="C356">
        <v>109</v>
      </c>
      <c r="D356">
        <v>6</v>
      </c>
      <c r="E356">
        <v>257.52</v>
      </c>
      <c r="F356">
        <v>0</v>
      </c>
      <c r="G356">
        <f t="shared" si="15"/>
        <v>1545.12</v>
      </c>
      <c r="H356" t="str">
        <f>_xlfn.XLOOKUP(B356,customer_orders!A:A,customer_orders!F:F)</f>
        <v>2026-03</v>
      </c>
      <c r="I356" t="str">
        <f>_xlfn.XLOOKUP(C356,products!A:A,products!B:B)</f>
        <v>SKU-0109</v>
      </c>
      <c r="J356" t="str">
        <f>_xlfn.XLOOKUP(B356,customer_orders!A:A,customer_orders!G:G)</f>
        <v>2026-w10</v>
      </c>
      <c r="K356">
        <f>IFERROR(_xlfn.XLOOKUP(B356,shipments!B:B,shipments!H:H),0)</f>
        <v>83.5</v>
      </c>
      <c r="L356">
        <f t="shared" si="16"/>
        <v>0.05</v>
      </c>
      <c r="M356" t="str">
        <f>_xlfn.XLOOKUP(B356,customer_orders!A:A,customer_orders!D:D)</f>
        <v>Amazon</v>
      </c>
      <c r="N356" t="str">
        <f>_xlfn.XLOOKUP(C356,inventory!B:B,inventory!C:C)</f>
        <v>Draper</v>
      </c>
      <c r="O356">
        <f>IF(_xlfn.XLOOKUP(C356,products!A:A,products!E:E)="NULL",0,_xlfn.XLOOKUP(C356,products!A:A,products!E:E))</f>
        <v>10.02</v>
      </c>
      <c r="P356">
        <f t="shared" si="17"/>
        <v>1535.1</v>
      </c>
      <c r="Q356" s="2" t="str">
        <f>_xlfn.XLOOKUP(I356,products!B:B,products!D:D)</f>
        <v>Office</v>
      </c>
    </row>
    <row r="357" spans="1:17">
      <c r="A357">
        <v>356</v>
      </c>
      <c r="B357">
        <v>1146</v>
      </c>
      <c r="C357">
        <v>89</v>
      </c>
      <c r="D357">
        <v>1</v>
      </c>
      <c r="E357">
        <v>126</v>
      </c>
      <c r="F357">
        <v>0</v>
      </c>
      <c r="G357">
        <f t="shared" si="15"/>
        <v>126</v>
      </c>
      <c r="H357" t="str">
        <f>_xlfn.XLOOKUP(B357,customer_orders!A:A,customer_orders!F:F)</f>
        <v>2026-03</v>
      </c>
      <c r="I357" t="str">
        <f>_xlfn.XLOOKUP(C357,products!A:A,products!B:B)</f>
        <v>SKU-0089</v>
      </c>
      <c r="J357" t="str">
        <f>_xlfn.XLOOKUP(B357,customer_orders!A:A,customer_orders!G:G)</f>
        <v>2026-w10</v>
      </c>
      <c r="K357">
        <f>IFERROR(_xlfn.XLOOKUP(B357,shipments!B:B,shipments!H:H),0)</f>
        <v>83.5</v>
      </c>
      <c r="L357">
        <f t="shared" si="16"/>
        <v>0.66</v>
      </c>
      <c r="M357" t="str">
        <f>_xlfn.XLOOKUP(B357,customer_orders!A:A,customer_orders!D:D)</f>
        <v>Amazon</v>
      </c>
      <c r="N357" t="str">
        <f>_xlfn.XLOOKUP(C357,inventory!B:B,inventory!C:C)</f>
        <v>South Jordan</v>
      </c>
      <c r="O357">
        <f>IF(_xlfn.XLOOKUP(C357,products!A:A,products!E:E)="NULL",0,_xlfn.XLOOKUP(C357,products!A:A,products!E:E))</f>
        <v>150.76</v>
      </c>
      <c r="P357">
        <f t="shared" si="17"/>
        <v>-24.759999999999991</v>
      </c>
      <c r="Q357" s="2" t="str">
        <f>_xlfn.XLOOKUP(I357,products!B:B,products!D:D)</f>
        <v>Electronics</v>
      </c>
    </row>
    <row r="358" spans="1:17">
      <c r="A358">
        <v>357</v>
      </c>
      <c r="B358">
        <v>1146</v>
      </c>
      <c r="C358">
        <v>90</v>
      </c>
      <c r="D358">
        <v>8</v>
      </c>
      <c r="E358">
        <v>115.25</v>
      </c>
      <c r="F358">
        <v>9.7200000000000006</v>
      </c>
      <c r="G358">
        <f t="shared" si="15"/>
        <v>912.28</v>
      </c>
      <c r="H358" t="str">
        <f>_xlfn.XLOOKUP(B358,customer_orders!A:A,customer_orders!F:F)</f>
        <v>2026-03</v>
      </c>
      <c r="I358" t="str">
        <f>_xlfn.XLOOKUP(C358,products!A:A,products!B:B)</f>
        <v>SKU-0090</v>
      </c>
      <c r="J358" t="str">
        <f>_xlfn.XLOOKUP(B358,customer_orders!A:A,customer_orders!G:G)</f>
        <v>2026-w10</v>
      </c>
      <c r="K358">
        <f>IFERROR(_xlfn.XLOOKUP(B358,shipments!B:B,shipments!H:H),0)</f>
        <v>83.5</v>
      </c>
      <c r="L358">
        <f t="shared" si="16"/>
        <v>0.09</v>
      </c>
      <c r="M358" t="str">
        <f>_xlfn.XLOOKUP(B358,customer_orders!A:A,customer_orders!D:D)</f>
        <v>Amazon</v>
      </c>
      <c r="N358" t="str">
        <f>_xlfn.XLOOKUP(C358,inventory!B:B,inventory!C:C)</f>
        <v>Salt Lake City</v>
      </c>
      <c r="O358">
        <f>IF(_xlfn.XLOOKUP(C358,products!A:A,products!E:E)="NULL",0,_xlfn.XLOOKUP(C358,products!A:A,products!E:E))</f>
        <v>6.03</v>
      </c>
      <c r="P358">
        <f t="shared" si="17"/>
        <v>906.25</v>
      </c>
      <c r="Q358" s="2" t="str">
        <f>_xlfn.XLOOKUP(I358,products!B:B,products!D:D)</f>
        <v>Office</v>
      </c>
    </row>
    <row r="359" spans="1:17">
      <c r="A359">
        <v>358</v>
      </c>
      <c r="B359">
        <v>1147</v>
      </c>
      <c r="C359">
        <v>4</v>
      </c>
      <c r="D359">
        <v>6</v>
      </c>
      <c r="E359">
        <v>94.28</v>
      </c>
      <c r="F359">
        <v>0</v>
      </c>
      <c r="G359">
        <f t="shared" si="15"/>
        <v>565.68000000000006</v>
      </c>
      <c r="H359" t="str">
        <f>_xlfn.XLOOKUP(B359,customer_orders!A:A,customer_orders!F:F)</f>
        <v>2026-01</v>
      </c>
      <c r="I359" t="str">
        <f>_xlfn.XLOOKUP(C359,products!A:A,products!B:B)</f>
        <v>SKU-0004</v>
      </c>
      <c r="J359" t="str">
        <f>_xlfn.XLOOKUP(B359,customer_orders!A:A,customer_orders!G:G)</f>
        <v>2026-w03</v>
      </c>
      <c r="K359">
        <f>IFERROR(_xlfn.XLOOKUP(B359,shipments!B:B,shipments!H:H),0)</f>
        <v>88.67</v>
      </c>
      <c r="L359">
        <f t="shared" si="16"/>
        <v>0.16</v>
      </c>
      <c r="M359" t="str">
        <f>_xlfn.XLOOKUP(B359,customer_orders!A:A,customer_orders!D:D)</f>
        <v>Amazon</v>
      </c>
      <c r="N359" t="str">
        <f>_xlfn.XLOOKUP(C359,inventory!B:B,inventory!C:C)</f>
        <v>Draper</v>
      </c>
      <c r="O359">
        <f>IF(_xlfn.XLOOKUP(C359,products!A:A,products!E:E)="NULL",0,_xlfn.XLOOKUP(C359,products!A:A,products!E:E))</f>
        <v>83.61</v>
      </c>
      <c r="P359">
        <f t="shared" si="17"/>
        <v>482.07000000000005</v>
      </c>
      <c r="Q359" s="2" t="str">
        <f>_xlfn.XLOOKUP(I359,products!B:B,products!D:D)</f>
        <v>Office</v>
      </c>
    </row>
    <row r="360" spans="1:17">
      <c r="A360">
        <v>359</v>
      </c>
      <c r="B360">
        <v>1147</v>
      </c>
      <c r="C360">
        <v>79</v>
      </c>
      <c r="D360">
        <v>8</v>
      </c>
      <c r="E360">
        <v>234.02</v>
      </c>
      <c r="F360">
        <v>0</v>
      </c>
      <c r="G360">
        <f t="shared" si="15"/>
        <v>1872.16</v>
      </c>
      <c r="H360" t="str">
        <f>_xlfn.XLOOKUP(B360,customer_orders!A:A,customer_orders!F:F)</f>
        <v>2026-01</v>
      </c>
      <c r="I360" t="str">
        <f>_xlfn.XLOOKUP(C360,products!A:A,products!B:B)</f>
        <v>SKU-0079</v>
      </c>
      <c r="J360" t="str">
        <f>_xlfn.XLOOKUP(B360,customer_orders!A:A,customer_orders!G:G)</f>
        <v>2026-w03</v>
      </c>
      <c r="K360">
        <f>IFERROR(_xlfn.XLOOKUP(B360,shipments!B:B,shipments!H:H),0)</f>
        <v>88.67</v>
      </c>
      <c r="L360">
        <f t="shared" si="16"/>
        <v>0.05</v>
      </c>
      <c r="M360" t="str">
        <f>_xlfn.XLOOKUP(B360,customer_orders!A:A,customer_orders!D:D)</f>
        <v>Amazon</v>
      </c>
      <c r="N360" t="str">
        <f>_xlfn.XLOOKUP(C360,inventory!B:B,inventory!C:C)</f>
        <v>Unknown</v>
      </c>
      <c r="O360">
        <f>IF(_xlfn.XLOOKUP(C360,products!A:A,products!E:E)="NULL",0,_xlfn.XLOOKUP(C360,products!A:A,products!E:E))</f>
        <v>111.97</v>
      </c>
      <c r="P360">
        <f t="shared" si="17"/>
        <v>1760.19</v>
      </c>
      <c r="Q360" s="2" t="str">
        <f>_xlfn.XLOOKUP(I360,products!B:B,products!D:D)</f>
        <v>Beauty</v>
      </c>
    </row>
    <row r="361" spans="1:17">
      <c r="A361">
        <v>360</v>
      </c>
      <c r="B361">
        <v>1147</v>
      </c>
      <c r="C361">
        <v>54</v>
      </c>
      <c r="D361">
        <v>4</v>
      </c>
      <c r="E361">
        <v>256.14</v>
      </c>
      <c r="F361">
        <v>0</v>
      </c>
      <c r="G361">
        <f t="shared" si="15"/>
        <v>1024.56</v>
      </c>
      <c r="H361" t="str">
        <f>_xlfn.XLOOKUP(B361,customer_orders!A:A,customer_orders!F:F)</f>
        <v>2026-01</v>
      </c>
      <c r="I361" t="str">
        <f>_xlfn.XLOOKUP(C361,products!A:A,products!B:B)</f>
        <v>SKU-0054</v>
      </c>
      <c r="J361" t="str">
        <f>_xlfn.XLOOKUP(B361,customer_orders!A:A,customer_orders!G:G)</f>
        <v>2026-w03</v>
      </c>
      <c r="K361">
        <f>IFERROR(_xlfn.XLOOKUP(B361,shipments!B:B,shipments!H:H),0)</f>
        <v>88.67</v>
      </c>
      <c r="L361">
        <f t="shared" si="16"/>
        <v>0.09</v>
      </c>
      <c r="M361" t="str">
        <f>_xlfn.XLOOKUP(B361,customer_orders!A:A,customer_orders!D:D)</f>
        <v>Amazon</v>
      </c>
      <c r="N361" t="str">
        <f>_xlfn.XLOOKUP(C361,inventory!B:B,inventory!C:C)</f>
        <v>Salt Lake City</v>
      </c>
      <c r="O361">
        <f>IF(_xlfn.XLOOKUP(C361,products!A:A,products!E:E)="NULL",0,_xlfn.XLOOKUP(C361,products!A:A,products!E:E))</f>
        <v>163.43</v>
      </c>
      <c r="P361">
        <f t="shared" si="17"/>
        <v>861.12999999999988</v>
      </c>
      <c r="Q361" s="2" t="str">
        <f>_xlfn.XLOOKUP(I361,products!B:B,products!D:D)</f>
        <v>Pet</v>
      </c>
    </row>
    <row r="362" spans="1:17">
      <c r="A362">
        <v>361</v>
      </c>
      <c r="B362">
        <v>1148</v>
      </c>
      <c r="C362">
        <v>52</v>
      </c>
      <c r="D362">
        <v>5</v>
      </c>
      <c r="E362">
        <v>59.3</v>
      </c>
      <c r="F362">
        <v>0</v>
      </c>
      <c r="G362">
        <f t="shared" si="15"/>
        <v>296.5</v>
      </c>
      <c r="H362" t="str">
        <f>_xlfn.XLOOKUP(B362,customer_orders!A:A,customer_orders!F:F)</f>
        <v>2026-01</v>
      </c>
      <c r="I362" t="str">
        <f>_xlfn.XLOOKUP(C362,products!A:A,products!B:B)</f>
        <v>SKU-0052</v>
      </c>
      <c r="J362" t="str">
        <f>_xlfn.XLOOKUP(B362,customer_orders!A:A,customer_orders!G:G)</f>
        <v>2026-w03</v>
      </c>
      <c r="K362">
        <f>IFERROR(_xlfn.XLOOKUP(B362,shipments!B:B,shipments!H:H),0)</f>
        <v>0</v>
      </c>
      <c r="L362">
        <f t="shared" si="16"/>
        <v>0</v>
      </c>
      <c r="M362" t="str">
        <f>_xlfn.XLOOKUP(B362,customer_orders!A:A,customer_orders!D:D)</f>
        <v>Shopify</v>
      </c>
      <c r="N362" t="str">
        <f>_xlfn.XLOOKUP(C362,inventory!B:B,inventory!C:C)</f>
        <v>Lehi</v>
      </c>
      <c r="O362">
        <f>IF(_xlfn.XLOOKUP(C362,products!A:A,products!E:E)="NULL",0,_xlfn.XLOOKUP(C362,products!A:A,products!E:E))</f>
        <v>134.91999999999999</v>
      </c>
      <c r="P362">
        <f t="shared" si="17"/>
        <v>161.58000000000001</v>
      </c>
      <c r="Q362" s="2" t="str">
        <f>_xlfn.XLOOKUP(I362,products!B:B,products!D:D)</f>
        <v>Home</v>
      </c>
    </row>
    <row r="363" spans="1:17">
      <c r="A363">
        <v>362</v>
      </c>
      <c r="B363">
        <v>1148</v>
      </c>
      <c r="C363">
        <v>18</v>
      </c>
      <c r="D363">
        <v>7</v>
      </c>
      <c r="E363">
        <v>60.59</v>
      </c>
      <c r="F363">
        <v>0</v>
      </c>
      <c r="G363">
        <f t="shared" si="15"/>
        <v>424.13</v>
      </c>
      <c r="H363" t="str">
        <f>_xlfn.XLOOKUP(B363,customer_orders!A:A,customer_orders!F:F)</f>
        <v>2026-01</v>
      </c>
      <c r="I363" t="str">
        <f>_xlfn.XLOOKUP(C363,products!A:A,products!B:B)</f>
        <v>SKU-0018</v>
      </c>
      <c r="J363" t="str">
        <f>_xlfn.XLOOKUP(B363,customer_orders!A:A,customer_orders!G:G)</f>
        <v>2026-w03</v>
      </c>
      <c r="K363">
        <f>IFERROR(_xlfn.XLOOKUP(B363,shipments!B:B,shipments!H:H),0)</f>
        <v>0</v>
      </c>
      <c r="L363">
        <f t="shared" si="16"/>
        <v>0</v>
      </c>
      <c r="M363" t="str">
        <f>_xlfn.XLOOKUP(B363,customer_orders!A:A,customer_orders!D:D)</f>
        <v>Shopify</v>
      </c>
      <c r="N363" t="str">
        <f>_xlfn.XLOOKUP(C363,inventory!B:B,inventory!C:C)</f>
        <v>Unknown</v>
      </c>
      <c r="O363">
        <f>IF(_xlfn.XLOOKUP(C363,products!A:A,products!E:E)="NULL",0,_xlfn.XLOOKUP(C363,products!A:A,products!E:E))</f>
        <v>31.75</v>
      </c>
      <c r="P363">
        <f t="shared" si="17"/>
        <v>392.38</v>
      </c>
      <c r="Q363" s="2" t="str">
        <f>_xlfn.XLOOKUP(I363,products!B:B,products!D:D)</f>
        <v>Electronics</v>
      </c>
    </row>
    <row r="364" spans="1:17">
      <c r="A364">
        <v>363</v>
      </c>
      <c r="B364">
        <v>1148</v>
      </c>
      <c r="C364">
        <v>28</v>
      </c>
      <c r="D364">
        <v>1</v>
      </c>
      <c r="E364">
        <v>206.43</v>
      </c>
      <c r="F364">
        <v>5.09</v>
      </c>
      <c r="G364">
        <f t="shared" si="15"/>
        <v>201.34</v>
      </c>
      <c r="H364" t="str">
        <f>_xlfn.XLOOKUP(B364,customer_orders!A:A,customer_orders!F:F)</f>
        <v>2026-01</v>
      </c>
      <c r="I364" t="str">
        <f>_xlfn.XLOOKUP(C364,products!A:A,products!B:B)</f>
        <v>SKU-0028</v>
      </c>
      <c r="J364" t="str">
        <f>_xlfn.XLOOKUP(B364,customer_orders!A:A,customer_orders!G:G)</f>
        <v>2026-w03</v>
      </c>
      <c r="K364">
        <f>IFERROR(_xlfn.XLOOKUP(B364,shipments!B:B,shipments!H:H),0)</f>
        <v>0</v>
      </c>
      <c r="L364">
        <f t="shared" si="16"/>
        <v>0</v>
      </c>
      <c r="M364" t="str">
        <f>_xlfn.XLOOKUP(B364,customer_orders!A:A,customer_orders!D:D)</f>
        <v>Shopify</v>
      </c>
      <c r="N364" t="str">
        <f>_xlfn.XLOOKUP(C364,inventory!B:B,inventory!C:C)</f>
        <v>West Valley</v>
      </c>
      <c r="O364">
        <f>IF(_xlfn.XLOOKUP(C364,products!A:A,products!E:E)="NULL",0,_xlfn.XLOOKUP(C364,products!A:A,products!E:E))</f>
        <v>74.819999999999993</v>
      </c>
      <c r="P364">
        <f t="shared" si="17"/>
        <v>126.52000000000001</v>
      </c>
      <c r="Q364" s="2" t="str">
        <f>_xlfn.XLOOKUP(I364,products!B:B,products!D:D)</f>
        <v>Beauty</v>
      </c>
    </row>
    <row r="365" spans="1:17">
      <c r="A365">
        <v>364</v>
      </c>
      <c r="B365">
        <v>1149</v>
      </c>
      <c r="C365">
        <v>125</v>
      </c>
      <c r="D365">
        <v>2</v>
      </c>
      <c r="E365">
        <v>273.92</v>
      </c>
      <c r="F365">
        <v>3.61</v>
      </c>
      <c r="G365">
        <f t="shared" si="15"/>
        <v>544.23</v>
      </c>
      <c r="H365" t="str">
        <f>_xlfn.XLOOKUP(B365,customer_orders!A:A,customer_orders!F:F)</f>
        <v>2026-04</v>
      </c>
      <c r="I365" t="str">
        <f>_xlfn.XLOOKUP(C365,products!A:A,products!B:B)</f>
        <v>SKU-0125</v>
      </c>
      <c r="J365" t="str">
        <f>_xlfn.XLOOKUP(B365,customer_orders!A:A,customer_orders!G:G)</f>
        <v>2026-w15</v>
      </c>
      <c r="K365">
        <f>IFERROR(_xlfn.XLOOKUP(B365,shipments!B:B,shipments!H:H),0)</f>
        <v>45.22</v>
      </c>
      <c r="L365">
        <f t="shared" si="16"/>
        <v>0.08</v>
      </c>
      <c r="M365" t="str">
        <f>_xlfn.XLOOKUP(B365,customer_orders!A:A,customer_orders!D:D)</f>
        <v>Shopify</v>
      </c>
      <c r="N365" t="str">
        <f>_xlfn.XLOOKUP(C365,inventory!B:B,inventory!C:C)</f>
        <v>Draper</v>
      </c>
      <c r="O365">
        <f>IF(_xlfn.XLOOKUP(C365,products!A:A,products!E:E)="NULL",0,_xlfn.XLOOKUP(C365,products!A:A,products!E:E))</f>
        <v>71.569999999999993</v>
      </c>
      <c r="P365">
        <f t="shared" si="17"/>
        <v>472.66</v>
      </c>
      <c r="Q365" s="2" t="str">
        <f>_xlfn.XLOOKUP(I365,products!B:B,products!D:D)</f>
        <v>Beauty</v>
      </c>
    </row>
    <row r="366" spans="1:17">
      <c r="A366">
        <v>365</v>
      </c>
      <c r="B366">
        <v>1149</v>
      </c>
      <c r="C366">
        <v>144</v>
      </c>
      <c r="D366">
        <v>1</v>
      </c>
      <c r="E366">
        <v>194.56</v>
      </c>
      <c r="F366">
        <v>0</v>
      </c>
      <c r="G366">
        <f t="shared" si="15"/>
        <v>194.56</v>
      </c>
      <c r="H366" t="str">
        <f>_xlfn.XLOOKUP(B366,customer_orders!A:A,customer_orders!F:F)</f>
        <v>2026-04</v>
      </c>
      <c r="I366" t="str">
        <f>_xlfn.XLOOKUP(C366,products!A:A,products!B:B)</f>
        <v>SKU-0144</v>
      </c>
      <c r="J366" t="str">
        <f>_xlfn.XLOOKUP(B366,customer_orders!A:A,customer_orders!G:G)</f>
        <v>2026-w15</v>
      </c>
      <c r="K366">
        <f>IFERROR(_xlfn.XLOOKUP(B366,shipments!B:B,shipments!H:H),0)</f>
        <v>45.22</v>
      </c>
      <c r="L366">
        <f t="shared" si="16"/>
        <v>0.23</v>
      </c>
      <c r="M366" t="str">
        <f>_xlfn.XLOOKUP(B366,customer_orders!A:A,customer_orders!D:D)</f>
        <v>Shopify</v>
      </c>
      <c r="N366" t="str">
        <f>_xlfn.XLOOKUP(C366,inventory!B:B,inventory!C:C)</f>
        <v>South Jordan</v>
      </c>
      <c r="O366">
        <f>IF(_xlfn.XLOOKUP(C366,products!A:A,products!E:E)="NULL",0,_xlfn.XLOOKUP(C366,products!A:A,products!E:E))</f>
        <v>10.050000000000001</v>
      </c>
      <c r="P366">
        <f t="shared" si="17"/>
        <v>184.51</v>
      </c>
      <c r="Q366" s="2" t="str">
        <f>_xlfn.XLOOKUP(I366,products!B:B,products!D:D)</f>
        <v>Pet</v>
      </c>
    </row>
    <row r="367" spans="1:17">
      <c r="A367">
        <v>366</v>
      </c>
      <c r="B367">
        <v>1149</v>
      </c>
      <c r="C367">
        <v>86</v>
      </c>
      <c r="D367">
        <v>8</v>
      </c>
      <c r="E367">
        <v>81.83</v>
      </c>
      <c r="F367">
        <v>0</v>
      </c>
      <c r="G367">
        <f t="shared" si="15"/>
        <v>654.64</v>
      </c>
      <c r="H367" t="str">
        <f>_xlfn.XLOOKUP(B367,customer_orders!A:A,customer_orders!F:F)</f>
        <v>2026-04</v>
      </c>
      <c r="I367" t="str">
        <f>_xlfn.XLOOKUP(C367,products!A:A,products!B:B)</f>
        <v>SKU-0086</v>
      </c>
      <c r="J367" t="str">
        <f>_xlfn.XLOOKUP(B367,customer_orders!A:A,customer_orders!G:G)</f>
        <v>2026-w15</v>
      </c>
      <c r="K367">
        <f>IFERROR(_xlfn.XLOOKUP(B367,shipments!B:B,shipments!H:H),0)</f>
        <v>45.22</v>
      </c>
      <c r="L367">
        <f t="shared" si="16"/>
        <v>7.0000000000000007E-2</v>
      </c>
      <c r="M367" t="str">
        <f>_xlfn.XLOOKUP(B367,customer_orders!A:A,customer_orders!D:D)</f>
        <v>Shopify</v>
      </c>
      <c r="N367" t="str">
        <f>_xlfn.XLOOKUP(C367,inventory!B:B,inventory!C:C)</f>
        <v>Draper</v>
      </c>
      <c r="O367">
        <f>IF(_xlfn.XLOOKUP(C367,products!A:A,products!E:E)="NULL",0,_xlfn.XLOOKUP(C367,products!A:A,products!E:E))</f>
        <v>129.87</v>
      </c>
      <c r="P367">
        <f t="shared" si="17"/>
        <v>524.77</v>
      </c>
      <c r="Q367" s="2" t="str">
        <f>_xlfn.XLOOKUP(I367,products!B:B,products!D:D)</f>
        <v>Pet</v>
      </c>
    </row>
    <row r="368" spans="1:17">
      <c r="A368">
        <v>367</v>
      </c>
      <c r="B368">
        <v>1150</v>
      </c>
      <c r="C368">
        <v>58</v>
      </c>
      <c r="D368">
        <v>3</v>
      </c>
      <c r="E368">
        <v>57.21</v>
      </c>
      <c r="F368">
        <v>5.79</v>
      </c>
      <c r="G368">
        <f t="shared" si="15"/>
        <v>165.84</v>
      </c>
      <c r="H368" t="str">
        <f>_xlfn.XLOOKUP(B368,customer_orders!A:A,customer_orders!F:F)</f>
        <v>2026-03</v>
      </c>
      <c r="I368" t="str">
        <f>_xlfn.XLOOKUP(C368,products!A:A,products!B:B)</f>
        <v>SKU-0058</v>
      </c>
      <c r="J368" t="str">
        <f>_xlfn.XLOOKUP(B368,customer_orders!A:A,customer_orders!G:G)</f>
        <v>2026-w10</v>
      </c>
      <c r="K368">
        <f>IFERROR(_xlfn.XLOOKUP(B368,shipments!B:B,shipments!H:H),0)</f>
        <v>56.1</v>
      </c>
      <c r="L368">
        <f t="shared" si="16"/>
        <v>0.34</v>
      </c>
      <c r="M368" t="str">
        <f>_xlfn.XLOOKUP(B368,customer_orders!A:A,customer_orders!D:D)</f>
        <v>Amazon</v>
      </c>
      <c r="N368" t="str">
        <f>_xlfn.XLOOKUP(C368,inventory!B:B,inventory!C:C)</f>
        <v>South Jordan</v>
      </c>
      <c r="O368">
        <f>IF(_xlfn.XLOOKUP(C368,products!A:A,products!E:E)="NULL",0,_xlfn.XLOOKUP(C368,products!A:A,products!E:E))</f>
        <v>106.94</v>
      </c>
      <c r="P368">
        <f t="shared" si="17"/>
        <v>58.900000000000006</v>
      </c>
      <c r="Q368" s="2" t="str">
        <f>_xlfn.XLOOKUP(I368,products!B:B,products!D:D)</f>
        <v>Electronics</v>
      </c>
    </row>
    <row r="369" spans="1:17">
      <c r="A369">
        <v>368</v>
      </c>
      <c r="B369">
        <v>1150</v>
      </c>
      <c r="C369">
        <v>36</v>
      </c>
      <c r="D369">
        <v>2</v>
      </c>
      <c r="E369">
        <v>94.39</v>
      </c>
      <c r="F369">
        <v>0</v>
      </c>
      <c r="G369">
        <f t="shared" si="15"/>
        <v>188.78</v>
      </c>
      <c r="H369" t="str">
        <f>_xlfn.XLOOKUP(B369,customer_orders!A:A,customer_orders!F:F)</f>
        <v>2026-03</v>
      </c>
      <c r="I369" t="str">
        <f>_xlfn.XLOOKUP(C369,products!A:A,products!B:B)</f>
        <v>SKU-0036</v>
      </c>
      <c r="J369" t="str">
        <f>_xlfn.XLOOKUP(B369,customer_orders!A:A,customer_orders!G:G)</f>
        <v>2026-w10</v>
      </c>
      <c r="K369">
        <f>IFERROR(_xlfn.XLOOKUP(B369,shipments!B:B,shipments!H:H),0)</f>
        <v>56.1</v>
      </c>
      <c r="L369">
        <f t="shared" si="16"/>
        <v>0.3</v>
      </c>
      <c r="M369" t="str">
        <f>_xlfn.XLOOKUP(B369,customer_orders!A:A,customer_orders!D:D)</f>
        <v>Amazon</v>
      </c>
      <c r="N369" t="str">
        <f>_xlfn.XLOOKUP(C369,inventory!B:B,inventory!C:C)</f>
        <v>Draper</v>
      </c>
      <c r="O369">
        <f>IF(_xlfn.XLOOKUP(C369,products!A:A,products!E:E)="NULL",0,_xlfn.XLOOKUP(C369,products!A:A,products!E:E))</f>
        <v>78.83</v>
      </c>
      <c r="P369">
        <f t="shared" si="17"/>
        <v>109.95</v>
      </c>
      <c r="Q369" s="2" t="str">
        <f>_xlfn.XLOOKUP(I369,products!B:B,products!D:D)</f>
        <v>Pet</v>
      </c>
    </row>
    <row r="370" spans="1:17">
      <c r="A370">
        <v>369</v>
      </c>
      <c r="B370">
        <v>1150</v>
      </c>
      <c r="C370">
        <v>107</v>
      </c>
      <c r="D370">
        <v>4</v>
      </c>
      <c r="E370">
        <v>223.34</v>
      </c>
      <c r="F370">
        <v>9.02</v>
      </c>
      <c r="G370">
        <f t="shared" si="15"/>
        <v>884.34</v>
      </c>
      <c r="H370" t="str">
        <f>_xlfn.XLOOKUP(B370,customer_orders!A:A,customer_orders!F:F)</f>
        <v>2026-03</v>
      </c>
      <c r="I370" t="str">
        <f>_xlfn.XLOOKUP(C370,products!A:A,products!B:B)</f>
        <v>SKU-0107</v>
      </c>
      <c r="J370" t="str">
        <f>_xlfn.XLOOKUP(B370,customer_orders!A:A,customer_orders!G:G)</f>
        <v>2026-w10</v>
      </c>
      <c r="K370">
        <f>IFERROR(_xlfn.XLOOKUP(B370,shipments!B:B,shipments!H:H),0)</f>
        <v>56.1</v>
      </c>
      <c r="L370">
        <f t="shared" si="16"/>
        <v>0.06</v>
      </c>
      <c r="M370" t="str">
        <f>_xlfn.XLOOKUP(B370,customer_orders!A:A,customer_orders!D:D)</f>
        <v>Amazon</v>
      </c>
      <c r="N370" t="str">
        <f>_xlfn.XLOOKUP(C370,inventory!B:B,inventory!C:C)</f>
        <v>South Jordan</v>
      </c>
      <c r="O370">
        <f>IF(_xlfn.XLOOKUP(C370,products!A:A,products!E:E)="NULL",0,_xlfn.XLOOKUP(C370,products!A:A,products!E:E))</f>
        <v>81.23</v>
      </c>
      <c r="P370">
        <f t="shared" si="17"/>
        <v>803.11</v>
      </c>
      <c r="Q370" s="2" t="str">
        <f>_xlfn.XLOOKUP(I370,products!B:B,products!D:D)</f>
        <v>Pet</v>
      </c>
    </row>
    <row r="371" spans="1:17">
      <c r="A371">
        <v>370</v>
      </c>
      <c r="B371">
        <v>1151</v>
      </c>
      <c r="C371">
        <v>111</v>
      </c>
      <c r="D371">
        <v>3</v>
      </c>
      <c r="E371">
        <v>39.4</v>
      </c>
      <c r="F371">
        <v>0</v>
      </c>
      <c r="G371">
        <f t="shared" si="15"/>
        <v>118.19999999999999</v>
      </c>
      <c r="H371" t="str">
        <f>_xlfn.XLOOKUP(B371,customer_orders!A:A,customer_orders!F:F)</f>
        <v>2026-02</v>
      </c>
      <c r="I371" t="str">
        <f>_xlfn.XLOOKUP(C371,products!A:A,products!B:B)</f>
        <v>SKU0111</v>
      </c>
      <c r="J371" t="str">
        <f>_xlfn.XLOOKUP(B371,customer_orders!A:A,customer_orders!G:G)</f>
        <v>2026-w08</v>
      </c>
      <c r="K371">
        <f>IFERROR(_xlfn.XLOOKUP(B371,shipments!B:B,shipments!H:H),0)</f>
        <v>88.34</v>
      </c>
      <c r="L371">
        <f t="shared" si="16"/>
        <v>0.75</v>
      </c>
      <c r="M371" t="str">
        <f>_xlfn.XLOOKUP(B371,customer_orders!A:A,customer_orders!D:D)</f>
        <v>Ebay</v>
      </c>
      <c r="N371" t="str">
        <f>_xlfn.XLOOKUP(C371,inventory!B:B,inventory!C:C)</f>
        <v>West Valley</v>
      </c>
      <c r="O371">
        <f>IF(_xlfn.XLOOKUP(C371,products!A:A,products!E:E)="NULL",0,_xlfn.XLOOKUP(C371,products!A:A,products!E:E))</f>
        <v>170.91</v>
      </c>
      <c r="P371">
        <f t="shared" si="17"/>
        <v>-52.710000000000008</v>
      </c>
      <c r="Q371" s="2" t="str">
        <f>_xlfn.XLOOKUP(I371,products!B:B,products!D:D)</f>
        <v>Electronics</v>
      </c>
    </row>
    <row r="372" spans="1:17">
      <c r="A372">
        <v>371</v>
      </c>
      <c r="B372">
        <v>1151</v>
      </c>
      <c r="C372">
        <v>82</v>
      </c>
      <c r="D372">
        <v>2</v>
      </c>
      <c r="E372">
        <v>243.4</v>
      </c>
      <c r="F372">
        <v>0</v>
      </c>
      <c r="G372">
        <f t="shared" si="15"/>
        <v>486.8</v>
      </c>
      <c r="H372" t="str">
        <f>_xlfn.XLOOKUP(B372,customer_orders!A:A,customer_orders!F:F)</f>
        <v>2026-02</v>
      </c>
      <c r="I372" t="str">
        <f>_xlfn.XLOOKUP(C372,products!A:A,products!B:B)</f>
        <v>SKU-0082</v>
      </c>
      <c r="J372" t="str">
        <f>_xlfn.XLOOKUP(B372,customer_orders!A:A,customer_orders!G:G)</f>
        <v>2026-w08</v>
      </c>
      <c r="K372">
        <f>IFERROR(_xlfn.XLOOKUP(B372,shipments!B:B,shipments!H:H),0)</f>
        <v>88.34</v>
      </c>
      <c r="L372">
        <f t="shared" si="16"/>
        <v>0.18</v>
      </c>
      <c r="M372" t="str">
        <f>_xlfn.XLOOKUP(B372,customer_orders!A:A,customer_orders!D:D)</f>
        <v>Ebay</v>
      </c>
      <c r="N372" t="str">
        <f>_xlfn.XLOOKUP(C372,inventory!B:B,inventory!C:C)</f>
        <v>Unknown</v>
      </c>
      <c r="O372">
        <f>IF(_xlfn.XLOOKUP(C372,products!A:A,products!E:E)="NULL",0,_xlfn.XLOOKUP(C372,products!A:A,products!E:E))</f>
        <v>84.88</v>
      </c>
      <c r="P372">
        <f t="shared" si="17"/>
        <v>401.92</v>
      </c>
      <c r="Q372" s="2" t="str">
        <f>_xlfn.XLOOKUP(I372,products!B:B,products!D:D)</f>
        <v>Beauty</v>
      </c>
    </row>
    <row r="373" spans="1:17">
      <c r="A373">
        <v>372</v>
      </c>
      <c r="B373">
        <v>1152</v>
      </c>
      <c r="C373">
        <v>39</v>
      </c>
      <c r="D373">
        <v>4</v>
      </c>
      <c r="E373">
        <v>129.30000000000001</v>
      </c>
      <c r="F373">
        <v>0</v>
      </c>
      <c r="G373">
        <f t="shared" si="15"/>
        <v>517.20000000000005</v>
      </c>
      <c r="H373" t="str">
        <f>_xlfn.XLOOKUP(B373,customer_orders!A:A,customer_orders!F:F)</f>
        <v>2026-04</v>
      </c>
      <c r="I373" t="str">
        <f>_xlfn.XLOOKUP(C373,products!A:A,products!B:B)</f>
        <v>SKU-0039</v>
      </c>
      <c r="J373" t="str">
        <f>_xlfn.XLOOKUP(B373,customer_orders!A:A,customer_orders!G:G)</f>
        <v>2026-w17</v>
      </c>
      <c r="K373">
        <f>IFERROR(_xlfn.XLOOKUP(B373,shipments!B:B,shipments!H:H),0)</f>
        <v>19.55</v>
      </c>
      <c r="L373">
        <f t="shared" si="16"/>
        <v>0.04</v>
      </c>
      <c r="M373" t="str">
        <f>_xlfn.XLOOKUP(B373,customer_orders!A:A,customer_orders!D:D)</f>
        <v>Shopify</v>
      </c>
      <c r="N373" t="str">
        <f>_xlfn.XLOOKUP(C373,inventory!B:B,inventory!C:C)</f>
        <v>West Valley</v>
      </c>
      <c r="O373">
        <f>IF(_xlfn.XLOOKUP(C373,products!A:A,products!E:E)="NULL",0,_xlfn.XLOOKUP(C373,products!A:A,products!E:E))</f>
        <v>42.41</v>
      </c>
      <c r="P373">
        <f t="shared" si="17"/>
        <v>474.79000000000008</v>
      </c>
      <c r="Q373" s="2" t="str">
        <f>_xlfn.XLOOKUP(I373,products!B:B,products!D:D)</f>
        <v>Pet</v>
      </c>
    </row>
    <row r="374" spans="1:17">
      <c r="A374">
        <v>373</v>
      </c>
      <c r="B374">
        <v>1152</v>
      </c>
      <c r="C374">
        <v>7</v>
      </c>
      <c r="D374">
        <v>5</v>
      </c>
      <c r="E374">
        <v>292.33999999999997</v>
      </c>
      <c r="F374">
        <v>0</v>
      </c>
      <c r="G374">
        <f t="shared" si="15"/>
        <v>1461.6999999999998</v>
      </c>
      <c r="H374" t="str">
        <f>_xlfn.XLOOKUP(B374,customer_orders!A:A,customer_orders!F:F)</f>
        <v>2026-04</v>
      </c>
      <c r="I374" t="str">
        <f>_xlfn.XLOOKUP(C374,products!A:A,products!B:B)</f>
        <v>SKU-0007</v>
      </c>
      <c r="J374" t="str">
        <f>_xlfn.XLOOKUP(B374,customer_orders!A:A,customer_orders!G:G)</f>
        <v>2026-w17</v>
      </c>
      <c r="K374">
        <f>IFERROR(_xlfn.XLOOKUP(B374,shipments!B:B,shipments!H:H),0)</f>
        <v>19.55</v>
      </c>
      <c r="L374">
        <f t="shared" si="16"/>
        <v>0.01</v>
      </c>
      <c r="M374" t="str">
        <f>_xlfn.XLOOKUP(B374,customer_orders!A:A,customer_orders!D:D)</f>
        <v>Shopify</v>
      </c>
      <c r="N374" t="str">
        <f>_xlfn.XLOOKUP(C374,inventory!B:B,inventory!C:C)</f>
        <v>Unknown</v>
      </c>
      <c r="O374">
        <f>IF(_xlfn.XLOOKUP(C374,products!A:A,products!E:E)="NULL",0,_xlfn.XLOOKUP(C374,products!A:A,products!E:E))</f>
        <v>98.84</v>
      </c>
      <c r="P374">
        <f t="shared" si="17"/>
        <v>1362.86</v>
      </c>
      <c r="Q374" s="2" t="str">
        <f>_xlfn.XLOOKUP(I374,products!B:B,products!D:D)</f>
        <v>Electronics</v>
      </c>
    </row>
    <row r="375" spans="1:17">
      <c r="A375">
        <v>374</v>
      </c>
      <c r="B375">
        <v>1152</v>
      </c>
      <c r="C375">
        <v>60</v>
      </c>
      <c r="D375">
        <v>4</v>
      </c>
      <c r="E375">
        <v>115.8</v>
      </c>
      <c r="F375">
        <v>0</v>
      </c>
      <c r="G375">
        <f t="shared" si="15"/>
        <v>463.2</v>
      </c>
      <c r="H375" t="str">
        <f>_xlfn.XLOOKUP(B375,customer_orders!A:A,customer_orders!F:F)</f>
        <v>2026-04</v>
      </c>
      <c r="I375" t="str">
        <f>_xlfn.XLOOKUP(C375,products!A:A,products!B:B)</f>
        <v>SKU-0060</v>
      </c>
      <c r="J375" t="str">
        <f>_xlfn.XLOOKUP(B375,customer_orders!A:A,customer_orders!G:G)</f>
        <v>2026-w17</v>
      </c>
      <c r="K375">
        <f>IFERROR(_xlfn.XLOOKUP(B375,shipments!B:B,shipments!H:H),0)</f>
        <v>19.55</v>
      </c>
      <c r="L375">
        <f t="shared" si="16"/>
        <v>0.04</v>
      </c>
      <c r="M375" t="str">
        <f>_xlfn.XLOOKUP(B375,customer_orders!A:A,customer_orders!D:D)</f>
        <v>Shopify</v>
      </c>
      <c r="N375" t="str">
        <f>_xlfn.XLOOKUP(C375,inventory!B:B,inventory!C:C)</f>
        <v>Draper</v>
      </c>
      <c r="O375">
        <f>IF(_xlfn.XLOOKUP(C375,products!A:A,products!E:E)="NULL",0,_xlfn.XLOOKUP(C375,products!A:A,products!E:E))</f>
        <v>121.71</v>
      </c>
      <c r="P375">
        <f t="shared" si="17"/>
        <v>341.49</v>
      </c>
      <c r="Q375" s="2" t="str">
        <f>_xlfn.XLOOKUP(I375,products!B:B,products!D:D)</f>
        <v>Beauty</v>
      </c>
    </row>
    <row r="376" spans="1:17">
      <c r="A376">
        <v>375</v>
      </c>
      <c r="B376">
        <v>1153</v>
      </c>
      <c r="C376">
        <v>50</v>
      </c>
      <c r="D376">
        <v>4</v>
      </c>
      <c r="E376">
        <v>252.62</v>
      </c>
      <c r="F376">
        <v>0</v>
      </c>
      <c r="G376">
        <f t="shared" si="15"/>
        <v>1010.48</v>
      </c>
      <c r="H376" t="str">
        <f>_xlfn.XLOOKUP(B376,customer_orders!A:A,customer_orders!F:F)</f>
        <v>2026-04</v>
      </c>
      <c r="I376" t="str">
        <f>_xlfn.XLOOKUP(C376,products!A:A,products!B:B)</f>
        <v>SKU-0050</v>
      </c>
      <c r="J376" t="str">
        <f>_xlfn.XLOOKUP(B376,customer_orders!A:A,customer_orders!G:G)</f>
        <v>2026-w15</v>
      </c>
      <c r="K376">
        <f>IFERROR(_xlfn.XLOOKUP(B376,shipments!B:B,shipments!H:H),0)</f>
        <v>111.54</v>
      </c>
      <c r="L376">
        <f t="shared" si="16"/>
        <v>0.11</v>
      </c>
      <c r="M376" t="str">
        <f>_xlfn.XLOOKUP(B376,customer_orders!A:A,customer_orders!D:D)</f>
        <v>Walmart</v>
      </c>
      <c r="N376" t="str">
        <f>_xlfn.XLOOKUP(C376,inventory!B:B,inventory!C:C)</f>
        <v>South Jordan</v>
      </c>
      <c r="O376">
        <f>IF(_xlfn.XLOOKUP(C376,products!A:A,products!E:E)="NULL",0,_xlfn.XLOOKUP(C376,products!A:A,products!E:E))</f>
        <v>32.61</v>
      </c>
      <c r="P376">
        <f t="shared" si="17"/>
        <v>977.87</v>
      </c>
      <c r="Q376" s="2" t="str">
        <f>_xlfn.XLOOKUP(I376,products!B:B,products!D:D)</f>
        <v>Kitchen</v>
      </c>
    </row>
    <row r="377" spans="1:17">
      <c r="A377">
        <v>376</v>
      </c>
      <c r="B377">
        <v>1153</v>
      </c>
      <c r="C377">
        <v>70</v>
      </c>
      <c r="D377">
        <v>7</v>
      </c>
      <c r="E377">
        <v>244.86</v>
      </c>
      <c r="F377">
        <v>0</v>
      </c>
      <c r="G377">
        <f t="shared" si="15"/>
        <v>1714.02</v>
      </c>
      <c r="H377" t="str">
        <f>_xlfn.XLOOKUP(B377,customer_orders!A:A,customer_orders!F:F)</f>
        <v>2026-04</v>
      </c>
      <c r="I377" t="str">
        <f>_xlfn.XLOOKUP(C377,products!A:A,products!B:B)</f>
        <v>SKU-0070</v>
      </c>
      <c r="J377" t="str">
        <f>_xlfn.XLOOKUP(B377,customer_orders!A:A,customer_orders!G:G)</f>
        <v>2026-w15</v>
      </c>
      <c r="K377">
        <f>IFERROR(_xlfn.XLOOKUP(B377,shipments!B:B,shipments!H:H),0)</f>
        <v>111.54</v>
      </c>
      <c r="L377">
        <f t="shared" si="16"/>
        <v>7.0000000000000007E-2</v>
      </c>
      <c r="M377" t="str">
        <f>_xlfn.XLOOKUP(B377,customer_orders!A:A,customer_orders!D:D)</f>
        <v>Walmart</v>
      </c>
      <c r="N377" t="str">
        <f>_xlfn.XLOOKUP(C377,inventory!B:B,inventory!C:C)</f>
        <v>Lehi</v>
      </c>
      <c r="O377">
        <f>IF(_xlfn.XLOOKUP(C377,products!A:A,products!E:E)="NULL",0,_xlfn.XLOOKUP(C377,products!A:A,products!E:E))</f>
        <v>95.99</v>
      </c>
      <c r="P377">
        <f t="shared" si="17"/>
        <v>1618.03</v>
      </c>
      <c r="Q377" s="2" t="str">
        <f>_xlfn.XLOOKUP(I377,products!B:B,products!D:D)</f>
        <v>Office</v>
      </c>
    </row>
    <row r="378" spans="1:17">
      <c r="A378">
        <v>377</v>
      </c>
      <c r="B378">
        <v>1154</v>
      </c>
      <c r="C378">
        <v>98</v>
      </c>
      <c r="D378">
        <v>6</v>
      </c>
      <c r="E378">
        <v>285.64</v>
      </c>
      <c r="F378">
        <v>0</v>
      </c>
      <c r="G378">
        <f t="shared" si="15"/>
        <v>1713.84</v>
      </c>
      <c r="H378" t="str">
        <f>_xlfn.XLOOKUP(B378,customer_orders!A:A,customer_orders!F:F)</f>
        <v>2026-04</v>
      </c>
      <c r="I378" t="str">
        <f>_xlfn.XLOOKUP(C378,products!A:A,products!B:B)</f>
        <v>SKU-0098</v>
      </c>
      <c r="J378" t="str">
        <f>_xlfn.XLOOKUP(B378,customer_orders!A:A,customer_orders!G:G)</f>
        <v>2026-w18</v>
      </c>
      <c r="K378">
        <f>IFERROR(_xlfn.XLOOKUP(B378,shipments!B:B,shipments!H:H),0)</f>
        <v>57</v>
      </c>
      <c r="L378">
        <f t="shared" si="16"/>
        <v>0.03</v>
      </c>
      <c r="M378" t="str">
        <f>_xlfn.XLOOKUP(B378,customer_orders!A:A,customer_orders!D:D)</f>
        <v>Walmart</v>
      </c>
      <c r="N378" t="str">
        <f>_xlfn.XLOOKUP(C378,inventory!B:B,inventory!C:C)</f>
        <v>South Jordan</v>
      </c>
      <c r="O378">
        <f>IF(_xlfn.XLOOKUP(C378,products!A:A,products!E:E)="NULL",0,_xlfn.XLOOKUP(C378,products!A:A,products!E:E))</f>
        <v>136.99</v>
      </c>
      <c r="P378">
        <f t="shared" si="17"/>
        <v>1576.85</v>
      </c>
      <c r="Q378" s="2" t="str">
        <f>_xlfn.XLOOKUP(I378,products!B:B,products!D:D)</f>
        <v>Home</v>
      </c>
    </row>
    <row r="379" spans="1:17">
      <c r="A379">
        <v>378</v>
      </c>
      <c r="B379">
        <v>1155</v>
      </c>
      <c r="C379">
        <v>75</v>
      </c>
      <c r="D379">
        <v>8</v>
      </c>
      <c r="E379">
        <v>180.3</v>
      </c>
      <c r="F379">
        <v>0</v>
      </c>
      <c r="G379">
        <f t="shared" si="15"/>
        <v>1442.4</v>
      </c>
      <c r="H379" t="str">
        <f>_xlfn.XLOOKUP(B379,customer_orders!A:A,customer_orders!F:F)</f>
        <v>2026-04</v>
      </c>
      <c r="I379" t="str">
        <f>_xlfn.XLOOKUP(C379,products!A:A,products!B:B)</f>
        <v>SKU-0075</v>
      </c>
      <c r="J379" t="str">
        <f>_xlfn.XLOOKUP(B379,customer_orders!A:A,customer_orders!G:G)</f>
        <v>2026-w15</v>
      </c>
      <c r="K379">
        <f>IFERROR(_xlfn.XLOOKUP(B379,shipments!B:B,shipments!H:H),0)</f>
        <v>108.83</v>
      </c>
      <c r="L379">
        <f t="shared" si="16"/>
        <v>0.08</v>
      </c>
      <c r="M379" t="str">
        <f>_xlfn.XLOOKUP(B379,customer_orders!A:A,customer_orders!D:D)</f>
        <v>Shopify</v>
      </c>
      <c r="N379" t="str">
        <f>_xlfn.XLOOKUP(C379,inventory!B:B,inventory!C:C)</f>
        <v>Salt Lake City</v>
      </c>
      <c r="O379">
        <f>IF(_xlfn.XLOOKUP(C379,products!A:A,products!E:E)="NULL",0,_xlfn.XLOOKUP(C379,products!A:A,products!E:E))</f>
        <v>80.23</v>
      </c>
      <c r="P379">
        <f t="shared" si="17"/>
        <v>1362.17</v>
      </c>
      <c r="Q379" s="2" t="str">
        <f>_xlfn.XLOOKUP(I379,products!B:B,products!D:D)</f>
        <v>Sports</v>
      </c>
    </row>
    <row r="380" spans="1:17">
      <c r="A380">
        <v>379</v>
      </c>
      <c r="B380">
        <v>1155</v>
      </c>
      <c r="C380">
        <v>74</v>
      </c>
      <c r="D380">
        <v>8</v>
      </c>
      <c r="E380">
        <v>130.72999999999999</v>
      </c>
      <c r="F380">
        <v>0</v>
      </c>
      <c r="G380">
        <f t="shared" si="15"/>
        <v>1045.8399999999999</v>
      </c>
      <c r="H380" t="str">
        <f>_xlfn.XLOOKUP(B380,customer_orders!A:A,customer_orders!F:F)</f>
        <v>2026-04</v>
      </c>
      <c r="I380" t="str">
        <f>_xlfn.XLOOKUP(C380,products!A:A,products!B:B)</f>
        <v>SKU0074</v>
      </c>
      <c r="J380" t="str">
        <f>_xlfn.XLOOKUP(B380,customer_orders!A:A,customer_orders!G:G)</f>
        <v>2026-w15</v>
      </c>
      <c r="K380">
        <f>IFERROR(_xlfn.XLOOKUP(B380,shipments!B:B,shipments!H:H),0)</f>
        <v>108.83</v>
      </c>
      <c r="L380">
        <f t="shared" si="16"/>
        <v>0.1</v>
      </c>
      <c r="M380" t="str">
        <f>_xlfn.XLOOKUP(B380,customer_orders!A:A,customer_orders!D:D)</f>
        <v>Shopify</v>
      </c>
      <c r="N380" t="str">
        <f>_xlfn.XLOOKUP(C380,inventory!B:B,inventory!C:C)</f>
        <v>Unknown</v>
      </c>
      <c r="O380">
        <f>IF(_xlfn.XLOOKUP(C380,products!A:A,products!E:E)="NULL",0,_xlfn.XLOOKUP(C380,products!A:A,products!E:E))</f>
        <v>104.59</v>
      </c>
      <c r="P380">
        <f t="shared" si="17"/>
        <v>941.24999999999989</v>
      </c>
      <c r="Q380" s="2" t="str">
        <f>_xlfn.XLOOKUP(I380,products!B:B,products!D:D)</f>
        <v>Toys</v>
      </c>
    </row>
    <row r="381" spans="1:17">
      <c r="A381">
        <v>380</v>
      </c>
      <c r="B381">
        <v>1156</v>
      </c>
      <c r="C381">
        <v>101</v>
      </c>
      <c r="D381">
        <v>7</v>
      </c>
      <c r="E381">
        <v>45.81</v>
      </c>
      <c r="F381">
        <v>0</v>
      </c>
      <c r="G381">
        <f t="shared" si="15"/>
        <v>320.67</v>
      </c>
      <c r="H381" t="str">
        <f>_xlfn.XLOOKUP(B381,customer_orders!A:A,customer_orders!F:F)</f>
        <v>2026-05</v>
      </c>
      <c r="I381" t="str">
        <f>_xlfn.XLOOKUP(C381,products!A:A,products!B:B)</f>
        <v>SKU-0101</v>
      </c>
      <c r="J381" t="str">
        <f>_xlfn.XLOOKUP(B381,customer_orders!A:A,customer_orders!G:G)</f>
        <v>2026-w19</v>
      </c>
      <c r="K381">
        <f>IFERROR(_xlfn.XLOOKUP(B381,shipments!B:B,shipments!H:H),0)</f>
        <v>41.59</v>
      </c>
      <c r="L381">
        <f t="shared" si="16"/>
        <v>0.13</v>
      </c>
      <c r="M381" t="str">
        <f>_xlfn.XLOOKUP(B381,customer_orders!A:A,customer_orders!D:D)</f>
        <v>Shopify</v>
      </c>
      <c r="N381" t="str">
        <f>_xlfn.XLOOKUP(C381,inventory!B:B,inventory!C:C)</f>
        <v>South Jordan</v>
      </c>
      <c r="O381">
        <f>IF(_xlfn.XLOOKUP(C381,products!A:A,products!E:E)="NULL",0,_xlfn.XLOOKUP(C381,products!A:A,products!E:E))</f>
        <v>173.83</v>
      </c>
      <c r="P381">
        <f t="shared" si="17"/>
        <v>146.84</v>
      </c>
      <c r="Q381" s="2" t="str">
        <f>_xlfn.XLOOKUP(I381,products!B:B,products!D:D)</f>
        <v>Home</v>
      </c>
    </row>
    <row r="382" spans="1:17">
      <c r="A382">
        <v>381</v>
      </c>
      <c r="B382">
        <v>1156</v>
      </c>
      <c r="C382">
        <v>46</v>
      </c>
      <c r="D382">
        <v>8</v>
      </c>
      <c r="E382">
        <v>219.11</v>
      </c>
      <c r="F382">
        <v>0</v>
      </c>
      <c r="G382">
        <f t="shared" si="15"/>
        <v>1752.88</v>
      </c>
      <c r="H382" t="str">
        <f>_xlfn.XLOOKUP(B382,customer_orders!A:A,customer_orders!F:F)</f>
        <v>2026-05</v>
      </c>
      <c r="I382" t="str">
        <f>_xlfn.XLOOKUP(C382,products!A:A,products!B:B)</f>
        <v>SKU-0046</v>
      </c>
      <c r="J382" t="str">
        <f>_xlfn.XLOOKUP(B382,customer_orders!A:A,customer_orders!G:G)</f>
        <v>2026-w19</v>
      </c>
      <c r="K382">
        <f>IFERROR(_xlfn.XLOOKUP(B382,shipments!B:B,shipments!H:H),0)</f>
        <v>41.59</v>
      </c>
      <c r="L382">
        <f t="shared" si="16"/>
        <v>0.02</v>
      </c>
      <c r="M382" t="str">
        <f>_xlfn.XLOOKUP(B382,customer_orders!A:A,customer_orders!D:D)</f>
        <v>Shopify</v>
      </c>
      <c r="N382" t="str">
        <f>_xlfn.XLOOKUP(C382,inventory!B:B,inventory!C:C)</f>
        <v>Unknown</v>
      </c>
      <c r="O382">
        <f>IF(_xlfn.XLOOKUP(C382,products!A:A,products!E:E)="NULL",0,_xlfn.XLOOKUP(C382,products!A:A,products!E:E))</f>
        <v>40.75</v>
      </c>
      <c r="P382">
        <f t="shared" si="17"/>
        <v>1712.13</v>
      </c>
      <c r="Q382" s="2" t="str">
        <f>_xlfn.XLOOKUP(I382,products!B:B,products!D:D)</f>
        <v>Kitchen</v>
      </c>
    </row>
    <row r="383" spans="1:17">
      <c r="A383">
        <v>382</v>
      </c>
      <c r="B383">
        <v>1157</v>
      </c>
      <c r="C383">
        <v>22</v>
      </c>
      <c r="D383">
        <v>7</v>
      </c>
      <c r="E383">
        <v>159.69</v>
      </c>
      <c r="F383">
        <v>0</v>
      </c>
      <c r="G383">
        <f t="shared" si="15"/>
        <v>1117.83</v>
      </c>
      <c r="H383" t="str">
        <f>_xlfn.XLOOKUP(B383,customer_orders!A:A,customer_orders!F:F)</f>
        <v>2026-01</v>
      </c>
      <c r="I383" t="str">
        <f>_xlfn.XLOOKUP(C383,products!A:A,products!B:B)</f>
        <v>SKU-0022</v>
      </c>
      <c r="J383" t="str">
        <f>_xlfn.XLOOKUP(B383,customer_orders!A:A,customer_orders!G:G)</f>
        <v>2026-w04</v>
      </c>
      <c r="K383">
        <f>IFERROR(_xlfn.XLOOKUP(B383,shipments!B:B,shipments!H:H),0)</f>
        <v>52.67</v>
      </c>
      <c r="L383">
        <f t="shared" si="16"/>
        <v>0.05</v>
      </c>
      <c r="M383" t="str">
        <f>_xlfn.XLOOKUP(B383,customer_orders!A:A,customer_orders!D:D)</f>
        <v>Shopify</v>
      </c>
      <c r="N383" t="str">
        <f>_xlfn.XLOOKUP(C383,inventory!B:B,inventory!C:C)</f>
        <v>Lehi</v>
      </c>
      <c r="O383">
        <f>IF(_xlfn.XLOOKUP(C383,products!A:A,products!E:E)="NULL",0,_xlfn.XLOOKUP(C383,products!A:A,products!E:E))</f>
        <v>138.34</v>
      </c>
      <c r="P383">
        <f t="shared" si="17"/>
        <v>979.4899999999999</v>
      </c>
      <c r="Q383" s="2" t="str">
        <f>_xlfn.XLOOKUP(I383,products!B:B,products!D:D)</f>
        <v>Sports</v>
      </c>
    </row>
    <row r="384" spans="1:17">
      <c r="A384">
        <v>383</v>
      </c>
      <c r="B384">
        <v>1157</v>
      </c>
      <c r="C384">
        <v>97</v>
      </c>
      <c r="D384">
        <v>7</v>
      </c>
      <c r="E384">
        <v>168.73</v>
      </c>
      <c r="F384">
        <v>0</v>
      </c>
      <c r="G384">
        <f t="shared" si="15"/>
        <v>1181.1099999999999</v>
      </c>
      <c r="H384" t="str">
        <f>_xlfn.XLOOKUP(B384,customer_orders!A:A,customer_orders!F:F)</f>
        <v>2026-01</v>
      </c>
      <c r="I384" t="str">
        <f>_xlfn.XLOOKUP(C384,products!A:A,products!B:B)</f>
        <v>SKU-0097</v>
      </c>
      <c r="J384" t="str">
        <f>_xlfn.XLOOKUP(B384,customer_orders!A:A,customer_orders!G:G)</f>
        <v>2026-w04</v>
      </c>
      <c r="K384">
        <f>IFERROR(_xlfn.XLOOKUP(B384,shipments!B:B,shipments!H:H),0)</f>
        <v>52.67</v>
      </c>
      <c r="L384">
        <f t="shared" si="16"/>
        <v>0.04</v>
      </c>
      <c r="M384" t="str">
        <f>_xlfn.XLOOKUP(B384,customer_orders!A:A,customer_orders!D:D)</f>
        <v>Shopify</v>
      </c>
      <c r="N384" t="str">
        <f>_xlfn.XLOOKUP(C384,inventory!B:B,inventory!C:C)</f>
        <v>West Valley</v>
      </c>
      <c r="O384">
        <f>IF(_xlfn.XLOOKUP(C384,products!A:A,products!E:E)="NULL",0,_xlfn.XLOOKUP(C384,products!A:A,products!E:E))</f>
        <v>8.39</v>
      </c>
      <c r="P384">
        <f t="shared" si="17"/>
        <v>1172.7199999999998</v>
      </c>
      <c r="Q384" s="2" t="str">
        <f>_xlfn.XLOOKUP(I384,products!B:B,products!D:D)</f>
        <v>Home</v>
      </c>
    </row>
    <row r="385" spans="1:17">
      <c r="A385">
        <v>384</v>
      </c>
      <c r="B385">
        <v>1157</v>
      </c>
      <c r="C385">
        <v>86</v>
      </c>
      <c r="D385">
        <v>3</v>
      </c>
      <c r="E385">
        <v>81.83</v>
      </c>
      <c r="F385">
        <v>0</v>
      </c>
      <c r="G385">
        <f t="shared" si="15"/>
        <v>245.49</v>
      </c>
      <c r="H385" t="str">
        <f>_xlfn.XLOOKUP(B385,customer_orders!A:A,customer_orders!F:F)</f>
        <v>2026-01</v>
      </c>
      <c r="I385" t="str">
        <f>_xlfn.XLOOKUP(C385,products!A:A,products!B:B)</f>
        <v>SKU-0086</v>
      </c>
      <c r="J385" t="str">
        <f>_xlfn.XLOOKUP(B385,customer_orders!A:A,customer_orders!G:G)</f>
        <v>2026-w04</v>
      </c>
      <c r="K385">
        <f>IFERROR(_xlfn.XLOOKUP(B385,shipments!B:B,shipments!H:H),0)</f>
        <v>52.67</v>
      </c>
      <c r="L385">
        <f t="shared" si="16"/>
        <v>0.21</v>
      </c>
      <c r="M385" t="str">
        <f>_xlfn.XLOOKUP(B385,customer_orders!A:A,customer_orders!D:D)</f>
        <v>Shopify</v>
      </c>
      <c r="N385" t="str">
        <f>_xlfn.XLOOKUP(C385,inventory!B:B,inventory!C:C)</f>
        <v>Draper</v>
      </c>
      <c r="O385">
        <f>IF(_xlfn.XLOOKUP(C385,products!A:A,products!E:E)="NULL",0,_xlfn.XLOOKUP(C385,products!A:A,products!E:E))</f>
        <v>129.87</v>
      </c>
      <c r="P385">
        <f t="shared" si="17"/>
        <v>115.62</v>
      </c>
      <c r="Q385" s="2" t="str">
        <f>_xlfn.XLOOKUP(I385,products!B:B,products!D:D)</f>
        <v>Pet</v>
      </c>
    </row>
    <row r="386" spans="1:17">
      <c r="A386">
        <v>385</v>
      </c>
      <c r="B386">
        <v>1158</v>
      </c>
      <c r="C386">
        <v>4</v>
      </c>
      <c r="D386">
        <v>8</v>
      </c>
      <c r="E386">
        <v>94.28</v>
      </c>
      <c r="F386">
        <v>7.97</v>
      </c>
      <c r="G386">
        <f t="shared" si="15"/>
        <v>746.27</v>
      </c>
      <c r="H386" t="str">
        <f>_xlfn.XLOOKUP(B386,customer_orders!A:A,customer_orders!F:F)</f>
        <v>2026-01</v>
      </c>
      <c r="I386" t="str">
        <f>_xlfn.XLOOKUP(C386,products!A:A,products!B:B)</f>
        <v>SKU-0004</v>
      </c>
      <c r="J386" t="str">
        <f>_xlfn.XLOOKUP(B386,customer_orders!A:A,customer_orders!G:G)</f>
        <v>2026-w05</v>
      </c>
      <c r="K386">
        <f>IFERROR(_xlfn.XLOOKUP(B386,shipments!B:B,shipments!H:H),0)</f>
        <v>13.21</v>
      </c>
      <c r="L386">
        <f t="shared" si="16"/>
        <v>0.02</v>
      </c>
      <c r="M386" t="str">
        <f>_xlfn.XLOOKUP(B386,customer_orders!A:A,customer_orders!D:D)</f>
        <v>Shopify</v>
      </c>
      <c r="N386" t="str">
        <f>_xlfn.XLOOKUP(C386,inventory!B:B,inventory!C:C)</f>
        <v>Draper</v>
      </c>
      <c r="O386">
        <f>IF(_xlfn.XLOOKUP(C386,products!A:A,products!E:E)="NULL",0,_xlfn.XLOOKUP(C386,products!A:A,products!E:E))</f>
        <v>83.61</v>
      </c>
      <c r="P386">
        <f t="shared" si="17"/>
        <v>662.66</v>
      </c>
      <c r="Q386" s="2" t="str">
        <f>_xlfn.XLOOKUP(I386,products!B:B,products!D:D)</f>
        <v>Office</v>
      </c>
    </row>
    <row r="387" spans="1:17">
      <c r="A387">
        <v>386</v>
      </c>
      <c r="B387">
        <v>1158</v>
      </c>
      <c r="C387">
        <v>140</v>
      </c>
      <c r="D387">
        <v>1</v>
      </c>
      <c r="E387">
        <v>86.93</v>
      </c>
      <c r="F387">
        <v>9.51</v>
      </c>
      <c r="G387">
        <f t="shared" ref="G387:G450" si="18">E387*D387-F387</f>
        <v>77.42</v>
      </c>
      <c r="H387" t="str">
        <f>_xlfn.XLOOKUP(B387,customer_orders!A:A,customer_orders!F:F)</f>
        <v>2026-01</v>
      </c>
      <c r="I387" t="str">
        <f>_xlfn.XLOOKUP(C387,products!A:A,products!B:B)</f>
        <v>SKU-0140</v>
      </c>
      <c r="J387" t="str">
        <f>_xlfn.XLOOKUP(B387,customer_orders!A:A,customer_orders!G:G)</f>
        <v>2026-w05</v>
      </c>
      <c r="K387">
        <f>IFERROR(_xlfn.XLOOKUP(B387,shipments!B:B,shipments!H:H),0)</f>
        <v>13.21</v>
      </c>
      <c r="L387">
        <f t="shared" ref="L387:L450" si="19">ROUND(K387/G387,2)</f>
        <v>0.17</v>
      </c>
      <c r="M387" t="str">
        <f>_xlfn.XLOOKUP(B387,customer_orders!A:A,customer_orders!D:D)</f>
        <v>Shopify</v>
      </c>
      <c r="N387" t="str">
        <f>_xlfn.XLOOKUP(C387,inventory!B:B,inventory!C:C)</f>
        <v>South Jordan</v>
      </c>
      <c r="O387">
        <f>IF(_xlfn.XLOOKUP(C387,products!A:A,products!E:E)="NULL",0,_xlfn.XLOOKUP(C387,products!A:A,products!E:E))</f>
        <v>20.41</v>
      </c>
      <c r="P387">
        <f t="shared" ref="P387:P450" si="20">G387-O387</f>
        <v>57.010000000000005</v>
      </c>
      <c r="Q387" s="2" t="str">
        <f>_xlfn.XLOOKUP(I387,products!B:B,products!D:D)</f>
        <v>Electronics</v>
      </c>
    </row>
    <row r="388" spans="1:17">
      <c r="A388">
        <v>387</v>
      </c>
      <c r="B388">
        <v>1158</v>
      </c>
      <c r="C388">
        <v>61</v>
      </c>
      <c r="D388">
        <v>4</v>
      </c>
      <c r="E388">
        <v>293.22000000000003</v>
      </c>
      <c r="F388">
        <v>9.24</v>
      </c>
      <c r="G388">
        <f t="shared" si="18"/>
        <v>1163.6400000000001</v>
      </c>
      <c r="H388" t="str">
        <f>_xlfn.XLOOKUP(B388,customer_orders!A:A,customer_orders!F:F)</f>
        <v>2026-01</v>
      </c>
      <c r="I388" t="str">
        <f>_xlfn.XLOOKUP(C388,products!A:A,products!B:B)</f>
        <v>SKU-0061</v>
      </c>
      <c r="J388" t="str">
        <f>_xlfn.XLOOKUP(B388,customer_orders!A:A,customer_orders!G:G)</f>
        <v>2026-w05</v>
      </c>
      <c r="K388">
        <f>IFERROR(_xlfn.XLOOKUP(B388,shipments!B:B,shipments!H:H),0)</f>
        <v>13.21</v>
      </c>
      <c r="L388">
        <f t="shared" si="19"/>
        <v>0.01</v>
      </c>
      <c r="M388" t="str">
        <f>_xlfn.XLOOKUP(B388,customer_orders!A:A,customer_orders!D:D)</f>
        <v>Shopify</v>
      </c>
      <c r="N388" t="str">
        <f>_xlfn.XLOOKUP(C388,inventory!B:B,inventory!C:C)</f>
        <v>South Jordan</v>
      </c>
      <c r="O388">
        <f>IF(_xlfn.XLOOKUP(C388,products!A:A,products!E:E)="NULL",0,_xlfn.XLOOKUP(C388,products!A:A,products!E:E))</f>
        <v>156.31</v>
      </c>
      <c r="P388">
        <f t="shared" si="20"/>
        <v>1007.3300000000002</v>
      </c>
      <c r="Q388" s="2" t="str">
        <f>_xlfn.XLOOKUP(I388,products!B:B,products!D:D)</f>
        <v>Toys</v>
      </c>
    </row>
    <row r="389" spans="1:17">
      <c r="A389">
        <v>388</v>
      </c>
      <c r="B389">
        <v>1159</v>
      </c>
      <c r="C389">
        <v>90</v>
      </c>
      <c r="D389">
        <v>1</v>
      </c>
      <c r="E389">
        <v>115.25</v>
      </c>
      <c r="F389">
        <v>0</v>
      </c>
      <c r="G389">
        <f t="shared" si="18"/>
        <v>115.25</v>
      </c>
      <c r="H389" t="str">
        <f>_xlfn.XLOOKUP(B389,customer_orders!A:A,customer_orders!F:F)</f>
        <v>2026-02</v>
      </c>
      <c r="I389" t="str">
        <f>_xlfn.XLOOKUP(C389,products!A:A,products!B:B)</f>
        <v>SKU-0090</v>
      </c>
      <c r="J389" t="str">
        <f>_xlfn.XLOOKUP(B389,customer_orders!A:A,customer_orders!G:G)</f>
        <v>2026-w09</v>
      </c>
      <c r="K389">
        <f>IFERROR(_xlfn.XLOOKUP(B389,shipments!B:B,shipments!H:H),0)</f>
        <v>38.619999999999997</v>
      </c>
      <c r="L389">
        <f t="shared" si="19"/>
        <v>0.34</v>
      </c>
      <c r="M389" t="str">
        <f>_xlfn.XLOOKUP(B389,customer_orders!A:A,customer_orders!D:D)</f>
        <v>Shopify</v>
      </c>
      <c r="N389" t="str">
        <f>_xlfn.XLOOKUP(C389,inventory!B:B,inventory!C:C)</f>
        <v>Salt Lake City</v>
      </c>
      <c r="O389">
        <f>IF(_xlfn.XLOOKUP(C389,products!A:A,products!E:E)="NULL",0,_xlfn.XLOOKUP(C389,products!A:A,products!E:E))</f>
        <v>6.03</v>
      </c>
      <c r="P389">
        <f t="shared" si="20"/>
        <v>109.22</v>
      </c>
      <c r="Q389" s="2" t="str">
        <f>_xlfn.XLOOKUP(I389,products!B:B,products!D:D)</f>
        <v>Office</v>
      </c>
    </row>
    <row r="390" spans="1:17">
      <c r="A390">
        <v>389</v>
      </c>
      <c r="B390">
        <v>1160</v>
      </c>
      <c r="C390">
        <v>117</v>
      </c>
      <c r="D390">
        <v>6</v>
      </c>
      <c r="E390">
        <v>293.33</v>
      </c>
      <c r="F390">
        <v>0</v>
      </c>
      <c r="G390">
        <f t="shared" si="18"/>
        <v>1759.98</v>
      </c>
      <c r="H390" t="str">
        <f>_xlfn.XLOOKUP(B390,customer_orders!A:A,customer_orders!F:F)</f>
        <v>2026-02</v>
      </c>
      <c r="I390" t="str">
        <f>_xlfn.XLOOKUP(C390,products!A:A,products!B:B)</f>
        <v>SKU-0117</v>
      </c>
      <c r="J390" t="str">
        <f>_xlfn.XLOOKUP(B390,customer_orders!A:A,customer_orders!G:G)</f>
        <v>2026-w08</v>
      </c>
      <c r="K390">
        <f>IFERROR(_xlfn.XLOOKUP(B390,shipments!B:B,shipments!H:H),0)</f>
        <v>11.53</v>
      </c>
      <c r="L390">
        <f t="shared" si="19"/>
        <v>0.01</v>
      </c>
      <c r="M390" t="str">
        <f>_xlfn.XLOOKUP(B390,customer_orders!A:A,customer_orders!D:D)</f>
        <v>Shopify</v>
      </c>
      <c r="N390" t="str">
        <f>_xlfn.XLOOKUP(C390,inventory!B:B,inventory!C:C)</f>
        <v>Draper</v>
      </c>
      <c r="O390">
        <f>IF(_xlfn.XLOOKUP(C390,products!A:A,products!E:E)="NULL",0,_xlfn.XLOOKUP(C390,products!A:A,products!E:E))</f>
        <v>131.80000000000001</v>
      </c>
      <c r="P390">
        <f t="shared" si="20"/>
        <v>1628.18</v>
      </c>
      <c r="Q390" s="2" t="str">
        <f>_xlfn.XLOOKUP(I390,products!B:B,products!D:D)</f>
        <v>Pet</v>
      </c>
    </row>
    <row r="391" spans="1:17">
      <c r="A391">
        <v>390</v>
      </c>
      <c r="B391">
        <v>1160</v>
      </c>
      <c r="C391">
        <v>77</v>
      </c>
      <c r="D391">
        <v>6</v>
      </c>
      <c r="E391">
        <v>195.39</v>
      </c>
      <c r="F391">
        <v>6.16</v>
      </c>
      <c r="G391">
        <f t="shared" si="18"/>
        <v>1166.1799999999998</v>
      </c>
      <c r="H391" t="str">
        <f>_xlfn.XLOOKUP(B391,customer_orders!A:A,customer_orders!F:F)</f>
        <v>2026-02</v>
      </c>
      <c r="I391" t="str">
        <f>_xlfn.XLOOKUP(C391,products!A:A,products!B:B)</f>
        <v>SKU-0077</v>
      </c>
      <c r="J391" t="str">
        <f>_xlfn.XLOOKUP(B391,customer_orders!A:A,customer_orders!G:G)</f>
        <v>2026-w08</v>
      </c>
      <c r="K391">
        <f>IFERROR(_xlfn.XLOOKUP(B391,shipments!B:B,shipments!H:H),0)</f>
        <v>11.53</v>
      </c>
      <c r="L391">
        <f t="shared" si="19"/>
        <v>0.01</v>
      </c>
      <c r="M391" t="str">
        <f>_xlfn.XLOOKUP(B391,customer_orders!A:A,customer_orders!D:D)</f>
        <v>Shopify</v>
      </c>
      <c r="N391" t="str">
        <f>_xlfn.XLOOKUP(C391,inventory!B:B,inventory!C:C)</f>
        <v>Draper</v>
      </c>
      <c r="O391">
        <f>IF(_xlfn.XLOOKUP(C391,products!A:A,products!E:E)="NULL",0,_xlfn.XLOOKUP(C391,products!A:A,products!E:E))</f>
        <v>95.2</v>
      </c>
      <c r="P391">
        <f t="shared" si="20"/>
        <v>1070.9799999999998</v>
      </c>
      <c r="Q391" s="2" t="str">
        <f>_xlfn.XLOOKUP(I391,products!B:B,products!D:D)</f>
        <v>Home</v>
      </c>
    </row>
    <row r="392" spans="1:17">
      <c r="A392">
        <v>391</v>
      </c>
      <c r="B392">
        <v>1161</v>
      </c>
      <c r="C392">
        <v>15</v>
      </c>
      <c r="D392">
        <v>2</v>
      </c>
      <c r="E392">
        <v>198.21</v>
      </c>
      <c r="F392">
        <v>0</v>
      </c>
      <c r="G392">
        <f t="shared" si="18"/>
        <v>396.42</v>
      </c>
      <c r="H392" t="str">
        <f>_xlfn.XLOOKUP(B392,customer_orders!A:A,customer_orders!F:F)</f>
        <v>2026-04</v>
      </c>
      <c r="I392" t="str">
        <f>_xlfn.XLOOKUP(C392,products!A:A,products!B:B)</f>
        <v>SKU-0015</v>
      </c>
      <c r="J392" t="str">
        <f>_xlfn.XLOOKUP(B392,customer_orders!A:A,customer_orders!G:G)</f>
        <v>2026-w16</v>
      </c>
      <c r="K392">
        <f>IFERROR(_xlfn.XLOOKUP(B392,shipments!B:B,shipments!H:H),0)</f>
        <v>119.42</v>
      </c>
      <c r="L392">
        <f t="shared" si="19"/>
        <v>0.3</v>
      </c>
      <c r="M392" t="str">
        <f>_xlfn.XLOOKUP(B392,customer_orders!A:A,customer_orders!D:D)</f>
        <v>Shopify</v>
      </c>
      <c r="N392" t="str">
        <f>_xlfn.XLOOKUP(C392,inventory!B:B,inventory!C:C)</f>
        <v>South Jordan</v>
      </c>
      <c r="O392">
        <f>IF(_xlfn.XLOOKUP(C392,products!A:A,products!E:E)="NULL",0,_xlfn.XLOOKUP(C392,products!A:A,products!E:E))</f>
        <v>159.82</v>
      </c>
      <c r="P392">
        <f t="shared" si="20"/>
        <v>236.60000000000002</v>
      </c>
      <c r="Q392" s="2" t="str">
        <f>_xlfn.XLOOKUP(I392,products!B:B,products!D:D)</f>
        <v>Pet</v>
      </c>
    </row>
    <row r="393" spans="1:17">
      <c r="A393">
        <v>392</v>
      </c>
      <c r="B393">
        <v>1161</v>
      </c>
      <c r="C393">
        <v>124</v>
      </c>
      <c r="D393">
        <v>5</v>
      </c>
      <c r="E393">
        <v>48.76</v>
      </c>
      <c r="F393">
        <v>0</v>
      </c>
      <c r="G393">
        <f t="shared" si="18"/>
        <v>243.79999999999998</v>
      </c>
      <c r="H393" t="str">
        <f>_xlfn.XLOOKUP(B393,customer_orders!A:A,customer_orders!F:F)</f>
        <v>2026-04</v>
      </c>
      <c r="I393" t="str">
        <f>_xlfn.XLOOKUP(C393,products!A:A,products!B:B)</f>
        <v>SKU-0124</v>
      </c>
      <c r="J393" t="str">
        <f>_xlfn.XLOOKUP(B393,customer_orders!A:A,customer_orders!G:G)</f>
        <v>2026-w16</v>
      </c>
      <c r="K393">
        <f>IFERROR(_xlfn.XLOOKUP(B393,shipments!B:B,shipments!H:H),0)</f>
        <v>119.42</v>
      </c>
      <c r="L393">
        <f t="shared" si="19"/>
        <v>0.49</v>
      </c>
      <c r="M393" t="str">
        <f>_xlfn.XLOOKUP(B393,customer_orders!A:A,customer_orders!D:D)</f>
        <v>Shopify</v>
      </c>
      <c r="N393" t="str">
        <f>_xlfn.XLOOKUP(C393,inventory!B:B,inventory!C:C)</f>
        <v>Lehi</v>
      </c>
      <c r="O393">
        <f>IF(_xlfn.XLOOKUP(C393,products!A:A,products!E:E)="NULL",0,_xlfn.XLOOKUP(C393,products!A:A,products!E:E))</f>
        <v>178.94</v>
      </c>
      <c r="P393">
        <f t="shared" si="20"/>
        <v>64.859999999999985</v>
      </c>
      <c r="Q393" s="2" t="str">
        <f>_xlfn.XLOOKUP(I393,products!B:B,products!D:D)</f>
        <v>Sports</v>
      </c>
    </row>
    <row r="394" spans="1:17">
      <c r="A394">
        <v>393</v>
      </c>
      <c r="B394">
        <v>1162</v>
      </c>
      <c r="C394">
        <v>75</v>
      </c>
      <c r="D394">
        <v>4</v>
      </c>
      <c r="E394">
        <v>180.3</v>
      </c>
      <c r="F394">
        <v>0</v>
      </c>
      <c r="G394">
        <f t="shared" si="18"/>
        <v>721.2</v>
      </c>
      <c r="H394" t="str">
        <f>_xlfn.XLOOKUP(B394,customer_orders!A:A,customer_orders!F:F)</f>
        <v>2026-05</v>
      </c>
      <c r="I394" t="str">
        <f>_xlfn.XLOOKUP(C394,products!A:A,products!B:B)</f>
        <v>SKU-0075</v>
      </c>
      <c r="J394" t="str">
        <f>_xlfn.XLOOKUP(B394,customer_orders!A:A,customer_orders!G:G)</f>
        <v>2026-w19</v>
      </c>
      <c r="K394">
        <f>IFERROR(_xlfn.XLOOKUP(B394,shipments!B:B,shipments!H:H),0)</f>
        <v>9.2799999999999994</v>
      </c>
      <c r="L394">
        <f t="shared" si="19"/>
        <v>0.01</v>
      </c>
      <c r="M394" t="str">
        <f>_xlfn.XLOOKUP(B394,customer_orders!A:A,customer_orders!D:D)</f>
        <v>Shopify</v>
      </c>
      <c r="N394" t="str">
        <f>_xlfn.XLOOKUP(C394,inventory!B:B,inventory!C:C)</f>
        <v>Salt Lake City</v>
      </c>
      <c r="O394">
        <f>IF(_xlfn.XLOOKUP(C394,products!A:A,products!E:E)="NULL",0,_xlfn.XLOOKUP(C394,products!A:A,products!E:E))</f>
        <v>80.23</v>
      </c>
      <c r="P394">
        <f t="shared" si="20"/>
        <v>640.97</v>
      </c>
      <c r="Q394" s="2" t="str">
        <f>_xlfn.XLOOKUP(I394,products!B:B,products!D:D)</f>
        <v>Sports</v>
      </c>
    </row>
    <row r="395" spans="1:17">
      <c r="A395">
        <v>394</v>
      </c>
      <c r="B395">
        <v>1162</v>
      </c>
      <c r="C395">
        <v>120</v>
      </c>
      <c r="D395">
        <v>2</v>
      </c>
      <c r="E395">
        <v>229.55</v>
      </c>
      <c r="F395">
        <v>0</v>
      </c>
      <c r="G395">
        <f t="shared" si="18"/>
        <v>459.1</v>
      </c>
      <c r="H395" t="str">
        <f>_xlfn.XLOOKUP(B395,customer_orders!A:A,customer_orders!F:F)</f>
        <v>2026-05</v>
      </c>
      <c r="I395" t="str">
        <f>_xlfn.XLOOKUP(C395,products!A:A,products!B:B)</f>
        <v>SKU-0120</v>
      </c>
      <c r="J395" t="str">
        <f>_xlfn.XLOOKUP(B395,customer_orders!A:A,customer_orders!G:G)</f>
        <v>2026-w19</v>
      </c>
      <c r="K395">
        <f>IFERROR(_xlfn.XLOOKUP(B395,shipments!B:B,shipments!H:H),0)</f>
        <v>9.2799999999999994</v>
      </c>
      <c r="L395">
        <f t="shared" si="19"/>
        <v>0.02</v>
      </c>
      <c r="M395" t="str">
        <f>_xlfn.XLOOKUP(B395,customer_orders!A:A,customer_orders!D:D)</f>
        <v>Shopify</v>
      </c>
      <c r="N395" t="str">
        <f>_xlfn.XLOOKUP(C395,inventory!B:B,inventory!C:C)</f>
        <v>Draper</v>
      </c>
      <c r="O395">
        <f>IF(_xlfn.XLOOKUP(C395,products!A:A,products!E:E)="NULL",0,_xlfn.XLOOKUP(C395,products!A:A,products!E:E))</f>
        <v>116.63</v>
      </c>
      <c r="P395">
        <f t="shared" si="20"/>
        <v>342.47</v>
      </c>
      <c r="Q395" s="2" t="str">
        <f>_xlfn.XLOOKUP(I395,products!B:B,products!D:D)</f>
        <v>Sports</v>
      </c>
    </row>
    <row r="396" spans="1:17">
      <c r="A396">
        <v>395</v>
      </c>
      <c r="B396">
        <v>1163</v>
      </c>
      <c r="C396">
        <v>79</v>
      </c>
      <c r="D396">
        <v>5</v>
      </c>
      <c r="E396">
        <v>234.02</v>
      </c>
      <c r="F396">
        <v>0</v>
      </c>
      <c r="G396">
        <f t="shared" si="18"/>
        <v>1170.1000000000001</v>
      </c>
      <c r="H396" t="str">
        <f>_xlfn.XLOOKUP(B396,customer_orders!A:A,customer_orders!F:F)</f>
        <v>2026-02</v>
      </c>
      <c r="I396" t="str">
        <f>_xlfn.XLOOKUP(C396,products!A:A,products!B:B)</f>
        <v>SKU-0079</v>
      </c>
      <c r="J396" t="str">
        <f>_xlfn.XLOOKUP(B396,customer_orders!A:A,customer_orders!G:G)</f>
        <v>2026-w08</v>
      </c>
      <c r="K396">
        <f>IFERROR(_xlfn.XLOOKUP(B396,shipments!B:B,shipments!H:H),0)</f>
        <v>43.6</v>
      </c>
      <c r="L396">
        <f t="shared" si="19"/>
        <v>0.04</v>
      </c>
      <c r="M396" t="str">
        <f>_xlfn.XLOOKUP(B396,customer_orders!A:A,customer_orders!D:D)</f>
        <v>Ebay</v>
      </c>
      <c r="N396" t="str">
        <f>_xlfn.XLOOKUP(C396,inventory!B:B,inventory!C:C)</f>
        <v>Unknown</v>
      </c>
      <c r="O396">
        <f>IF(_xlfn.XLOOKUP(C396,products!A:A,products!E:E)="NULL",0,_xlfn.XLOOKUP(C396,products!A:A,products!E:E))</f>
        <v>111.97</v>
      </c>
      <c r="P396">
        <f t="shared" si="20"/>
        <v>1058.1300000000001</v>
      </c>
      <c r="Q396" s="2" t="str">
        <f>_xlfn.XLOOKUP(I396,products!B:B,products!D:D)</f>
        <v>Beauty</v>
      </c>
    </row>
    <row r="397" spans="1:17">
      <c r="A397">
        <v>396</v>
      </c>
      <c r="B397">
        <v>1164</v>
      </c>
      <c r="C397">
        <v>122</v>
      </c>
      <c r="D397">
        <v>1</v>
      </c>
      <c r="E397">
        <v>151.15</v>
      </c>
      <c r="F397">
        <v>10.039999999999999</v>
      </c>
      <c r="G397">
        <f t="shared" si="18"/>
        <v>141.11000000000001</v>
      </c>
      <c r="H397" t="str">
        <f>_xlfn.XLOOKUP(B397,customer_orders!A:A,customer_orders!F:F)</f>
        <v>2026-02</v>
      </c>
      <c r="I397" t="str">
        <f>_xlfn.XLOOKUP(C397,products!A:A,products!B:B)</f>
        <v>SKU-0122</v>
      </c>
      <c r="J397" t="str">
        <f>_xlfn.XLOOKUP(B397,customer_orders!A:A,customer_orders!G:G)</f>
        <v>2026-w08</v>
      </c>
      <c r="K397">
        <f>IFERROR(_xlfn.XLOOKUP(B397,shipments!B:B,shipments!H:H),0)</f>
        <v>0</v>
      </c>
      <c r="L397">
        <f t="shared" si="19"/>
        <v>0</v>
      </c>
      <c r="M397" t="str">
        <f>_xlfn.XLOOKUP(B397,customer_orders!A:A,customer_orders!D:D)</f>
        <v>Ebay</v>
      </c>
      <c r="N397" t="str">
        <f>_xlfn.XLOOKUP(C397,inventory!B:B,inventory!C:C)</f>
        <v>South Jordan</v>
      </c>
      <c r="O397">
        <f>IF(_xlfn.XLOOKUP(C397,products!A:A,products!E:E)="NULL",0,_xlfn.XLOOKUP(C397,products!A:A,products!E:E))</f>
        <v>169.69</v>
      </c>
      <c r="P397">
        <f t="shared" si="20"/>
        <v>-28.579999999999984</v>
      </c>
      <c r="Q397" s="2" t="str">
        <f>_xlfn.XLOOKUP(I397,products!B:B,products!D:D)</f>
        <v>Electronics</v>
      </c>
    </row>
    <row r="398" spans="1:17">
      <c r="A398">
        <v>397</v>
      </c>
      <c r="B398">
        <v>1164</v>
      </c>
      <c r="C398">
        <v>40</v>
      </c>
      <c r="D398">
        <v>8</v>
      </c>
      <c r="E398">
        <v>90.58</v>
      </c>
      <c r="F398">
        <v>0</v>
      </c>
      <c r="G398">
        <f t="shared" si="18"/>
        <v>724.64</v>
      </c>
      <c r="H398" t="str">
        <f>_xlfn.XLOOKUP(B398,customer_orders!A:A,customer_orders!F:F)</f>
        <v>2026-02</v>
      </c>
      <c r="I398" t="str">
        <f>_xlfn.XLOOKUP(C398,products!A:A,products!B:B)</f>
        <v>SKU-0040</v>
      </c>
      <c r="J398" t="str">
        <f>_xlfn.XLOOKUP(B398,customer_orders!A:A,customer_orders!G:G)</f>
        <v>2026-w08</v>
      </c>
      <c r="K398">
        <f>IFERROR(_xlfn.XLOOKUP(B398,shipments!B:B,shipments!H:H),0)</f>
        <v>0</v>
      </c>
      <c r="L398">
        <f t="shared" si="19"/>
        <v>0</v>
      </c>
      <c r="M398" t="str">
        <f>_xlfn.XLOOKUP(B398,customer_orders!A:A,customer_orders!D:D)</f>
        <v>Ebay</v>
      </c>
      <c r="N398" t="str">
        <f>_xlfn.XLOOKUP(C398,inventory!B:B,inventory!C:C)</f>
        <v>Salt Lake City</v>
      </c>
      <c r="O398">
        <f>IF(_xlfn.XLOOKUP(C398,products!A:A,products!E:E)="NULL",0,_xlfn.XLOOKUP(C398,products!A:A,products!E:E))</f>
        <v>177.43</v>
      </c>
      <c r="P398">
        <f t="shared" si="20"/>
        <v>547.21</v>
      </c>
      <c r="Q398" s="2" t="str">
        <f>_xlfn.XLOOKUP(I398,products!B:B,products!D:D)</f>
        <v>Office</v>
      </c>
    </row>
    <row r="399" spans="1:17">
      <c r="A399">
        <v>398</v>
      </c>
      <c r="B399">
        <v>1164</v>
      </c>
      <c r="C399">
        <v>119</v>
      </c>
      <c r="D399">
        <v>7</v>
      </c>
      <c r="E399">
        <v>27.97</v>
      </c>
      <c r="F399">
        <v>0</v>
      </c>
      <c r="G399">
        <f t="shared" si="18"/>
        <v>195.79</v>
      </c>
      <c r="H399" t="str">
        <f>_xlfn.XLOOKUP(B399,customer_orders!A:A,customer_orders!F:F)</f>
        <v>2026-02</v>
      </c>
      <c r="I399" t="str">
        <f>_xlfn.XLOOKUP(C399,products!A:A,products!B:B)</f>
        <v>SKU-0119</v>
      </c>
      <c r="J399" t="str">
        <f>_xlfn.XLOOKUP(B399,customer_orders!A:A,customer_orders!G:G)</f>
        <v>2026-w08</v>
      </c>
      <c r="K399">
        <f>IFERROR(_xlfn.XLOOKUP(B399,shipments!B:B,shipments!H:H),0)</f>
        <v>0</v>
      </c>
      <c r="L399">
        <f t="shared" si="19"/>
        <v>0</v>
      </c>
      <c r="M399" t="str">
        <f>_xlfn.XLOOKUP(B399,customer_orders!A:A,customer_orders!D:D)</f>
        <v>Ebay</v>
      </c>
      <c r="N399" t="str">
        <f>_xlfn.XLOOKUP(C399,inventory!B:B,inventory!C:C)</f>
        <v>Lehi</v>
      </c>
      <c r="O399">
        <f>IF(_xlfn.XLOOKUP(C399,products!A:A,products!E:E)="NULL",0,_xlfn.XLOOKUP(C399,products!A:A,products!E:E))</f>
        <v>27.15</v>
      </c>
      <c r="P399">
        <f t="shared" si="20"/>
        <v>168.64</v>
      </c>
      <c r="Q399" s="2" t="str">
        <f>_xlfn.XLOOKUP(I399,products!B:B,products!D:D)</f>
        <v>Electronics</v>
      </c>
    </row>
    <row r="400" spans="1:17">
      <c r="A400">
        <v>399</v>
      </c>
      <c r="B400">
        <v>1164</v>
      </c>
      <c r="C400">
        <v>134</v>
      </c>
      <c r="D400">
        <v>5</v>
      </c>
      <c r="E400">
        <v>26.36</v>
      </c>
      <c r="F400">
        <v>0</v>
      </c>
      <c r="G400">
        <f t="shared" si="18"/>
        <v>131.80000000000001</v>
      </c>
      <c r="H400" t="str">
        <f>_xlfn.XLOOKUP(B400,customer_orders!A:A,customer_orders!F:F)</f>
        <v>2026-02</v>
      </c>
      <c r="I400" t="str">
        <f>_xlfn.XLOOKUP(C400,products!A:A,products!B:B)</f>
        <v>SKU-0134</v>
      </c>
      <c r="J400" t="str">
        <f>_xlfn.XLOOKUP(B400,customer_orders!A:A,customer_orders!G:G)</f>
        <v>2026-w08</v>
      </c>
      <c r="K400">
        <f>IFERROR(_xlfn.XLOOKUP(B400,shipments!B:B,shipments!H:H),0)</f>
        <v>0</v>
      </c>
      <c r="L400">
        <f t="shared" si="19"/>
        <v>0</v>
      </c>
      <c r="M400" t="str">
        <f>_xlfn.XLOOKUP(B400,customer_orders!A:A,customer_orders!D:D)</f>
        <v>Ebay</v>
      </c>
      <c r="N400" t="str">
        <f>_xlfn.XLOOKUP(C400,inventory!B:B,inventory!C:C)</f>
        <v>Draper</v>
      </c>
      <c r="O400">
        <f>IF(_xlfn.XLOOKUP(C400,products!A:A,products!E:E)="NULL",0,_xlfn.XLOOKUP(C400,products!A:A,products!E:E))</f>
        <v>19.079999999999998</v>
      </c>
      <c r="P400">
        <f t="shared" si="20"/>
        <v>112.72000000000001</v>
      </c>
      <c r="Q400" s="2" t="str">
        <f>_xlfn.XLOOKUP(I400,products!B:B,products!D:D)</f>
        <v>Pet</v>
      </c>
    </row>
    <row r="401" spans="1:17">
      <c r="A401">
        <v>400</v>
      </c>
      <c r="B401">
        <v>1165</v>
      </c>
      <c r="C401">
        <v>91</v>
      </c>
      <c r="D401">
        <v>2</v>
      </c>
      <c r="E401">
        <v>170.65</v>
      </c>
      <c r="F401">
        <v>0</v>
      </c>
      <c r="G401">
        <f t="shared" si="18"/>
        <v>341.3</v>
      </c>
      <c r="H401" t="str">
        <f>_xlfn.XLOOKUP(B401,customer_orders!A:A,customer_orders!F:F)</f>
        <v>2026-01</v>
      </c>
      <c r="I401" t="str">
        <f>_xlfn.XLOOKUP(C401,products!A:A,products!B:B)</f>
        <v>SKU-0091</v>
      </c>
      <c r="J401" t="str">
        <f>_xlfn.XLOOKUP(B401,customer_orders!A:A,customer_orders!G:G)</f>
        <v>2026-w02</v>
      </c>
      <c r="K401">
        <f>IFERROR(_xlfn.XLOOKUP(B401,shipments!B:B,shipments!H:H),0)</f>
        <v>86.34</v>
      </c>
      <c r="L401">
        <f t="shared" si="19"/>
        <v>0.25</v>
      </c>
      <c r="M401" t="str">
        <f>_xlfn.XLOOKUP(B401,customer_orders!A:A,customer_orders!D:D)</f>
        <v>Amazon</v>
      </c>
      <c r="N401" t="str">
        <f>_xlfn.XLOOKUP(C401,inventory!B:B,inventory!C:C)</f>
        <v>Salt Lake City</v>
      </c>
      <c r="O401">
        <f>IF(_xlfn.XLOOKUP(C401,products!A:A,products!E:E)="NULL",0,_xlfn.XLOOKUP(C401,products!A:A,products!E:E))</f>
        <v>135.82</v>
      </c>
      <c r="P401">
        <f t="shared" si="20"/>
        <v>205.48000000000002</v>
      </c>
      <c r="Q401" s="2" t="str">
        <f>_xlfn.XLOOKUP(I401,products!B:B,products!D:D)</f>
        <v>Office</v>
      </c>
    </row>
    <row r="402" spans="1:17">
      <c r="A402">
        <v>401</v>
      </c>
      <c r="B402">
        <v>1165</v>
      </c>
      <c r="C402">
        <v>8</v>
      </c>
      <c r="D402">
        <v>6</v>
      </c>
      <c r="E402">
        <v>118.07</v>
      </c>
      <c r="F402">
        <v>0</v>
      </c>
      <c r="G402">
        <f t="shared" si="18"/>
        <v>708.42</v>
      </c>
      <c r="H402" t="str">
        <f>_xlfn.XLOOKUP(B402,customer_orders!A:A,customer_orders!F:F)</f>
        <v>2026-01</v>
      </c>
      <c r="I402" t="str">
        <f>_xlfn.XLOOKUP(C402,products!A:A,products!B:B)</f>
        <v>SKU-0008</v>
      </c>
      <c r="J402" t="str">
        <f>_xlfn.XLOOKUP(B402,customer_orders!A:A,customer_orders!G:G)</f>
        <v>2026-w02</v>
      </c>
      <c r="K402">
        <f>IFERROR(_xlfn.XLOOKUP(B402,shipments!B:B,shipments!H:H),0)</f>
        <v>86.34</v>
      </c>
      <c r="L402">
        <f t="shared" si="19"/>
        <v>0.12</v>
      </c>
      <c r="M402" t="str">
        <f>_xlfn.XLOOKUP(B402,customer_orders!A:A,customer_orders!D:D)</f>
        <v>Amazon</v>
      </c>
      <c r="N402" t="str">
        <f>_xlfn.XLOOKUP(C402,inventory!B:B,inventory!C:C)</f>
        <v>Salt Lake City</v>
      </c>
      <c r="O402">
        <f>IF(_xlfn.XLOOKUP(C402,products!A:A,products!E:E)="NULL",0,_xlfn.XLOOKUP(C402,products!A:A,products!E:E))</f>
        <v>159.94999999999999</v>
      </c>
      <c r="P402">
        <f t="shared" si="20"/>
        <v>548.47</v>
      </c>
      <c r="Q402" s="2" t="str">
        <f>_xlfn.XLOOKUP(I402,products!B:B,products!D:D)</f>
        <v>Sports</v>
      </c>
    </row>
    <row r="403" spans="1:17">
      <c r="A403">
        <v>402</v>
      </c>
      <c r="B403">
        <v>1165</v>
      </c>
      <c r="C403">
        <v>147</v>
      </c>
      <c r="D403">
        <v>7</v>
      </c>
      <c r="E403">
        <v>133.41</v>
      </c>
      <c r="F403">
        <v>0</v>
      </c>
      <c r="G403">
        <f t="shared" si="18"/>
        <v>933.87</v>
      </c>
      <c r="H403" t="str">
        <f>_xlfn.XLOOKUP(B403,customer_orders!A:A,customer_orders!F:F)</f>
        <v>2026-01</v>
      </c>
      <c r="I403" t="str">
        <f>_xlfn.XLOOKUP(C403,products!A:A,products!B:B)</f>
        <v>SKU-0147</v>
      </c>
      <c r="J403" t="str">
        <f>_xlfn.XLOOKUP(B403,customer_orders!A:A,customer_orders!G:G)</f>
        <v>2026-w02</v>
      </c>
      <c r="K403">
        <f>IFERROR(_xlfn.XLOOKUP(B403,shipments!B:B,shipments!H:H),0)</f>
        <v>86.34</v>
      </c>
      <c r="L403">
        <f t="shared" si="19"/>
        <v>0.09</v>
      </c>
      <c r="M403" t="str">
        <f>_xlfn.XLOOKUP(B403,customer_orders!A:A,customer_orders!D:D)</f>
        <v>Amazon</v>
      </c>
      <c r="N403" t="str">
        <f>_xlfn.XLOOKUP(C403,inventory!B:B,inventory!C:C)</f>
        <v>Draper</v>
      </c>
      <c r="O403">
        <f>IF(_xlfn.XLOOKUP(C403,products!A:A,products!E:E)="NULL",0,_xlfn.XLOOKUP(C403,products!A:A,products!E:E))</f>
        <v>128.44999999999999</v>
      </c>
      <c r="P403">
        <f t="shared" si="20"/>
        <v>805.42000000000007</v>
      </c>
      <c r="Q403" s="2" t="str">
        <f>_xlfn.XLOOKUP(I403,products!B:B,products!D:D)</f>
        <v>Sports</v>
      </c>
    </row>
    <row r="404" spans="1:17">
      <c r="A404">
        <v>403</v>
      </c>
      <c r="B404">
        <v>1166</v>
      </c>
      <c r="C404">
        <v>45</v>
      </c>
      <c r="D404">
        <v>2</v>
      </c>
      <c r="E404">
        <v>184.44</v>
      </c>
      <c r="F404">
        <v>0</v>
      </c>
      <c r="G404">
        <f t="shared" si="18"/>
        <v>368.88</v>
      </c>
      <c r="H404" t="str">
        <f>_xlfn.XLOOKUP(B404,customer_orders!A:A,customer_orders!F:F)</f>
        <v>2026-04</v>
      </c>
      <c r="I404" t="str">
        <f>_xlfn.XLOOKUP(C404,products!A:A,products!B:B)</f>
        <v>SKU-0045</v>
      </c>
      <c r="J404" t="str">
        <f>_xlfn.XLOOKUP(B404,customer_orders!A:A,customer_orders!G:G)</f>
        <v>2026-w15</v>
      </c>
      <c r="K404">
        <f>IFERROR(_xlfn.XLOOKUP(B404,shipments!B:B,shipments!H:H),0)</f>
        <v>20.62</v>
      </c>
      <c r="L404">
        <f t="shared" si="19"/>
        <v>0.06</v>
      </c>
      <c r="M404" t="str">
        <f>_xlfn.XLOOKUP(B404,customer_orders!A:A,customer_orders!D:D)</f>
        <v>Ebay</v>
      </c>
      <c r="N404" t="str">
        <f>_xlfn.XLOOKUP(C404,inventory!B:B,inventory!C:C)</f>
        <v>Draper</v>
      </c>
      <c r="O404">
        <f>IF(_xlfn.XLOOKUP(C404,products!A:A,products!E:E)="NULL",0,_xlfn.XLOOKUP(C404,products!A:A,products!E:E))</f>
        <v>48.09</v>
      </c>
      <c r="P404">
        <f t="shared" si="20"/>
        <v>320.78999999999996</v>
      </c>
      <c r="Q404" s="2" t="str">
        <f>_xlfn.XLOOKUP(I404,products!B:B,products!D:D)</f>
        <v>Home</v>
      </c>
    </row>
    <row r="405" spans="1:17">
      <c r="A405">
        <v>404</v>
      </c>
      <c r="B405">
        <v>1166</v>
      </c>
      <c r="C405">
        <v>52</v>
      </c>
      <c r="D405">
        <v>2</v>
      </c>
      <c r="E405">
        <v>59.3</v>
      </c>
      <c r="F405">
        <v>0</v>
      </c>
      <c r="G405">
        <f t="shared" si="18"/>
        <v>118.6</v>
      </c>
      <c r="H405" t="str">
        <f>_xlfn.XLOOKUP(B405,customer_orders!A:A,customer_orders!F:F)</f>
        <v>2026-04</v>
      </c>
      <c r="I405" t="str">
        <f>_xlfn.XLOOKUP(C405,products!A:A,products!B:B)</f>
        <v>SKU-0052</v>
      </c>
      <c r="J405" t="str">
        <f>_xlfn.XLOOKUP(B405,customer_orders!A:A,customer_orders!G:G)</f>
        <v>2026-w15</v>
      </c>
      <c r="K405">
        <f>IFERROR(_xlfn.XLOOKUP(B405,shipments!B:B,shipments!H:H),0)</f>
        <v>20.62</v>
      </c>
      <c r="L405">
        <f t="shared" si="19"/>
        <v>0.17</v>
      </c>
      <c r="M405" t="str">
        <f>_xlfn.XLOOKUP(B405,customer_orders!A:A,customer_orders!D:D)</f>
        <v>Ebay</v>
      </c>
      <c r="N405" t="str">
        <f>_xlfn.XLOOKUP(C405,inventory!B:B,inventory!C:C)</f>
        <v>Lehi</v>
      </c>
      <c r="O405">
        <f>IF(_xlfn.XLOOKUP(C405,products!A:A,products!E:E)="NULL",0,_xlfn.XLOOKUP(C405,products!A:A,products!E:E))</f>
        <v>134.91999999999999</v>
      </c>
      <c r="P405">
        <f t="shared" si="20"/>
        <v>-16.319999999999993</v>
      </c>
      <c r="Q405" s="2" t="str">
        <f>_xlfn.XLOOKUP(I405,products!B:B,products!D:D)</f>
        <v>Home</v>
      </c>
    </row>
    <row r="406" spans="1:17">
      <c r="A406">
        <v>405</v>
      </c>
      <c r="B406">
        <v>1166</v>
      </c>
      <c r="C406">
        <v>124</v>
      </c>
      <c r="D406">
        <v>3</v>
      </c>
      <c r="E406">
        <v>48.76</v>
      </c>
      <c r="F406">
        <v>3.66</v>
      </c>
      <c r="G406">
        <f t="shared" si="18"/>
        <v>142.62</v>
      </c>
      <c r="H406" t="str">
        <f>_xlfn.XLOOKUP(B406,customer_orders!A:A,customer_orders!F:F)</f>
        <v>2026-04</v>
      </c>
      <c r="I406" t="str">
        <f>_xlfn.XLOOKUP(C406,products!A:A,products!B:B)</f>
        <v>SKU-0124</v>
      </c>
      <c r="J406" t="str">
        <f>_xlfn.XLOOKUP(B406,customer_orders!A:A,customer_orders!G:G)</f>
        <v>2026-w15</v>
      </c>
      <c r="K406">
        <f>IFERROR(_xlfn.XLOOKUP(B406,shipments!B:B,shipments!H:H),0)</f>
        <v>20.62</v>
      </c>
      <c r="L406">
        <f t="shared" si="19"/>
        <v>0.14000000000000001</v>
      </c>
      <c r="M406" t="str">
        <f>_xlfn.XLOOKUP(B406,customer_orders!A:A,customer_orders!D:D)</f>
        <v>Ebay</v>
      </c>
      <c r="N406" t="str">
        <f>_xlfn.XLOOKUP(C406,inventory!B:B,inventory!C:C)</f>
        <v>Lehi</v>
      </c>
      <c r="O406">
        <f>IF(_xlfn.XLOOKUP(C406,products!A:A,products!E:E)="NULL",0,_xlfn.XLOOKUP(C406,products!A:A,products!E:E))</f>
        <v>178.94</v>
      </c>
      <c r="P406">
        <f t="shared" si="20"/>
        <v>-36.319999999999993</v>
      </c>
      <c r="Q406" s="2" t="str">
        <f>_xlfn.XLOOKUP(I406,products!B:B,products!D:D)</f>
        <v>Sports</v>
      </c>
    </row>
    <row r="407" spans="1:17">
      <c r="A407">
        <v>406</v>
      </c>
      <c r="B407">
        <v>1167</v>
      </c>
      <c r="C407">
        <v>2</v>
      </c>
      <c r="D407">
        <v>5</v>
      </c>
      <c r="E407">
        <v>135.25</v>
      </c>
      <c r="F407">
        <v>0</v>
      </c>
      <c r="G407">
        <f t="shared" si="18"/>
        <v>676.25</v>
      </c>
      <c r="H407" t="str">
        <f>_xlfn.XLOOKUP(B407,customer_orders!A:A,customer_orders!F:F)</f>
        <v>2026-01</v>
      </c>
      <c r="I407" t="str">
        <f>_xlfn.XLOOKUP(C407,products!A:A,products!B:B)</f>
        <v>SKU-0002</v>
      </c>
      <c r="J407" t="str">
        <f>_xlfn.XLOOKUP(B407,customer_orders!A:A,customer_orders!G:G)</f>
        <v>2026-w02</v>
      </c>
      <c r="K407">
        <f>IFERROR(_xlfn.XLOOKUP(B407,shipments!B:B,shipments!H:H),0)</f>
        <v>15.96</v>
      </c>
      <c r="L407">
        <f t="shared" si="19"/>
        <v>0.02</v>
      </c>
      <c r="M407" t="str">
        <f>_xlfn.XLOOKUP(B407,customer_orders!A:A,customer_orders!D:D)</f>
        <v>Walmart</v>
      </c>
      <c r="N407" t="str">
        <f>_xlfn.XLOOKUP(C407,inventory!B:B,inventory!C:C)</f>
        <v>South Jordan</v>
      </c>
      <c r="O407">
        <f>IF(_xlfn.XLOOKUP(C407,products!A:A,products!E:E)="NULL",0,_xlfn.XLOOKUP(C407,products!A:A,products!E:E))</f>
        <v>20.21</v>
      </c>
      <c r="P407">
        <f t="shared" si="20"/>
        <v>656.04</v>
      </c>
      <c r="Q407" s="2" t="str">
        <f>_xlfn.XLOOKUP(I407,products!B:B,products!D:D)</f>
        <v>Home</v>
      </c>
    </row>
    <row r="408" spans="1:17">
      <c r="A408">
        <v>407</v>
      </c>
      <c r="B408">
        <v>1168</v>
      </c>
      <c r="C408">
        <v>50</v>
      </c>
      <c r="D408">
        <v>5</v>
      </c>
      <c r="E408">
        <v>252.62</v>
      </c>
      <c r="F408">
        <v>0</v>
      </c>
      <c r="G408">
        <f t="shared" si="18"/>
        <v>1263.0999999999999</v>
      </c>
      <c r="H408" t="str">
        <f>_xlfn.XLOOKUP(B408,customer_orders!A:A,customer_orders!F:F)</f>
        <v>2026-03</v>
      </c>
      <c r="I408" t="str">
        <f>_xlfn.XLOOKUP(C408,products!A:A,products!B:B)</f>
        <v>SKU-0050</v>
      </c>
      <c r="J408" t="str">
        <f>_xlfn.XLOOKUP(B408,customer_orders!A:A,customer_orders!G:G)</f>
        <v>2026-w12</v>
      </c>
      <c r="K408">
        <f>IFERROR(_xlfn.XLOOKUP(B408,shipments!B:B,shipments!H:H),0)</f>
        <v>115.16</v>
      </c>
      <c r="L408">
        <f t="shared" si="19"/>
        <v>0.09</v>
      </c>
      <c r="M408" t="str">
        <f>_xlfn.XLOOKUP(B408,customer_orders!A:A,customer_orders!D:D)</f>
        <v>Shopify</v>
      </c>
      <c r="N408" t="str">
        <f>_xlfn.XLOOKUP(C408,inventory!B:B,inventory!C:C)</f>
        <v>South Jordan</v>
      </c>
      <c r="O408">
        <f>IF(_xlfn.XLOOKUP(C408,products!A:A,products!E:E)="NULL",0,_xlfn.XLOOKUP(C408,products!A:A,products!E:E))</f>
        <v>32.61</v>
      </c>
      <c r="P408">
        <f t="shared" si="20"/>
        <v>1230.49</v>
      </c>
      <c r="Q408" s="2" t="str">
        <f>_xlfn.XLOOKUP(I408,products!B:B,products!D:D)</f>
        <v>Kitchen</v>
      </c>
    </row>
    <row r="409" spans="1:17">
      <c r="A409">
        <v>408</v>
      </c>
      <c r="B409">
        <v>1168</v>
      </c>
      <c r="C409">
        <v>113</v>
      </c>
      <c r="D409">
        <v>2</v>
      </c>
      <c r="E409">
        <v>84.34</v>
      </c>
      <c r="F409">
        <v>0</v>
      </c>
      <c r="G409">
        <f t="shared" si="18"/>
        <v>168.68</v>
      </c>
      <c r="H409" t="str">
        <f>_xlfn.XLOOKUP(B409,customer_orders!A:A,customer_orders!F:F)</f>
        <v>2026-03</v>
      </c>
      <c r="I409" t="str">
        <f>_xlfn.XLOOKUP(C409,products!A:A,products!B:B)</f>
        <v>SKU-0113</v>
      </c>
      <c r="J409" t="str">
        <f>_xlfn.XLOOKUP(B409,customer_orders!A:A,customer_orders!G:G)</f>
        <v>2026-w12</v>
      </c>
      <c r="K409">
        <f>IFERROR(_xlfn.XLOOKUP(B409,shipments!B:B,shipments!H:H),0)</f>
        <v>115.16</v>
      </c>
      <c r="L409">
        <f t="shared" si="19"/>
        <v>0.68</v>
      </c>
      <c r="M409" t="str">
        <f>_xlfn.XLOOKUP(B409,customer_orders!A:A,customer_orders!D:D)</f>
        <v>Shopify</v>
      </c>
      <c r="N409" t="str">
        <f>_xlfn.XLOOKUP(C409,inventory!B:B,inventory!C:C)</f>
        <v>West Valley</v>
      </c>
      <c r="O409">
        <f>IF(_xlfn.XLOOKUP(C409,products!A:A,products!E:E)="NULL",0,_xlfn.XLOOKUP(C409,products!A:A,products!E:E))</f>
        <v>75.77</v>
      </c>
      <c r="P409">
        <f t="shared" si="20"/>
        <v>92.910000000000011</v>
      </c>
      <c r="Q409" s="2" t="str">
        <f>_xlfn.XLOOKUP(I409,products!B:B,products!D:D)</f>
        <v>Sports</v>
      </c>
    </row>
    <row r="410" spans="1:17">
      <c r="A410">
        <v>409</v>
      </c>
      <c r="B410">
        <v>1169</v>
      </c>
      <c r="C410">
        <v>73</v>
      </c>
      <c r="D410">
        <v>4</v>
      </c>
      <c r="E410">
        <v>134.83000000000001</v>
      </c>
      <c r="F410">
        <v>0</v>
      </c>
      <c r="G410">
        <f t="shared" si="18"/>
        <v>539.32000000000005</v>
      </c>
      <c r="H410" t="str">
        <f>_xlfn.XLOOKUP(B410,customer_orders!A:A,customer_orders!F:F)</f>
        <v>2026-03</v>
      </c>
      <c r="I410" t="str">
        <f>_xlfn.XLOOKUP(C410,products!A:A,products!B:B)</f>
        <v>SKU-0073</v>
      </c>
      <c r="J410" t="str">
        <f>_xlfn.XLOOKUP(B410,customer_orders!A:A,customer_orders!G:G)</f>
        <v>2026-w14</v>
      </c>
      <c r="K410">
        <f>IFERROR(_xlfn.XLOOKUP(B410,shipments!B:B,shipments!H:H),0)</f>
        <v>16.29</v>
      </c>
      <c r="L410">
        <f t="shared" si="19"/>
        <v>0.03</v>
      </c>
      <c r="M410" t="str">
        <f>_xlfn.XLOOKUP(B410,customer_orders!A:A,customer_orders!D:D)</f>
        <v>Ebay</v>
      </c>
      <c r="N410" t="str">
        <f>_xlfn.XLOOKUP(C410,inventory!B:B,inventory!C:C)</f>
        <v>Draper</v>
      </c>
      <c r="O410">
        <f>IF(_xlfn.XLOOKUP(C410,products!A:A,products!E:E)="NULL",0,_xlfn.XLOOKUP(C410,products!A:A,products!E:E))</f>
        <v>27.28</v>
      </c>
      <c r="P410">
        <f t="shared" si="20"/>
        <v>512.04000000000008</v>
      </c>
      <c r="Q410" s="2" t="str">
        <f>_xlfn.XLOOKUP(I410,products!B:B,products!D:D)</f>
        <v>Sports</v>
      </c>
    </row>
    <row r="411" spans="1:17">
      <c r="A411">
        <v>410</v>
      </c>
      <c r="B411">
        <v>1169</v>
      </c>
      <c r="C411">
        <v>87</v>
      </c>
      <c r="D411">
        <v>8</v>
      </c>
      <c r="E411">
        <v>124.17</v>
      </c>
      <c r="F411">
        <v>0</v>
      </c>
      <c r="G411">
        <f t="shared" si="18"/>
        <v>993.36</v>
      </c>
      <c r="H411" t="str">
        <f>_xlfn.XLOOKUP(B411,customer_orders!A:A,customer_orders!F:F)</f>
        <v>2026-03</v>
      </c>
      <c r="I411" t="str">
        <f>_xlfn.XLOOKUP(C411,products!A:A,products!B:B)</f>
        <v>SKU-0087</v>
      </c>
      <c r="J411" t="str">
        <f>_xlfn.XLOOKUP(B411,customer_orders!A:A,customer_orders!G:G)</f>
        <v>2026-w14</v>
      </c>
      <c r="K411">
        <f>IFERROR(_xlfn.XLOOKUP(B411,shipments!B:B,shipments!H:H),0)</f>
        <v>16.29</v>
      </c>
      <c r="L411">
        <f t="shared" si="19"/>
        <v>0.02</v>
      </c>
      <c r="M411" t="str">
        <f>_xlfn.XLOOKUP(B411,customer_orders!A:A,customer_orders!D:D)</f>
        <v>Ebay</v>
      </c>
      <c r="N411" t="str">
        <f>_xlfn.XLOOKUP(C411,inventory!B:B,inventory!C:C)</f>
        <v>Unknown</v>
      </c>
      <c r="O411">
        <f>IF(_xlfn.XLOOKUP(C411,products!A:A,products!E:E)="NULL",0,_xlfn.XLOOKUP(C411,products!A:A,products!E:E))</f>
        <v>31.4</v>
      </c>
      <c r="P411">
        <f t="shared" si="20"/>
        <v>961.96</v>
      </c>
      <c r="Q411" s="2" t="str">
        <f>_xlfn.XLOOKUP(I411,products!B:B,products!D:D)</f>
        <v>Home</v>
      </c>
    </row>
    <row r="412" spans="1:17">
      <c r="A412">
        <v>411</v>
      </c>
      <c r="B412">
        <v>1170</v>
      </c>
      <c r="C412">
        <v>51</v>
      </c>
      <c r="D412">
        <v>2</v>
      </c>
      <c r="E412">
        <v>204.07</v>
      </c>
      <c r="F412">
        <v>14.63</v>
      </c>
      <c r="G412">
        <f t="shared" si="18"/>
        <v>393.51</v>
      </c>
      <c r="H412" t="str">
        <f>_xlfn.XLOOKUP(B412,customer_orders!A:A,customer_orders!F:F)</f>
        <v>2026-04</v>
      </c>
      <c r="I412" t="str">
        <f>_xlfn.XLOOKUP(C412,products!A:A,products!B:B)</f>
        <v>SKU-0051</v>
      </c>
      <c r="J412" t="str">
        <f>_xlfn.XLOOKUP(B412,customer_orders!A:A,customer_orders!G:G)</f>
        <v>2026-w17</v>
      </c>
      <c r="K412">
        <f>IFERROR(_xlfn.XLOOKUP(B412,shipments!B:B,shipments!H:H),0)</f>
        <v>20.67</v>
      </c>
      <c r="L412">
        <f t="shared" si="19"/>
        <v>0.05</v>
      </c>
      <c r="M412" t="str">
        <f>_xlfn.XLOOKUP(B412,customer_orders!A:A,customer_orders!D:D)</f>
        <v>Ebay</v>
      </c>
      <c r="N412" t="str">
        <f>_xlfn.XLOOKUP(C412,inventory!B:B,inventory!C:C)</f>
        <v>South Jordan</v>
      </c>
      <c r="O412">
        <f>IF(_xlfn.XLOOKUP(C412,products!A:A,products!E:E)="NULL",0,_xlfn.XLOOKUP(C412,products!A:A,products!E:E))</f>
        <v>57.39</v>
      </c>
      <c r="P412">
        <f t="shared" si="20"/>
        <v>336.12</v>
      </c>
      <c r="Q412" s="2" t="str">
        <f>_xlfn.XLOOKUP(I412,products!B:B,products!D:D)</f>
        <v>Electronics</v>
      </c>
    </row>
    <row r="413" spans="1:17">
      <c r="A413">
        <v>412</v>
      </c>
      <c r="B413">
        <v>1170</v>
      </c>
      <c r="C413">
        <v>146</v>
      </c>
      <c r="D413">
        <v>3</v>
      </c>
      <c r="E413">
        <v>199.6</v>
      </c>
      <c r="F413">
        <v>2.2999999999999998</v>
      </c>
      <c r="G413">
        <f t="shared" si="18"/>
        <v>596.5</v>
      </c>
      <c r="H413" t="str">
        <f>_xlfn.XLOOKUP(B413,customer_orders!A:A,customer_orders!F:F)</f>
        <v>2026-04</v>
      </c>
      <c r="I413" t="str">
        <f>_xlfn.XLOOKUP(C413,products!A:A,products!B:B)</f>
        <v>SKU-0146</v>
      </c>
      <c r="J413" t="str">
        <f>_xlfn.XLOOKUP(B413,customer_orders!A:A,customer_orders!G:G)</f>
        <v>2026-w17</v>
      </c>
      <c r="K413">
        <f>IFERROR(_xlfn.XLOOKUP(B413,shipments!B:B,shipments!H:H),0)</f>
        <v>20.67</v>
      </c>
      <c r="L413">
        <f t="shared" si="19"/>
        <v>0.03</v>
      </c>
      <c r="M413" t="str">
        <f>_xlfn.XLOOKUP(B413,customer_orders!A:A,customer_orders!D:D)</f>
        <v>Ebay</v>
      </c>
      <c r="N413" t="str">
        <f>_xlfn.XLOOKUP(C413,inventory!B:B,inventory!C:C)</f>
        <v>South Jordan</v>
      </c>
      <c r="O413">
        <f>IF(_xlfn.XLOOKUP(C413,products!A:A,products!E:E)="NULL",0,_xlfn.XLOOKUP(C413,products!A:A,products!E:E))</f>
        <v>170.74</v>
      </c>
      <c r="P413">
        <f t="shared" si="20"/>
        <v>425.76</v>
      </c>
      <c r="Q413" s="2" t="str">
        <f>_xlfn.XLOOKUP(I413,products!B:B,products!D:D)</f>
        <v>Home</v>
      </c>
    </row>
    <row r="414" spans="1:17">
      <c r="A414">
        <v>413</v>
      </c>
      <c r="B414">
        <v>1170</v>
      </c>
      <c r="C414">
        <v>25</v>
      </c>
      <c r="D414">
        <v>8</v>
      </c>
      <c r="E414">
        <v>265.23</v>
      </c>
      <c r="F414">
        <v>5.35</v>
      </c>
      <c r="G414">
        <f t="shared" si="18"/>
        <v>2116.4900000000002</v>
      </c>
      <c r="H414" t="str">
        <f>_xlfn.XLOOKUP(B414,customer_orders!A:A,customer_orders!F:F)</f>
        <v>2026-04</v>
      </c>
      <c r="I414" t="str">
        <f>_xlfn.XLOOKUP(C414,products!A:A,products!B:B)</f>
        <v>SKU-0025</v>
      </c>
      <c r="J414" t="str">
        <f>_xlfn.XLOOKUP(B414,customer_orders!A:A,customer_orders!G:G)</f>
        <v>2026-w17</v>
      </c>
      <c r="K414">
        <f>IFERROR(_xlfn.XLOOKUP(B414,shipments!B:B,shipments!H:H),0)</f>
        <v>20.67</v>
      </c>
      <c r="L414">
        <f t="shared" si="19"/>
        <v>0.01</v>
      </c>
      <c r="M414" t="str">
        <f>_xlfn.XLOOKUP(B414,customer_orders!A:A,customer_orders!D:D)</f>
        <v>Ebay</v>
      </c>
      <c r="N414" t="str">
        <f>_xlfn.XLOOKUP(C414,inventory!B:B,inventory!C:C)</f>
        <v>Salt Lake City</v>
      </c>
      <c r="O414">
        <f>IF(_xlfn.XLOOKUP(C414,products!A:A,products!E:E)="NULL",0,_xlfn.XLOOKUP(C414,products!A:A,products!E:E))</f>
        <v>15.14</v>
      </c>
      <c r="P414">
        <f t="shared" si="20"/>
        <v>2101.3500000000004</v>
      </c>
      <c r="Q414" s="2" t="str">
        <f>_xlfn.XLOOKUP(I414,products!B:B,products!D:D)</f>
        <v>Sports</v>
      </c>
    </row>
    <row r="415" spans="1:17">
      <c r="A415">
        <v>414</v>
      </c>
      <c r="B415">
        <v>1171</v>
      </c>
      <c r="C415">
        <v>117</v>
      </c>
      <c r="D415">
        <v>8</v>
      </c>
      <c r="E415">
        <v>293.33</v>
      </c>
      <c r="F415">
        <v>1.42</v>
      </c>
      <c r="G415">
        <f t="shared" si="18"/>
        <v>2345.2199999999998</v>
      </c>
      <c r="H415" t="str">
        <f>_xlfn.XLOOKUP(B415,customer_orders!A:A,customer_orders!F:F)</f>
        <v>2026-02</v>
      </c>
      <c r="I415" t="str">
        <f>_xlfn.XLOOKUP(C415,products!A:A,products!B:B)</f>
        <v>SKU-0117</v>
      </c>
      <c r="J415" t="str">
        <f>_xlfn.XLOOKUP(B415,customer_orders!A:A,customer_orders!G:G)</f>
        <v>2026-w08</v>
      </c>
      <c r="K415">
        <f>IFERROR(_xlfn.XLOOKUP(B415,shipments!B:B,shipments!H:H),0)</f>
        <v>98.84</v>
      </c>
      <c r="L415">
        <f t="shared" si="19"/>
        <v>0.04</v>
      </c>
      <c r="M415" t="str">
        <f>_xlfn.XLOOKUP(B415,customer_orders!A:A,customer_orders!D:D)</f>
        <v>Shopify</v>
      </c>
      <c r="N415" t="str">
        <f>_xlfn.XLOOKUP(C415,inventory!B:B,inventory!C:C)</f>
        <v>Draper</v>
      </c>
      <c r="O415">
        <f>IF(_xlfn.XLOOKUP(C415,products!A:A,products!E:E)="NULL",0,_xlfn.XLOOKUP(C415,products!A:A,products!E:E))</f>
        <v>131.80000000000001</v>
      </c>
      <c r="P415">
        <f t="shared" si="20"/>
        <v>2213.4199999999996</v>
      </c>
      <c r="Q415" s="2" t="str">
        <f>_xlfn.XLOOKUP(I415,products!B:B,products!D:D)</f>
        <v>Pet</v>
      </c>
    </row>
    <row r="416" spans="1:17">
      <c r="A416">
        <v>415</v>
      </c>
      <c r="B416">
        <v>1171</v>
      </c>
      <c r="C416">
        <v>29</v>
      </c>
      <c r="D416">
        <v>6</v>
      </c>
      <c r="E416">
        <v>33.25</v>
      </c>
      <c r="F416">
        <v>0</v>
      </c>
      <c r="G416">
        <f t="shared" si="18"/>
        <v>199.5</v>
      </c>
      <c r="H416" t="str">
        <f>_xlfn.XLOOKUP(B416,customer_orders!A:A,customer_orders!F:F)</f>
        <v>2026-02</v>
      </c>
      <c r="I416" t="str">
        <f>_xlfn.XLOOKUP(C416,products!A:A,products!B:B)</f>
        <v>SKU-0029</v>
      </c>
      <c r="J416" t="str">
        <f>_xlfn.XLOOKUP(B416,customer_orders!A:A,customer_orders!G:G)</f>
        <v>2026-w08</v>
      </c>
      <c r="K416">
        <f>IFERROR(_xlfn.XLOOKUP(B416,shipments!B:B,shipments!H:H),0)</f>
        <v>98.84</v>
      </c>
      <c r="L416">
        <f t="shared" si="19"/>
        <v>0.5</v>
      </c>
      <c r="M416" t="str">
        <f>_xlfn.XLOOKUP(B416,customer_orders!A:A,customer_orders!D:D)</f>
        <v>Shopify</v>
      </c>
      <c r="N416" t="str">
        <f>_xlfn.XLOOKUP(C416,inventory!B:B,inventory!C:C)</f>
        <v>Salt Lake City</v>
      </c>
      <c r="O416">
        <f>IF(_xlfn.XLOOKUP(C416,products!A:A,products!E:E)="NULL",0,_xlfn.XLOOKUP(C416,products!A:A,products!E:E))</f>
        <v>48.38</v>
      </c>
      <c r="P416">
        <f t="shared" si="20"/>
        <v>151.12</v>
      </c>
      <c r="Q416" s="2" t="str">
        <f>_xlfn.XLOOKUP(I416,products!B:B,products!D:D)</f>
        <v>Pet</v>
      </c>
    </row>
    <row r="417" spans="1:17">
      <c r="A417">
        <v>416</v>
      </c>
      <c r="B417">
        <v>1171</v>
      </c>
      <c r="C417">
        <v>73</v>
      </c>
      <c r="D417">
        <v>6</v>
      </c>
      <c r="E417">
        <v>134.83000000000001</v>
      </c>
      <c r="F417">
        <v>0</v>
      </c>
      <c r="G417">
        <f t="shared" si="18"/>
        <v>808.98</v>
      </c>
      <c r="H417" t="str">
        <f>_xlfn.XLOOKUP(B417,customer_orders!A:A,customer_orders!F:F)</f>
        <v>2026-02</v>
      </c>
      <c r="I417" t="str">
        <f>_xlfn.XLOOKUP(C417,products!A:A,products!B:B)</f>
        <v>SKU-0073</v>
      </c>
      <c r="J417" t="str">
        <f>_xlfn.XLOOKUP(B417,customer_orders!A:A,customer_orders!G:G)</f>
        <v>2026-w08</v>
      </c>
      <c r="K417">
        <f>IFERROR(_xlfn.XLOOKUP(B417,shipments!B:B,shipments!H:H),0)</f>
        <v>98.84</v>
      </c>
      <c r="L417">
        <f t="shared" si="19"/>
        <v>0.12</v>
      </c>
      <c r="M417" t="str">
        <f>_xlfn.XLOOKUP(B417,customer_orders!A:A,customer_orders!D:D)</f>
        <v>Shopify</v>
      </c>
      <c r="N417" t="str">
        <f>_xlfn.XLOOKUP(C417,inventory!B:B,inventory!C:C)</f>
        <v>Draper</v>
      </c>
      <c r="O417">
        <f>IF(_xlfn.XLOOKUP(C417,products!A:A,products!E:E)="NULL",0,_xlfn.XLOOKUP(C417,products!A:A,products!E:E))</f>
        <v>27.28</v>
      </c>
      <c r="P417">
        <f t="shared" si="20"/>
        <v>781.7</v>
      </c>
      <c r="Q417" s="2" t="str">
        <f>_xlfn.XLOOKUP(I417,products!B:B,products!D:D)</f>
        <v>Sports</v>
      </c>
    </row>
    <row r="418" spans="1:17">
      <c r="A418">
        <v>417</v>
      </c>
      <c r="B418">
        <v>1172</v>
      </c>
      <c r="C418">
        <v>63</v>
      </c>
      <c r="D418">
        <v>3</v>
      </c>
      <c r="E418">
        <v>214.86</v>
      </c>
      <c r="F418">
        <v>14.63</v>
      </c>
      <c r="G418">
        <f t="shared" si="18"/>
        <v>629.95000000000005</v>
      </c>
      <c r="H418" t="str">
        <f>_xlfn.XLOOKUP(B418,customer_orders!A:A,customer_orders!F:F)</f>
        <v>2026-04</v>
      </c>
      <c r="I418" t="str">
        <f>_xlfn.XLOOKUP(C418,products!A:A,products!B:B)</f>
        <v>SKU-0063</v>
      </c>
      <c r="J418" t="str">
        <f>_xlfn.XLOOKUP(B418,customer_orders!A:A,customer_orders!G:G)</f>
        <v>2026-w18</v>
      </c>
      <c r="K418">
        <f>IFERROR(_xlfn.XLOOKUP(B418,shipments!B:B,shipments!H:H),0)</f>
        <v>67.17</v>
      </c>
      <c r="L418">
        <f t="shared" si="19"/>
        <v>0.11</v>
      </c>
      <c r="M418" t="str">
        <f>_xlfn.XLOOKUP(B418,customer_orders!A:A,customer_orders!D:D)</f>
        <v>Amazon</v>
      </c>
      <c r="N418" t="str">
        <f>_xlfn.XLOOKUP(C418,inventory!B:B,inventory!C:C)</f>
        <v>Salt Lake City</v>
      </c>
      <c r="O418">
        <f>IF(_xlfn.XLOOKUP(C418,products!A:A,products!E:E)="NULL",0,_xlfn.XLOOKUP(C418,products!A:A,products!E:E))</f>
        <v>32.86</v>
      </c>
      <c r="P418">
        <f t="shared" si="20"/>
        <v>597.09</v>
      </c>
      <c r="Q418" s="2" t="str">
        <f>_xlfn.XLOOKUP(I418,products!B:B,products!D:D)</f>
        <v>Beauty</v>
      </c>
    </row>
    <row r="419" spans="1:17">
      <c r="A419">
        <v>418</v>
      </c>
      <c r="B419">
        <v>1172</v>
      </c>
      <c r="C419">
        <v>17</v>
      </c>
      <c r="D419">
        <v>6</v>
      </c>
      <c r="E419">
        <v>299.3</v>
      </c>
      <c r="F419">
        <v>3.92</v>
      </c>
      <c r="G419">
        <f t="shared" si="18"/>
        <v>1791.88</v>
      </c>
      <c r="H419" t="str">
        <f>_xlfn.XLOOKUP(B419,customer_orders!A:A,customer_orders!F:F)</f>
        <v>2026-04</v>
      </c>
      <c r="I419" t="str">
        <f>_xlfn.XLOOKUP(C419,products!A:A,products!B:B)</f>
        <v>SKU-0017</v>
      </c>
      <c r="J419" t="str">
        <f>_xlfn.XLOOKUP(B419,customer_orders!A:A,customer_orders!G:G)</f>
        <v>2026-w18</v>
      </c>
      <c r="K419">
        <f>IFERROR(_xlfn.XLOOKUP(B419,shipments!B:B,shipments!H:H),0)</f>
        <v>67.17</v>
      </c>
      <c r="L419">
        <f t="shared" si="19"/>
        <v>0.04</v>
      </c>
      <c r="M419" t="str">
        <f>_xlfn.XLOOKUP(B419,customer_orders!A:A,customer_orders!D:D)</f>
        <v>Amazon</v>
      </c>
      <c r="N419" t="str">
        <f>_xlfn.XLOOKUP(C419,inventory!B:B,inventory!C:C)</f>
        <v>West Valley</v>
      </c>
      <c r="O419">
        <f>IF(_xlfn.XLOOKUP(C419,products!A:A,products!E:E)="NULL",0,_xlfn.XLOOKUP(C419,products!A:A,products!E:E))</f>
        <v>43.38</v>
      </c>
      <c r="P419">
        <f t="shared" si="20"/>
        <v>1748.5</v>
      </c>
      <c r="Q419" s="2" t="str">
        <f>_xlfn.XLOOKUP(I419,products!B:B,products!D:D)</f>
        <v>Office</v>
      </c>
    </row>
    <row r="420" spans="1:17">
      <c r="A420">
        <v>419</v>
      </c>
      <c r="B420">
        <v>1173</v>
      </c>
      <c r="C420">
        <v>84</v>
      </c>
      <c r="D420">
        <v>2</v>
      </c>
      <c r="E420">
        <v>150.28</v>
      </c>
      <c r="F420">
        <v>0</v>
      </c>
      <c r="G420">
        <f t="shared" si="18"/>
        <v>300.56</v>
      </c>
      <c r="H420" t="str">
        <f>_xlfn.XLOOKUP(B420,customer_orders!A:A,customer_orders!F:F)</f>
        <v>2026-05</v>
      </c>
      <c r="I420" t="str">
        <f>_xlfn.XLOOKUP(C420,products!A:A,products!B:B)</f>
        <v>SKU-0084</v>
      </c>
      <c r="J420" t="str">
        <f>_xlfn.XLOOKUP(B420,customer_orders!A:A,customer_orders!G:G)</f>
        <v>2026-w19</v>
      </c>
      <c r="K420">
        <f>IFERROR(_xlfn.XLOOKUP(B420,shipments!B:B,shipments!H:H),0)</f>
        <v>56.55</v>
      </c>
      <c r="L420">
        <f t="shared" si="19"/>
        <v>0.19</v>
      </c>
      <c r="M420" t="str">
        <f>_xlfn.XLOOKUP(B420,customer_orders!A:A,customer_orders!D:D)</f>
        <v>Amazon</v>
      </c>
      <c r="N420" t="str">
        <f>_xlfn.XLOOKUP(C420,inventory!B:B,inventory!C:C)</f>
        <v>Draper</v>
      </c>
      <c r="O420">
        <f>IF(_xlfn.XLOOKUP(C420,products!A:A,products!E:E)="NULL",0,_xlfn.XLOOKUP(C420,products!A:A,products!E:E))</f>
        <v>135.13999999999999</v>
      </c>
      <c r="P420">
        <f t="shared" si="20"/>
        <v>165.42000000000002</v>
      </c>
      <c r="Q420" s="2" t="str">
        <f>_xlfn.XLOOKUP(I420,products!B:B,products!D:D)</f>
        <v>Pet</v>
      </c>
    </row>
    <row r="421" spans="1:17">
      <c r="A421">
        <v>420</v>
      </c>
      <c r="B421">
        <v>1173</v>
      </c>
      <c r="C421">
        <v>79</v>
      </c>
      <c r="D421">
        <v>7</v>
      </c>
      <c r="E421">
        <v>234.02</v>
      </c>
      <c r="F421">
        <v>0</v>
      </c>
      <c r="G421">
        <f t="shared" si="18"/>
        <v>1638.14</v>
      </c>
      <c r="H421" t="str">
        <f>_xlfn.XLOOKUP(B421,customer_orders!A:A,customer_orders!F:F)</f>
        <v>2026-05</v>
      </c>
      <c r="I421" t="str">
        <f>_xlfn.XLOOKUP(C421,products!A:A,products!B:B)</f>
        <v>SKU-0079</v>
      </c>
      <c r="J421" t="str">
        <f>_xlfn.XLOOKUP(B421,customer_orders!A:A,customer_orders!G:G)</f>
        <v>2026-w19</v>
      </c>
      <c r="K421">
        <f>IFERROR(_xlfn.XLOOKUP(B421,shipments!B:B,shipments!H:H),0)</f>
        <v>56.55</v>
      </c>
      <c r="L421">
        <f t="shared" si="19"/>
        <v>0.03</v>
      </c>
      <c r="M421" t="str">
        <f>_xlfn.XLOOKUP(B421,customer_orders!A:A,customer_orders!D:D)</f>
        <v>Amazon</v>
      </c>
      <c r="N421" t="str">
        <f>_xlfn.XLOOKUP(C421,inventory!B:B,inventory!C:C)</f>
        <v>Unknown</v>
      </c>
      <c r="O421">
        <f>IF(_xlfn.XLOOKUP(C421,products!A:A,products!E:E)="NULL",0,_xlfn.XLOOKUP(C421,products!A:A,products!E:E))</f>
        <v>111.97</v>
      </c>
      <c r="P421">
        <f t="shared" si="20"/>
        <v>1526.17</v>
      </c>
      <c r="Q421" s="2" t="str">
        <f>_xlfn.XLOOKUP(I421,products!B:B,products!D:D)</f>
        <v>Beauty</v>
      </c>
    </row>
    <row r="422" spans="1:17">
      <c r="A422">
        <v>421</v>
      </c>
      <c r="B422">
        <v>1173</v>
      </c>
      <c r="C422">
        <v>98</v>
      </c>
      <c r="D422">
        <v>6</v>
      </c>
      <c r="E422">
        <v>285.64</v>
      </c>
      <c r="F422">
        <v>0</v>
      </c>
      <c r="G422">
        <f t="shared" si="18"/>
        <v>1713.84</v>
      </c>
      <c r="H422" t="str">
        <f>_xlfn.XLOOKUP(B422,customer_orders!A:A,customer_orders!F:F)</f>
        <v>2026-05</v>
      </c>
      <c r="I422" t="str">
        <f>_xlfn.XLOOKUP(C422,products!A:A,products!B:B)</f>
        <v>SKU-0098</v>
      </c>
      <c r="J422" t="str">
        <f>_xlfn.XLOOKUP(B422,customer_orders!A:A,customer_orders!G:G)</f>
        <v>2026-w19</v>
      </c>
      <c r="K422">
        <f>IFERROR(_xlfn.XLOOKUP(B422,shipments!B:B,shipments!H:H),0)</f>
        <v>56.55</v>
      </c>
      <c r="L422">
        <f t="shared" si="19"/>
        <v>0.03</v>
      </c>
      <c r="M422" t="str">
        <f>_xlfn.XLOOKUP(B422,customer_orders!A:A,customer_orders!D:D)</f>
        <v>Amazon</v>
      </c>
      <c r="N422" t="str">
        <f>_xlfn.XLOOKUP(C422,inventory!B:B,inventory!C:C)</f>
        <v>South Jordan</v>
      </c>
      <c r="O422">
        <f>IF(_xlfn.XLOOKUP(C422,products!A:A,products!E:E)="NULL",0,_xlfn.XLOOKUP(C422,products!A:A,products!E:E))</f>
        <v>136.99</v>
      </c>
      <c r="P422">
        <f t="shared" si="20"/>
        <v>1576.85</v>
      </c>
      <c r="Q422" s="2" t="str">
        <f>_xlfn.XLOOKUP(I422,products!B:B,products!D:D)</f>
        <v>Home</v>
      </c>
    </row>
    <row r="423" spans="1:17">
      <c r="A423">
        <v>422</v>
      </c>
      <c r="B423">
        <v>1173</v>
      </c>
      <c r="C423">
        <v>24</v>
      </c>
      <c r="D423">
        <v>4</v>
      </c>
      <c r="E423">
        <v>20.55</v>
      </c>
      <c r="F423">
        <v>0</v>
      </c>
      <c r="G423">
        <f t="shared" si="18"/>
        <v>82.2</v>
      </c>
      <c r="H423" t="str">
        <f>_xlfn.XLOOKUP(B423,customer_orders!A:A,customer_orders!F:F)</f>
        <v>2026-05</v>
      </c>
      <c r="I423" t="str">
        <f>_xlfn.XLOOKUP(C423,products!A:A,products!B:B)</f>
        <v>SKU-0024</v>
      </c>
      <c r="J423" t="str">
        <f>_xlfn.XLOOKUP(B423,customer_orders!A:A,customer_orders!G:G)</f>
        <v>2026-w19</v>
      </c>
      <c r="K423">
        <f>IFERROR(_xlfn.XLOOKUP(B423,shipments!B:B,shipments!H:H),0)</f>
        <v>56.55</v>
      </c>
      <c r="L423">
        <f t="shared" si="19"/>
        <v>0.69</v>
      </c>
      <c r="M423" t="str">
        <f>_xlfn.XLOOKUP(B423,customer_orders!A:A,customer_orders!D:D)</f>
        <v>Amazon</v>
      </c>
      <c r="N423" t="str">
        <f>_xlfn.XLOOKUP(C423,inventory!B:B,inventory!C:C)</f>
        <v>Draper</v>
      </c>
      <c r="O423">
        <f>IF(_xlfn.XLOOKUP(C423,products!A:A,products!E:E)="NULL",0,_xlfn.XLOOKUP(C423,products!A:A,products!E:E))</f>
        <v>61.73</v>
      </c>
      <c r="P423">
        <f t="shared" si="20"/>
        <v>20.470000000000006</v>
      </c>
      <c r="Q423" s="2" t="str">
        <f>_xlfn.XLOOKUP(I423,products!B:B,products!D:D)</f>
        <v>Electronics</v>
      </c>
    </row>
    <row r="424" spans="1:17">
      <c r="A424">
        <v>423</v>
      </c>
      <c r="B424">
        <v>1174</v>
      </c>
      <c r="C424">
        <v>112</v>
      </c>
      <c r="D424">
        <v>6</v>
      </c>
      <c r="E424">
        <v>154.88</v>
      </c>
      <c r="F424">
        <v>0</v>
      </c>
      <c r="G424">
        <f t="shared" si="18"/>
        <v>929.28</v>
      </c>
      <c r="H424" t="str">
        <f>_xlfn.XLOOKUP(B424,customer_orders!A:A,customer_orders!F:F)</f>
        <v>2026-02</v>
      </c>
      <c r="I424" t="str">
        <f>_xlfn.XLOOKUP(C424,products!A:A,products!B:B)</f>
        <v>SKU-0112</v>
      </c>
      <c r="J424" t="str">
        <f>_xlfn.XLOOKUP(B424,customer_orders!A:A,customer_orders!G:G)</f>
        <v>2026-w09</v>
      </c>
      <c r="K424">
        <f>IFERROR(_xlfn.XLOOKUP(B424,shipments!B:B,shipments!H:H),0)</f>
        <v>99.21</v>
      </c>
      <c r="L424">
        <f t="shared" si="19"/>
        <v>0.11</v>
      </c>
      <c r="M424" t="str">
        <f>_xlfn.XLOOKUP(B424,customer_orders!A:A,customer_orders!D:D)</f>
        <v>Ebay</v>
      </c>
      <c r="N424" t="str">
        <f>_xlfn.XLOOKUP(C424,inventory!B:B,inventory!C:C)</f>
        <v>South Jordan</v>
      </c>
      <c r="O424">
        <f>IF(_xlfn.XLOOKUP(C424,products!A:A,products!E:E)="NULL",0,_xlfn.XLOOKUP(C424,products!A:A,products!E:E))</f>
        <v>118.03</v>
      </c>
      <c r="P424">
        <f t="shared" si="20"/>
        <v>811.25</v>
      </c>
      <c r="Q424" s="2" t="str">
        <f>_xlfn.XLOOKUP(I424,products!B:B,products!D:D)</f>
        <v>Beauty</v>
      </c>
    </row>
    <row r="425" spans="1:17">
      <c r="A425">
        <v>424</v>
      </c>
      <c r="B425">
        <v>1174</v>
      </c>
      <c r="C425">
        <v>131</v>
      </c>
      <c r="D425">
        <v>7</v>
      </c>
      <c r="E425">
        <v>57.46</v>
      </c>
      <c r="F425">
        <v>0</v>
      </c>
      <c r="G425">
        <f t="shared" si="18"/>
        <v>402.22</v>
      </c>
      <c r="H425" t="str">
        <f>_xlfn.XLOOKUP(B425,customer_orders!A:A,customer_orders!F:F)</f>
        <v>2026-02</v>
      </c>
      <c r="I425" t="str">
        <f>_xlfn.XLOOKUP(C425,products!A:A,products!B:B)</f>
        <v>SKU-0131</v>
      </c>
      <c r="J425" t="str">
        <f>_xlfn.XLOOKUP(B425,customer_orders!A:A,customer_orders!G:G)</f>
        <v>2026-w09</v>
      </c>
      <c r="K425">
        <f>IFERROR(_xlfn.XLOOKUP(B425,shipments!B:B,shipments!H:H),0)</f>
        <v>99.21</v>
      </c>
      <c r="L425">
        <f t="shared" si="19"/>
        <v>0.25</v>
      </c>
      <c r="M425" t="str">
        <f>_xlfn.XLOOKUP(B425,customer_orders!A:A,customer_orders!D:D)</f>
        <v>Ebay</v>
      </c>
      <c r="N425" t="str">
        <f>_xlfn.XLOOKUP(C425,inventory!B:B,inventory!C:C)</f>
        <v>Salt Lake City</v>
      </c>
      <c r="O425">
        <f>IF(_xlfn.XLOOKUP(C425,products!A:A,products!E:E)="NULL",0,_xlfn.XLOOKUP(C425,products!A:A,products!E:E))</f>
        <v>44.34</v>
      </c>
      <c r="P425">
        <f t="shared" si="20"/>
        <v>357.88</v>
      </c>
      <c r="Q425" s="2" t="str">
        <f>_xlfn.XLOOKUP(I425,products!B:B,products!D:D)</f>
        <v>Home</v>
      </c>
    </row>
    <row r="426" spans="1:17">
      <c r="A426">
        <v>425</v>
      </c>
      <c r="B426">
        <v>1174</v>
      </c>
      <c r="C426">
        <v>16</v>
      </c>
      <c r="D426">
        <v>6</v>
      </c>
      <c r="E426">
        <v>168.61</v>
      </c>
      <c r="F426">
        <v>0</v>
      </c>
      <c r="G426">
        <f t="shared" si="18"/>
        <v>1011.6600000000001</v>
      </c>
      <c r="H426" t="str">
        <f>_xlfn.XLOOKUP(B426,customer_orders!A:A,customer_orders!F:F)</f>
        <v>2026-02</v>
      </c>
      <c r="I426" t="str">
        <f>_xlfn.XLOOKUP(C426,products!A:A,products!B:B)</f>
        <v>SKU-0016</v>
      </c>
      <c r="J426" t="str">
        <f>_xlfn.XLOOKUP(B426,customer_orders!A:A,customer_orders!G:G)</f>
        <v>2026-w09</v>
      </c>
      <c r="K426">
        <f>IFERROR(_xlfn.XLOOKUP(B426,shipments!B:B,shipments!H:H),0)</f>
        <v>99.21</v>
      </c>
      <c r="L426">
        <f t="shared" si="19"/>
        <v>0.1</v>
      </c>
      <c r="M426" t="str">
        <f>_xlfn.XLOOKUP(B426,customer_orders!A:A,customer_orders!D:D)</f>
        <v>Ebay</v>
      </c>
      <c r="N426" t="str">
        <f>_xlfn.XLOOKUP(C426,inventory!B:B,inventory!C:C)</f>
        <v>Draper</v>
      </c>
      <c r="O426">
        <f>IF(_xlfn.XLOOKUP(C426,products!A:A,products!E:E)="NULL",0,_xlfn.XLOOKUP(C426,products!A:A,products!E:E))</f>
        <v>135.37</v>
      </c>
      <c r="P426">
        <f t="shared" si="20"/>
        <v>876.29000000000008</v>
      </c>
      <c r="Q426" s="2" t="str">
        <f>_xlfn.XLOOKUP(I426,products!B:B,products!D:D)</f>
        <v>Toys</v>
      </c>
    </row>
    <row r="427" spans="1:17">
      <c r="A427">
        <v>426</v>
      </c>
      <c r="B427">
        <v>1175</v>
      </c>
      <c r="C427">
        <v>98</v>
      </c>
      <c r="D427">
        <v>7</v>
      </c>
      <c r="E427">
        <v>285.64</v>
      </c>
      <c r="F427">
        <v>0</v>
      </c>
      <c r="G427">
        <f t="shared" si="18"/>
        <v>1999.48</v>
      </c>
      <c r="H427" t="str">
        <f>_xlfn.XLOOKUP(B427,customer_orders!A:A,customer_orders!F:F)</f>
        <v>2026-04</v>
      </c>
      <c r="I427" t="str">
        <f>_xlfn.XLOOKUP(C427,products!A:A,products!B:B)</f>
        <v>SKU-0098</v>
      </c>
      <c r="J427" t="str">
        <f>_xlfn.XLOOKUP(B427,customer_orders!A:A,customer_orders!G:G)</f>
        <v>2026-w17</v>
      </c>
      <c r="K427">
        <f>IFERROR(_xlfn.XLOOKUP(B427,shipments!B:B,shipments!H:H),0)</f>
        <v>79.209999999999994</v>
      </c>
      <c r="L427">
        <f t="shared" si="19"/>
        <v>0.04</v>
      </c>
      <c r="M427" t="str">
        <f>_xlfn.XLOOKUP(B427,customer_orders!A:A,customer_orders!D:D)</f>
        <v>Amazon</v>
      </c>
      <c r="N427" t="str">
        <f>_xlfn.XLOOKUP(C427,inventory!B:B,inventory!C:C)</f>
        <v>South Jordan</v>
      </c>
      <c r="O427">
        <f>IF(_xlfn.XLOOKUP(C427,products!A:A,products!E:E)="NULL",0,_xlfn.XLOOKUP(C427,products!A:A,products!E:E))</f>
        <v>136.99</v>
      </c>
      <c r="P427">
        <f t="shared" si="20"/>
        <v>1862.49</v>
      </c>
      <c r="Q427" s="2" t="str">
        <f>_xlfn.XLOOKUP(I427,products!B:B,products!D:D)</f>
        <v>Home</v>
      </c>
    </row>
    <row r="428" spans="1:17">
      <c r="A428">
        <v>427</v>
      </c>
      <c r="B428">
        <v>1175</v>
      </c>
      <c r="C428">
        <v>45</v>
      </c>
      <c r="D428">
        <v>8</v>
      </c>
      <c r="E428">
        <v>184.44</v>
      </c>
      <c r="F428">
        <v>2.95</v>
      </c>
      <c r="G428">
        <f t="shared" si="18"/>
        <v>1472.57</v>
      </c>
      <c r="H428" t="str">
        <f>_xlfn.XLOOKUP(B428,customer_orders!A:A,customer_orders!F:F)</f>
        <v>2026-04</v>
      </c>
      <c r="I428" t="str">
        <f>_xlfn.XLOOKUP(C428,products!A:A,products!B:B)</f>
        <v>SKU-0045</v>
      </c>
      <c r="J428" t="str">
        <f>_xlfn.XLOOKUP(B428,customer_orders!A:A,customer_orders!G:G)</f>
        <v>2026-w17</v>
      </c>
      <c r="K428">
        <f>IFERROR(_xlfn.XLOOKUP(B428,shipments!B:B,shipments!H:H),0)</f>
        <v>79.209999999999994</v>
      </c>
      <c r="L428">
        <f t="shared" si="19"/>
        <v>0.05</v>
      </c>
      <c r="M428" t="str">
        <f>_xlfn.XLOOKUP(B428,customer_orders!A:A,customer_orders!D:D)</f>
        <v>Amazon</v>
      </c>
      <c r="N428" t="str">
        <f>_xlfn.XLOOKUP(C428,inventory!B:B,inventory!C:C)</f>
        <v>Draper</v>
      </c>
      <c r="O428">
        <f>IF(_xlfn.XLOOKUP(C428,products!A:A,products!E:E)="NULL",0,_xlfn.XLOOKUP(C428,products!A:A,products!E:E))</f>
        <v>48.09</v>
      </c>
      <c r="P428">
        <f t="shared" si="20"/>
        <v>1424.48</v>
      </c>
      <c r="Q428" s="2" t="str">
        <f>_xlfn.XLOOKUP(I428,products!B:B,products!D:D)</f>
        <v>Home</v>
      </c>
    </row>
    <row r="429" spans="1:17">
      <c r="A429">
        <v>428</v>
      </c>
      <c r="B429">
        <v>1175</v>
      </c>
      <c r="C429">
        <v>93</v>
      </c>
      <c r="D429">
        <v>7</v>
      </c>
      <c r="E429">
        <v>277.07</v>
      </c>
      <c r="F429">
        <v>0</v>
      </c>
      <c r="G429">
        <f t="shared" si="18"/>
        <v>1939.49</v>
      </c>
      <c r="H429" t="str">
        <f>_xlfn.XLOOKUP(B429,customer_orders!A:A,customer_orders!F:F)</f>
        <v>2026-04</v>
      </c>
      <c r="I429" t="str">
        <f>_xlfn.XLOOKUP(C429,products!A:A,products!B:B)</f>
        <v>SKU-0093</v>
      </c>
      <c r="J429" t="str">
        <f>_xlfn.XLOOKUP(B429,customer_orders!A:A,customer_orders!G:G)</f>
        <v>2026-w17</v>
      </c>
      <c r="K429">
        <f>IFERROR(_xlfn.XLOOKUP(B429,shipments!B:B,shipments!H:H),0)</f>
        <v>79.209999999999994</v>
      </c>
      <c r="L429">
        <f t="shared" si="19"/>
        <v>0.04</v>
      </c>
      <c r="M429" t="str">
        <f>_xlfn.XLOOKUP(B429,customer_orders!A:A,customer_orders!D:D)</f>
        <v>Amazon</v>
      </c>
      <c r="N429" t="str">
        <f>_xlfn.XLOOKUP(C429,inventory!B:B,inventory!C:C)</f>
        <v>West Valley</v>
      </c>
      <c r="O429">
        <f>IF(_xlfn.XLOOKUP(C429,products!A:A,products!E:E)="NULL",0,_xlfn.XLOOKUP(C429,products!A:A,products!E:E))</f>
        <v>152.09</v>
      </c>
      <c r="P429">
        <f t="shared" si="20"/>
        <v>1787.4</v>
      </c>
      <c r="Q429" s="2" t="str">
        <f>_xlfn.XLOOKUP(I429,products!B:B,products!D:D)</f>
        <v>Office</v>
      </c>
    </row>
    <row r="430" spans="1:17">
      <c r="A430">
        <v>429</v>
      </c>
      <c r="B430">
        <v>1176</v>
      </c>
      <c r="C430">
        <v>109</v>
      </c>
      <c r="D430">
        <v>3</v>
      </c>
      <c r="E430">
        <v>257.52</v>
      </c>
      <c r="F430">
        <v>7.36</v>
      </c>
      <c r="G430">
        <f t="shared" si="18"/>
        <v>765.19999999999993</v>
      </c>
      <c r="H430" t="str">
        <f>_xlfn.XLOOKUP(B430,customer_orders!A:A,customer_orders!F:F)</f>
        <v>2026-01</v>
      </c>
      <c r="I430" t="str">
        <f>_xlfn.XLOOKUP(C430,products!A:A,products!B:B)</f>
        <v>SKU-0109</v>
      </c>
      <c r="J430" t="str">
        <f>_xlfn.XLOOKUP(B430,customer_orders!A:A,customer_orders!G:G)</f>
        <v>2026-w04</v>
      </c>
      <c r="K430">
        <f>IFERROR(_xlfn.XLOOKUP(B430,shipments!B:B,shipments!H:H),0)</f>
        <v>60.06</v>
      </c>
      <c r="L430">
        <f t="shared" si="19"/>
        <v>0.08</v>
      </c>
      <c r="M430" t="str">
        <f>_xlfn.XLOOKUP(B430,customer_orders!A:A,customer_orders!D:D)</f>
        <v>Shopify</v>
      </c>
      <c r="N430" t="str">
        <f>_xlfn.XLOOKUP(C430,inventory!B:B,inventory!C:C)</f>
        <v>Draper</v>
      </c>
      <c r="O430">
        <f>IF(_xlfn.XLOOKUP(C430,products!A:A,products!E:E)="NULL",0,_xlfn.XLOOKUP(C430,products!A:A,products!E:E))</f>
        <v>10.02</v>
      </c>
      <c r="P430">
        <f t="shared" si="20"/>
        <v>755.18</v>
      </c>
      <c r="Q430" s="2" t="str">
        <f>_xlfn.XLOOKUP(I430,products!B:B,products!D:D)</f>
        <v>Office</v>
      </c>
    </row>
    <row r="431" spans="1:17">
      <c r="A431">
        <v>430</v>
      </c>
      <c r="B431">
        <v>1176</v>
      </c>
      <c r="C431">
        <v>142</v>
      </c>
      <c r="D431">
        <v>8</v>
      </c>
      <c r="E431">
        <v>192.45</v>
      </c>
      <c r="F431">
        <v>0</v>
      </c>
      <c r="G431">
        <f t="shared" si="18"/>
        <v>1539.6</v>
      </c>
      <c r="H431" t="str">
        <f>_xlfn.XLOOKUP(B431,customer_orders!A:A,customer_orders!F:F)</f>
        <v>2026-01</v>
      </c>
      <c r="I431" t="str">
        <f>_xlfn.XLOOKUP(C431,products!A:A,products!B:B)</f>
        <v>SKU-0142</v>
      </c>
      <c r="J431" t="str">
        <f>_xlfn.XLOOKUP(B431,customer_orders!A:A,customer_orders!G:G)</f>
        <v>2026-w04</v>
      </c>
      <c r="K431">
        <f>IFERROR(_xlfn.XLOOKUP(B431,shipments!B:B,shipments!H:H),0)</f>
        <v>60.06</v>
      </c>
      <c r="L431">
        <f t="shared" si="19"/>
        <v>0.04</v>
      </c>
      <c r="M431" t="str">
        <f>_xlfn.XLOOKUP(B431,customer_orders!A:A,customer_orders!D:D)</f>
        <v>Shopify</v>
      </c>
      <c r="N431" t="str">
        <f>_xlfn.XLOOKUP(C431,inventory!B:B,inventory!C:C)</f>
        <v>Lehi</v>
      </c>
      <c r="O431">
        <f>IF(_xlfn.XLOOKUP(C431,products!A:A,products!E:E)="NULL",0,_xlfn.XLOOKUP(C431,products!A:A,products!E:E))</f>
        <v>95.73</v>
      </c>
      <c r="P431">
        <f t="shared" si="20"/>
        <v>1443.87</v>
      </c>
      <c r="Q431" s="2" t="str">
        <f>_xlfn.XLOOKUP(I431,products!B:B,products!D:D)</f>
        <v>Electronics</v>
      </c>
    </row>
    <row r="432" spans="1:17">
      <c r="A432">
        <v>431</v>
      </c>
      <c r="B432">
        <v>1176</v>
      </c>
      <c r="C432">
        <v>48</v>
      </c>
      <c r="D432">
        <v>7</v>
      </c>
      <c r="E432">
        <v>299.56</v>
      </c>
      <c r="F432">
        <v>9.4600000000000009</v>
      </c>
      <c r="G432">
        <f t="shared" si="18"/>
        <v>2087.46</v>
      </c>
      <c r="H432" t="str">
        <f>_xlfn.XLOOKUP(B432,customer_orders!A:A,customer_orders!F:F)</f>
        <v>2026-01</v>
      </c>
      <c r="I432" t="str">
        <f>_xlfn.XLOOKUP(C432,products!A:A,products!B:B)</f>
        <v>SKU-0048</v>
      </c>
      <c r="J432" t="str">
        <f>_xlfn.XLOOKUP(B432,customer_orders!A:A,customer_orders!G:G)</f>
        <v>2026-w04</v>
      </c>
      <c r="K432">
        <f>IFERROR(_xlfn.XLOOKUP(B432,shipments!B:B,shipments!H:H),0)</f>
        <v>60.06</v>
      </c>
      <c r="L432">
        <f t="shared" si="19"/>
        <v>0.03</v>
      </c>
      <c r="M432" t="str">
        <f>_xlfn.XLOOKUP(B432,customer_orders!A:A,customer_orders!D:D)</f>
        <v>Shopify</v>
      </c>
      <c r="N432" t="str">
        <f>_xlfn.XLOOKUP(C432,inventory!B:B,inventory!C:C)</f>
        <v>Salt Lake City</v>
      </c>
      <c r="O432">
        <f>IF(_xlfn.XLOOKUP(C432,products!A:A,products!E:E)="NULL",0,_xlfn.XLOOKUP(C432,products!A:A,products!E:E))</f>
        <v>85.2</v>
      </c>
      <c r="P432">
        <f t="shared" si="20"/>
        <v>2002.26</v>
      </c>
      <c r="Q432" s="2" t="str">
        <f>_xlfn.XLOOKUP(I432,products!B:B,products!D:D)</f>
        <v>Home</v>
      </c>
    </row>
    <row r="433" spans="1:17">
      <c r="A433">
        <v>432</v>
      </c>
      <c r="B433">
        <v>1176</v>
      </c>
      <c r="C433">
        <v>61</v>
      </c>
      <c r="D433">
        <v>5</v>
      </c>
      <c r="E433">
        <v>293.22000000000003</v>
      </c>
      <c r="F433">
        <v>0</v>
      </c>
      <c r="G433">
        <f t="shared" si="18"/>
        <v>1466.1000000000001</v>
      </c>
      <c r="H433" t="str">
        <f>_xlfn.XLOOKUP(B433,customer_orders!A:A,customer_orders!F:F)</f>
        <v>2026-01</v>
      </c>
      <c r="I433" t="str">
        <f>_xlfn.XLOOKUP(C433,products!A:A,products!B:B)</f>
        <v>SKU-0061</v>
      </c>
      <c r="J433" t="str">
        <f>_xlfn.XLOOKUP(B433,customer_orders!A:A,customer_orders!G:G)</f>
        <v>2026-w04</v>
      </c>
      <c r="K433">
        <f>IFERROR(_xlfn.XLOOKUP(B433,shipments!B:B,shipments!H:H),0)</f>
        <v>60.06</v>
      </c>
      <c r="L433">
        <f t="shared" si="19"/>
        <v>0.04</v>
      </c>
      <c r="M433" t="str">
        <f>_xlfn.XLOOKUP(B433,customer_orders!A:A,customer_orders!D:D)</f>
        <v>Shopify</v>
      </c>
      <c r="N433" t="str">
        <f>_xlfn.XLOOKUP(C433,inventory!B:B,inventory!C:C)</f>
        <v>South Jordan</v>
      </c>
      <c r="O433">
        <f>IF(_xlfn.XLOOKUP(C433,products!A:A,products!E:E)="NULL",0,_xlfn.XLOOKUP(C433,products!A:A,products!E:E))</f>
        <v>156.31</v>
      </c>
      <c r="P433">
        <f t="shared" si="20"/>
        <v>1309.7900000000002</v>
      </c>
      <c r="Q433" s="2" t="str">
        <f>_xlfn.XLOOKUP(I433,products!B:B,products!D:D)</f>
        <v>Toys</v>
      </c>
    </row>
    <row r="434" spans="1:17">
      <c r="A434">
        <v>433</v>
      </c>
      <c r="B434">
        <v>1177</v>
      </c>
      <c r="C434">
        <v>120</v>
      </c>
      <c r="D434">
        <v>2</v>
      </c>
      <c r="E434">
        <v>229.55</v>
      </c>
      <c r="F434">
        <v>0</v>
      </c>
      <c r="G434">
        <f t="shared" si="18"/>
        <v>459.1</v>
      </c>
      <c r="H434" t="str">
        <f>_xlfn.XLOOKUP(B434,customer_orders!A:A,customer_orders!F:F)</f>
        <v>2026-02</v>
      </c>
      <c r="I434" t="str">
        <f>_xlfn.XLOOKUP(C434,products!A:A,products!B:B)</f>
        <v>SKU-0120</v>
      </c>
      <c r="J434" t="str">
        <f>_xlfn.XLOOKUP(B434,customer_orders!A:A,customer_orders!G:G)</f>
        <v>2026-w06</v>
      </c>
      <c r="K434">
        <f>IFERROR(_xlfn.XLOOKUP(B434,shipments!B:B,shipments!H:H),0)</f>
        <v>56.67</v>
      </c>
      <c r="L434">
        <f t="shared" si="19"/>
        <v>0.12</v>
      </c>
      <c r="M434" t="str">
        <f>_xlfn.XLOOKUP(B434,customer_orders!A:A,customer_orders!D:D)</f>
        <v>Shopify</v>
      </c>
      <c r="N434" t="str">
        <f>_xlfn.XLOOKUP(C434,inventory!B:B,inventory!C:C)</f>
        <v>Draper</v>
      </c>
      <c r="O434">
        <f>IF(_xlfn.XLOOKUP(C434,products!A:A,products!E:E)="NULL",0,_xlfn.XLOOKUP(C434,products!A:A,products!E:E))</f>
        <v>116.63</v>
      </c>
      <c r="P434">
        <f t="shared" si="20"/>
        <v>342.47</v>
      </c>
      <c r="Q434" s="2" t="str">
        <f>_xlfn.XLOOKUP(I434,products!B:B,products!D:D)</f>
        <v>Sports</v>
      </c>
    </row>
    <row r="435" spans="1:17">
      <c r="A435">
        <v>434</v>
      </c>
      <c r="B435">
        <v>1177</v>
      </c>
      <c r="C435">
        <v>63</v>
      </c>
      <c r="D435">
        <v>8</v>
      </c>
      <c r="E435">
        <v>214.86</v>
      </c>
      <c r="F435">
        <v>0</v>
      </c>
      <c r="G435">
        <f t="shared" si="18"/>
        <v>1718.88</v>
      </c>
      <c r="H435" t="str">
        <f>_xlfn.XLOOKUP(B435,customer_orders!A:A,customer_orders!F:F)</f>
        <v>2026-02</v>
      </c>
      <c r="I435" t="str">
        <f>_xlfn.XLOOKUP(C435,products!A:A,products!B:B)</f>
        <v>SKU-0063</v>
      </c>
      <c r="J435" t="str">
        <f>_xlfn.XLOOKUP(B435,customer_orders!A:A,customer_orders!G:G)</f>
        <v>2026-w06</v>
      </c>
      <c r="K435">
        <f>IFERROR(_xlfn.XLOOKUP(B435,shipments!B:B,shipments!H:H),0)</f>
        <v>56.67</v>
      </c>
      <c r="L435">
        <f t="shared" si="19"/>
        <v>0.03</v>
      </c>
      <c r="M435" t="str">
        <f>_xlfn.XLOOKUP(B435,customer_orders!A:A,customer_orders!D:D)</f>
        <v>Shopify</v>
      </c>
      <c r="N435" t="str">
        <f>_xlfn.XLOOKUP(C435,inventory!B:B,inventory!C:C)</f>
        <v>Salt Lake City</v>
      </c>
      <c r="O435">
        <f>IF(_xlfn.XLOOKUP(C435,products!A:A,products!E:E)="NULL",0,_xlfn.XLOOKUP(C435,products!A:A,products!E:E))</f>
        <v>32.86</v>
      </c>
      <c r="P435">
        <f t="shared" si="20"/>
        <v>1686.0200000000002</v>
      </c>
      <c r="Q435" s="2" t="str">
        <f>_xlfn.XLOOKUP(I435,products!B:B,products!D:D)</f>
        <v>Beauty</v>
      </c>
    </row>
    <row r="436" spans="1:17">
      <c r="A436">
        <v>435</v>
      </c>
      <c r="B436">
        <v>1177</v>
      </c>
      <c r="C436">
        <v>139</v>
      </c>
      <c r="D436">
        <v>5</v>
      </c>
      <c r="E436">
        <v>156.21</v>
      </c>
      <c r="F436">
        <v>0</v>
      </c>
      <c r="G436">
        <f t="shared" si="18"/>
        <v>781.05000000000007</v>
      </c>
      <c r="H436" t="str">
        <f>_xlfn.XLOOKUP(B436,customer_orders!A:A,customer_orders!F:F)</f>
        <v>2026-02</v>
      </c>
      <c r="I436" t="str">
        <f>_xlfn.XLOOKUP(C436,products!A:A,products!B:B)</f>
        <v>SKU-0139</v>
      </c>
      <c r="J436" t="str">
        <f>_xlfn.XLOOKUP(B436,customer_orders!A:A,customer_orders!G:G)</f>
        <v>2026-w06</v>
      </c>
      <c r="K436">
        <f>IFERROR(_xlfn.XLOOKUP(B436,shipments!B:B,shipments!H:H),0)</f>
        <v>56.67</v>
      </c>
      <c r="L436">
        <f t="shared" si="19"/>
        <v>7.0000000000000007E-2</v>
      </c>
      <c r="M436" t="str">
        <f>_xlfn.XLOOKUP(B436,customer_orders!A:A,customer_orders!D:D)</f>
        <v>Shopify</v>
      </c>
      <c r="N436" t="str">
        <f>_xlfn.XLOOKUP(C436,inventory!B:B,inventory!C:C)</f>
        <v>South Jordan</v>
      </c>
      <c r="O436">
        <f>IF(_xlfn.XLOOKUP(C436,products!A:A,products!E:E)="NULL",0,_xlfn.XLOOKUP(C436,products!A:A,products!E:E))</f>
        <v>77.040000000000006</v>
      </c>
      <c r="P436">
        <f t="shared" si="20"/>
        <v>704.0100000000001</v>
      </c>
      <c r="Q436" s="2" t="str">
        <f>_xlfn.XLOOKUP(I436,products!B:B,products!D:D)</f>
        <v>Toys</v>
      </c>
    </row>
    <row r="437" spans="1:17">
      <c r="A437">
        <v>436</v>
      </c>
      <c r="B437">
        <v>1178</v>
      </c>
      <c r="C437">
        <v>78</v>
      </c>
      <c r="D437">
        <v>5</v>
      </c>
      <c r="E437">
        <v>71.75</v>
      </c>
      <c r="F437">
        <v>1.86</v>
      </c>
      <c r="G437">
        <f t="shared" si="18"/>
        <v>356.89</v>
      </c>
      <c r="H437" t="str">
        <f>_xlfn.XLOOKUP(B437,customer_orders!A:A,customer_orders!F:F)</f>
        <v>2026-04</v>
      </c>
      <c r="I437" t="str">
        <f>_xlfn.XLOOKUP(C437,products!A:A,products!B:B)</f>
        <v>SKU-0078</v>
      </c>
      <c r="J437" t="str">
        <f>_xlfn.XLOOKUP(B437,customer_orders!A:A,customer_orders!G:G)</f>
        <v>2026-w14</v>
      </c>
      <c r="K437">
        <f>IFERROR(_xlfn.XLOOKUP(B437,shipments!B:B,shipments!H:H),0)</f>
        <v>0</v>
      </c>
      <c r="L437">
        <f t="shared" si="19"/>
        <v>0</v>
      </c>
      <c r="M437" t="str">
        <f>_xlfn.XLOOKUP(B437,customer_orders!A:A,customer_orders!D:D)</f>
        <v>Ebay</v>
      </c>
      <c r="N437" t="str">
        <f>_xlfn.XLOOKUP(C437,inventory!B:B,inventory!C:C)</f>
        <v>Draper</v>
      </c>
      <c r="O437">
        <f>IF(_xlfn.XLOOKUP(C437,products!A:A,products!E:E)="NULL",0,_xlfn.XLOOKUP(C437,products!A:A,products!E:E))</f>
        <v>44.31</v>
      </c>
      <c r="P437">
        <f t="shared" si="20"/>
        <v>312.58</v>
      </c>
      <c r="Q437" s="2" t="str">
        <f>_xlfn.XLOOKUP(I437,products!B:B,products!D:D)</f>
        <v>Beauty</v>
      </c>
    </row>
    <row r="438" spans="1:17">
      <c r="A438">
        <v>437</v>
      </c>
      <c r="B438">
        <v>1179</v>
      </c>
      <c r="C438">
        <v>74</v>
      </c>
      <c r="D438">
        <v>8</v>
      </c>
      <c r="E438">
        <v>130.72999999999999</v>
      </c>
      <c r="F438">
        <v>0</v>
      </c>
      <c r="G438">
        <f t="shared" si="18"/>
        <v>1045.8399999999999</v>
      </c>
      <c r="H438" t="str">
        <f>_xlfn.XLOOKUP(B438,customer_orders!A:A,customer_orders!F:F)</f>
        <v>2026-01</v>
      </c>
      <c r="I438" t="str">
        <f>_xlfn.XLOOKUP(C438,products!A:A,products!B:B)</f>
        <v>SKU0074</v>
      </c>
      <c r="J438" t="str">
        <f>_xlfn.XLOOKUP(B438,customer_orders!A:A,customer_orders!G:G)</f>
        <v>2026-w03</v>
      </c>
      <c r="K438">
        <f>IFERROR(_xlfn.XLOOKUP(B438,shipments!B:B,shipments!H:H),0)</f>
        <v>75.430000000000007</v>
      </c>
      <c r="L438">
        <f t="shared" si="19"/>
        <v>7.0000000000000007E-2</v>
      </c>
      <c r="M438" t="str">
        <f>_xlfn.XLOOKUP(B438,customer_orders!A:A,customer_orders!D:D)</f>
        <v>Ebay</v>
      </c>
      <c r="N438" t="str">
        <f>_xlfn.XLOOKUP(C438,inventory!B:B,inventory!C:C)</f>
        <v>Unknown</v>
      </c>
      <c r="O438">
        <f>IF(_xlfn.XLOOKUP(C438,products!A:A,products!E:E)="NULL",0,_xlfn.XLOOKUP(C438,products!A:A,products!E:E))</f>
        <v>104.59</v>
      </c>
      <c r="P438">
        <f t="shared" si="20"/>
        <v>941.24999999999989</v>
      </c>
      <c r="Q438" s="2" t="str">
        <f>_xlfn.XLOOKUP(I438,products!B:B,products!D:D)</f>
        <v>Toys</v>
      </c>
    </row>
    <row r="439" spans="1:17">
      <c r="A439">
        <v>438</v>
      </c>
      <c r="B439">
        <v>1180</v>
      </c>
      <c r="C439">
        <v>95</v>
      </c>
      <c r="D439">
        <v>3</v>
      </c>
      <c r="E439">
        <v>75.319999999999993</v>
      </c>
      <c r="F439">
        <v>0</v>
      </c>
      <c r="G439">
        <f t="shared" si="18"/>
        <v>225.95999999999998</v>
      </c>
      <c r="H439" t="str">
        <f>_xlfn.XLOOKUP(B439,customer_orders!A:A,customer_orders!F:F)</f>
        <v>2026-02</v>
      </c>
      <c r="I439" t="str">
        <f>_xlfn.XLOOKUP(C439,products!A:A,products!B:B)</f>
        <v>SKU-0095</v>
      </c>
      <c r="J439" t="str">
        <f>_xlfn.XLOOKUP(B439,customer_orders!A:A,customer_orders!G:G)</f>
        <v>2026-w07</v>
      </c>
      <c r="K439">
        <f>IFERROR(_xlfn.XLOOKUP(B439,shipments!B:B,shipments!H:H),0)</f>
        <v>28.46</v>
      </c>
      <c r="L439">
        <f t="shared" si="19"/>
        <v>0.13</v>
      </c>
      <c r="M439" t="str">
        <f>_xlfn.XLOOKUP(B439,customer_orders!A:A,customer_orders!D:D)</f>
        <v>Shopify</v>
      </c>
      <c r="N439" t="str">
        <f>_xlfn.XLOOKUP(C439,inventory!B:B,inventory!C:C)</f>
        <v>Draper</v>
      </c>
      <c r="O439">
        <f>IF(_xlfn.XLOOKUP(C439,products!A:A,products!E:E)="NULL",0,_xlfn.XLOOKUP(C439,products!A:A,products!E:E))</f>
        <v>71.34</v>
      </c>
      <c r="P439">
        <f t="shared" si="20"/>
        <v>154.61999999999998</v>
      </c>
      <c r="Q439" s="2" t="str">
        <f>_xlfn.XLOOKUP(I439,products!B:B,products!D:D)</f>
        <v>Electronics</v>
      </c>
    </row>
    <row r="440" spans="1:17">
      <c r="A440">
        <v>439</v>
      </c>
      <c r="B440">
        <v>1180</v>
      </c>
      <c r="C440">
        <v>125</v>
      </c>
      <c r="D440">
        <v>3</v>
      </c>
      <c r="E440">
        <v>273.92</v>
      </c>
      <c r="F440">
        <v>0</v>
      </c>
      <c r="G440">
        <f t="shared" si="18"/>
        <v>821.76</v>
      </c>
      <c r="H440" t="str">
        <f>_xlfn.XLOOKUP(B440,customer_orders!A:A,customer_orders!F:F)</f>
        <v>2026-02</v>
      </c>
      <c r="I440" t="str">
        <f>_xlfn.XLOOKUP(C440,products!A:A,products!B:B)</f>
        <v>SKU-0125</v>
      </c>
      <c r="J440" t="str">
        <f>_xlfn.XLOOKUP(B440,customer_orders!A:A,customer_orders!G:G)</f>
        <v>2026-w07</v>
      </c>
      <c r="K440">
        <f>IFERROR(_xlfn.XLOOKUP(B440,shipments!B:B,shipments!H:H),0)</f>
        <v>28.46</v>
      </c>
      <c r="L440">
        <f t="shared" si="19"/>
        <v>0.03</v>
      </c>
      <c r="M440" t="str">
        <f>_xlfn.XLOOKUP(B440,customer_orders!A:A,customer_orders!D:D)</f>
        <v>Shopify</v>
      </c>
      <c r="N440" t="str">
        <f>_xlfn.XLOOKUP(C440,inventory!B:B,inventory!C:C)</f>
        <v>Draper</v>
      </c>
      <c r="O440">
        <f>IF(_xlfn.XLOOKUP(C440,products!A:A,products!E:E)="NULL",0,_xlfn.XLOOKUP(C440,products!A:A,products!E:E))</f>
        <v>71.569999999999993</v>
      </c>
      <c r="P440">
        <f t="shared" si="20"/>
        <v>750.19</v>
      </c>
      <c r="Q440" s="2" t="str">
        <f>_xlfn.XLOOKUP(I440,products!B:B,products!D:D)</f>
        <v>Beauty</v>
      </c>
    </row>
    <row r="441" spans="1:17">
      <c r="A441">
        <v>440</v>
      </c>
      <c r="B441">
        <v>1180</v>
      </c>
      <c r="C441">
        <v>88</v>
      </c>
      <c r="D441">
        <v>2</v>
      </c>
      <c r="E441">
        <v>109.3</v>
      </c>
      <c r="F441">
        <v>0</v>
      </c>
      <c r="G441">
        <f t="shared" si="18"/>
        <v>218.6</v>
      </c>
      <c r="H441" t="str">
        <f>_xlfn.XLOOKUP(B441,customer_orders!A:A,customer_orders!F:F)</f>
        <v>2026-02</v>
      </c>
      <c r="I441" t="str">
        <f>_xlfn.XLOOKUP(C441,products!A:A,products!B:B)</f>
        <v>SKU-0088</v>
      </c>
      <c r="J441" t="str">
        <f>_xlfn.XLOOKUP(B441,customer_orders!A:A,customer_orders!G:G)</f>
        <v>2026-w07</v>
      </c>
      <c r="K441">
        <f>IFERROR(_xlfn.XLOOKUP(B441,shipments!B:B,shipments!H:H),0)</f>
        <v>28.46</v>
      </c>
      <c r="L441">
        <f t="shared" si="19"/>
        <v>0.13</v>
      </c>
      <c r="M441" t="str">
        <f>_xlfn.XLOOKUP(B441,customer_orders!A:A,customer_orders!D:D)</f>
        <v>Shopify</v>
      </c>
      <c r="N441" t="str">
        <f>_xlfn.XLOOKUP(C441,inventory!B:B,inventory!C:C)</f>
        <v>Salt Lake City</v>
      </c>
      <c r="O441">
        <f>IF(_xlfn.XLOOKUP(C441,products!A:A,products!E:E)="NULL",0,_xlfn.XLOOKUP(C441,products!A:A,products!E:E))</f>
        <v>77.599999999999994</v>
      </c>
      <c r="P441">
        <f t="shared" si="20"/>
        <v>141</v>
      </c>
      <c r="Q441" s="2" t="str">
        <f>_xlfn.XLOOKUP(I441,products!B:B,products!D:D)</f>
        <v>Beauty</v>
      </c>
    </row>
    <row r="442" spans="1:17">
      <c r="A442">
        <v>441</v>
      </c>
      <c r="B442">
        <v>1180</v>
      </c>
      <c r="C442">
        <v>127</v>
      </c>
      <c r="D442">
        <v>7</v>
      </c>
      <c r="E442">
        <v>38.14</v>
      </c>
      <c r="F442">
        <v>0</v>
      </c>
      <c r="G442">
        <f t="shared" si="18"/>
        <v>266.98</v>
      </c>
      <c r="H442" t="str">
        <f>_xlfn.XLOOKUP(B442,customer_orders!A:A,customer_orders!F:F)</f>
        <v>2026-02</v>
      </c>
      <c r="I442" t="str">
        <f>_xlfn.XLOOKUP(C442,products!A:A,products!B:B)</f>
        <v>SKU-0127</v>
      </c>
      <c r="J442" t="str">
        <f>_xlfn.XLOOKUP(B442,customer_orders!A:A,customer_orders!G:G)</f>
        <v>2026-w07</v>
      </c>
      <c r="K442">
        <f>IFERROR(_xlfn.XLOOKUP(B442,shipments!B:B,shipments!H:H),0)</f>
        <v>28.46</v>
      </c>
      <c r="L442">
        <f t="shared" si="19"/>
        <v>0.11</v>
      </c>
      <c r="M442" t="str">
        <f>_xlfn.XLOOKUP(B442,customer_orders!A:A,customer_orders!D:D)</f>
        <v>Shopify</v>
      </c>
      <c r="N442" t="str">
        <f>_xlfn.XLOOKUP(C442,inventory!B:B,inventory!C:C)</f>
        <v>South Jordan</v>
      </c>
      <c r="O442">
        <f>IF(_xlfn.XLOOKUP(C442,products!A:A,products!E:E)="NULL",0,_xlfn.XLOOKUP(C442,products!A:A,products!E:E))</f>
        <v>51.31</v>
      </c>
      <c r="P442">
        <f t="shared" si="20"/>
        <v>215.67000000000002</v>
      </c>
      <c r="Q442" s="2" t="str">
        <f>_xlfn.XLOOKUP(I442,products!B:B,products!D:D)</f>
        <v>Beauty</v>
      </c>
    </row>
    <row r="443" spans="1:17">
      <c r="A443">
        <v>442</v>
      </c>
      <c r="B443">
        <v>1181</v>
      </c>
      <c r="C443">
        <v>122</v>
      </c>
      <c r="D443">
        <v>5</v>
      </c>
      <c r="E443">
        <v>151.15</v>
      </c>
      <c r="F443">
        <v>0</v>
      </c>
      <c r="G443">
        <f t="shared" si="18"/>
        <v>755.75</v>
      </c>
      <c r="H443" t="str">
        <f>_xlfn.XLOOKUP(B443,customer_orders!A:A,customer_orders!F:F)</f>
        <v>2026-01</v>
      </c>
      <c r="I443" t="str">
        <f>_xlfn.XLOOKUP(C443,products!A:A,products!B:B)</f>
        <v>SKU-0122</v>
      </c>
      <c r="J443" t="str">
        <f>_xlfn.XLOOKUP(B443,customer_orders!A:A,customer_orders!G:G)</f>
        <v>2026-w05</v>
      </c>
      <c r="K443">
        <f>IFERROR(_xlfn.XLOOKUP(B443,shipments!B:B,shipments!H:H),0)</f>
        <v>114.92</v>
      </c>
      <c r="L443">
        <f t="shared" si="19"/>
        <v>0.15</v>
      </c>
      <c r="M443" t="str">
        <f>_xlfn.XLOOKUP(B443,customer_orders!A:A,customer_orders!D:D)</f>
        <v>Shopify</v>
      </c>
      <c r="N443" t="str">
        <f>_xlfn.XLOOKUP(C443,inventory!B:B,inventory!C:C)</f>
        <v>South Jordan</v>
      </c>
      <c r="O443">
        <f>IF(_xlfn.XLOOKUP(C443,products!A:A,products!E:E)="NULL",0,_xlfn.XLOOKUP(C443,products!A:A,products!E:E))</f>
        <v>169.69</v>
      </c>
      <c r="P443">
        <f t="shared" si="20"/>
        <v>586.05999999999995</v>
      </c>
      <c r="Q443" s="2" t="str">
        <f>_xlfn.XLOOKUP(I443,products!B:B,products!D:D)</f>
        <v>Electronics</v>
      </c>
    </row>
    <row r="444" spans="1:17">
      <c r="A444">
        <v>443</v>
      </c>
      <c r="B444">
        <v>1181</v>
      </c>
      <c r="C444">
        <v>98</v>
      </c>
      <c r="D444">
        <v>7</v>
      </c>
      <c r="E444">
        <v>285.64</v>
      </c>
      <c r="F444">
        <v>0</v>
      </c>
      <c r="G444">
        <f t="shared" si="18"/>
        <v>1999.48</v>
      </c>
      <c r="H444" t="str">
        <f>_xlfn.XLOOKUP(B444,customer_orders!A:A,customer_orders!F:F)</f>
        <v>2026-01</v>
      </c>
      <c r="I444" t="str">
        <f>_xlfn.XLOOKUP(C444,products!A:A,products!B:B)</f>
        <v>SKU-0098</v>
      </c>
      <c r="J444" t="str">
        <f>_xlfn.XLOOKUP(B444,customer_orders!A:A,customer_orders!G:G)</f>
        <v>2026-w05</v>
      </c>
      <c r="K444">
        <f>IFERROR(_xlfn.XLOOKUP(B444,shipments!B:B,shipments!H:H),0)</f>
        <v>114.92</v>
      </c>
      <c r="L444">
        <f t="shared" si="19"/>
        <v>0.06</v>
      </c>
      <c r="M444" t="str">
        <f>_xlfn.XLOOKUP(B444,customer_orders!A:A,customer_orders!D:D)</f>
        <v>Shopify</v>
      </c>
      <c r="N444" t="str">
        <f>_xlfn.XLOOKUP(C444,inventory!B:B,inventory!C:C)</f>
        <v>South Jordan</v>
      </c>
      <c r="O444">
        <f>IF(_xlfn.XLOOKUP(C444,products!A:A,products!E:E)="NULL",0,_xlfn.XLOOKUP(C444,products!A:A,products!E:E))</f>
        <v>136.99</v>
      </c>
      <c r="P444">
        <f t="shared" si="20"/>
        <v>1862.49</v>
      </c>
      <c r="Q444" s="2" t="str">
        <f>_xlfn.XLOOKUP(I444,products!B:B,products!D:D)</f>
        <v>Home</v>
      </c>
    </row>
    <row r="445" spans="1:17">
      <c r="A445">
        <v>444</v>
      </c>
      <c r="B445">
        <v>1181</v>
      </c>
      <c r="C445">
        <v>136</v>
      </c>
      <c r="D445">
        <v>7</v>
      </c>
      <c r="E445">
        <v>230.54</v>
      </c>
      <c r="F445">
        <v>1.17</v>
      </c>
      <c r="G445">
        <f t="shared" si="18"/>
        <v>1612.61</v>
      </c>
      <c r="H445" t="str">
        <f>_xlfn.XLOOKUP(B445,customer_orders!A:A,customer_orders!F:F)</f>
        <v>2026-01</v>
      </c>
      <c r="I445" t="str">
        <f>_xlfn.XLOOKUP(C445,products!A:A,products!B:B)</f>
        <v>SKU-0136</v>
      </c>
      <c r="J445" t="str">
        <f>_xlfn.XLOOKUP(B445,customer_orders!A:A,customer_orders!G:G)</f>
        <v>2026-w05</v>
      </c>
      <c r="K445">
        <f>IFERROR(_xlfn.XLOOKUP(B445,shipments!B:B,shipments!H:H),0)</f>
        <v>114.92</v>
      </c>
      <c r="L445">
        <f t="shared" si="19"/>
        <v>7.0000000000000007E-2</v>
      </c>
      <c r="M445" t="str">
        <f>_xlfn.XLOOKUP(B445,customer_orders!A:A,customer_orders!D:D)</f>
        <v>Shopify</v>
      </c>
      <c r="N445" t="str">
        <f>_xlfn.XLOOKUP(C445,inventory!B:B,inventory!C:C)</f>
        <v>South Jordan</v>
      </c>
      <c r="O445">
        <f>IF(_xlfn.XLOOKUP(C445,products!A:A,products!E:E)="NULL",0,_xlfn.XLOOKUP(C445,products!A:A,products!E:E))</f>
        <v>12.04</v>
      </c>
      <c r="P445">
        <f t="shared" si="20"/>
        <v>1600.57</v>
      </c>
      <c r="Q445" s="2" t="str">
        <f>_xlfn.XLOOKUP(I445,products!B:B,products!D:D)</f>
        <v>Sports</v>
      </c>
    </row>
    <row r="446" spans="1:17">
      <c r="A446">
        <v>445</v>
      </c>
      <c r="B446">
        <v>1181</v>
      </c>
      <c r="C446">
        <v>98</v>
      </c>
      <c r="D446">
        <v>6</v>
      </c>
      <c r="E446">
        <v>285.64</v>
      </c>
      <c r="F446">
        <v>0</v>
      </c>
      <c r="G446">
        <f t="shared" si="18"/>
        <v>1713.84</v>
      </c>
      <c r="H446" t="str">
        <f>_xlfn.XLOOKUP(B446,customer_orders!A:A,customer_orders!F:F)</f>
        <v>2026-01</v>
      </c>
      <c r="I446" t="str">
        <f>_xlfn.XLOOKUP(C446,products!A:A,products!B:B)</f>
        <v>SKU-0098</v>
      </c>
      <c r="J446" t="str">
        <f>_xlfn.XLOOKUP(B446,customer_orders!A:A,customer_orders!G:G)</f>
        <v>2026-w05</v>
      </c>
      <c r="K446">
        <f>IFERROR(_xlfn.XLOOKUP(B446,shipments!B:B,shipments!H:H),0)</f>
        <v>114.92</v>
      </c>
      <c r="L446">
        <f t="shared" si="19"/>
        <v>7.0000000000000007E-2</v>
      </c>
      <c r="M446" t="str">
        <f>_xlfn.XLOOKUP(B446,customer_orders!A:A,customer_orders!D:D)</f>
        <v>Shopify</v>
      </c>
      <c r="N446" t="str">
        <f>_xlfn.XLOOKUP(C446,inventory!B:B,inventory!C:C)</f>
        <v>South Jordan</v>
      </c>
      <c r="O446">
        <f>IF(_xlfn.XLOOKUP(C446,products!A:A,products!E:E)="NULL",0,_xlfn.XLOOKUP(C446,products!A:A,products!E:E))</f>
        <v>136.99</v>
      </c>
      <c r="P446">
        <f t="shared" si="20"/>
        <v>1576.85</v>
      </c>
      <c r="Q446" s="2" t="str">
        <f>_xlfn.XLOOKUP(I446,products!B:B,products!D:D)</f>
        <v>Home</v>
      </c>
    </row>
    <row r="447" spans="1:17">
      <c r="A447">
        <v>446</v>
      </c>
      <c r="B447">
        <v>1182</v>
      </c>
      <c r="C447">
        <v>119</v>
      </c>
      <c r="D447">
        <v>4</v>
      </c>
      <c r="E447">
        <v>27.97</v>
      </c>
      <c r="F447">
        <v>0</v>
      </c>
      <c r="G447">
        <f t="shared" si="18"/>
        <v>111.88</v>
      </c>
      <c r="H447" t="str">
        <f>_xlfn.XLOOKUP(B447,customer_orders!A:A,customer_orders!F:F)</f>
        <v>2026-03</v>
      </c>
      <c r="I447" t="str">
        <f>_xlfn.XLOOKUP(C447,products!A:A,products!B:B)</f>
        <v>SKU-0119</v>
      </c>
      <c r="J447" t="str">
        <f>_xlfn.XLOOKUP(B447,customer_orders!A:A,customer_orders!G:G)</f>
        <v>2026-w11</v>
      </c>
      <c r="K447">
        <f>IFERROR(_xlfn.XLOOKUP(B447,shipments!B:B,shipments!H:H),0)</f>
        <v>0</v>
      </c>
      <c r="L447">
        <f t="shared" si="19"/>
        <v>0</v>
      </c>
      <c r="M447" t="str">
        <f>_xlfn.XLOOKUP(B447,customer_orders!A:A,customer_orders!D:D)</f>
        <v>Amazon</v>
      </c>
      <c r="N447" t="str">
        <f>_xlfn.XLOOKUP(C447,inventory!B:B,inventory!C:C)</f>
        <v>Lehi</v>
      </c>
      <c r="O447">
        <f>IF(_xlfn.XLOOKUP(C447,products!A:A,products!E:E)="NULL",0,_xlfn.XLOOKUP(C447,products!A:A,products!E:E))</f>
        <v>27.15</v>
      </c>
      <c r="P447">
        <f t="shared" si="20"/>
        <v>84.72999999999999</v>
      </c>
      <c r="Q447" s="2" t="str">
        <f>_xlfn.XLOOKUP(I447,products!B:B,products!D:D)</f>
        <v>Electronics</v>
      </c>
    </row>
    <row r="448" spans="1:17">
      <c r="A448">
        <v>447</v>
      </c>
      <c r="B448">
        <v>1182</v>
      </c>
      <c r="C448">
        <v>134</v>
      </c>
      <c r="D448">
        <v>6</v>
      </c>
      <c r="E448">
        <v>26.36</v>
      </c>
      <c r="F448">
        <v>0</v>
      </c>
      <c r="G448">
        <f t="shared" si="18"/>
        <v>158.16</v>
      </c>
      <c r="H448" t="str">
        <f>_xlfn.XLOOKUP(B448,customer_orders!A:A,customer_orders!F:F)</f>
        <v>2026-03</v>
      </c>
      <c r="I448" t="str">
        <f>_xlfn.XLOOKUP(C448,products!A:A,products!B:B)</f>
        <v>SKU-0134</v>
      </c>
      <c r="J448" t="str">
        <f>_xlfn.XLOOKUP(B448,customer_orders!A:A,customer_orders!G:G)</f>
        <v>2026-w11</v>
      </c>
      <c r="K448">
        <f>IFERROR(_xlfn.XLOOKUP(B448,shipments!B:B,shipments!H:H),0)</f>
        <v>0</v>
      </c>
      <c r="L448">
        <f t="shared" si="19"/>
        <v>0</v>
      </c>
      <c r="M448" t="str">
        <f>_xlfn.XLOOKUP(B448,customer_orders!A:A,customer_orders!D:D)</f>
        <v>Amazon</v>
      </c>
      <c r="N448" t="str">
        <f>_xlfn.XLOOKUP(C448,inventory!B:B,inventory!C:C)</f>
        <v>Draper</v>
      </c>
      <c r="O448">
        <f>IF(_xlfn.XLOOKUP(C448,products!A:A,products!E:E)="NULL",0,_xlfn.XLOOKUP(C448,products!A:A,products!E:E))</f>
        <v>19.079999999999998</v>
      </c>
      <c r="P448">
        <f t="shared" si="20"/>
        <v>139.07999999999998</v>
      </c>
      <c r="Q448" s="2" t="str">
        <f>_xlfn.XLOOKUP(I448,products!B:B,products!D:D)</f>
        <v>Pet</v>
      </c>
    </row>
    <row r="449" spans="1:17">
      <c r="A449">
        <v>448</v>
      </c>
      <c r="B449">
        <v>1182</v>
      </c>
      <c r="C449">
        <v>81</v>
      </c>
      <c r="D449">
        <v>1</v>
      </c>
      <c r="E449">
        <v>244.17</v>
      </c>
      <c r="F449">
        <v>0</v>
      </c>
      <c r="G449">
        <f t="shared" si="18"/>
        <v>244.17</v>
      </c>
      <c r="H449" t="str">
        <f>_xlfn.XLOOKUP(B449,customer_orders!A:A,customer_orders!F:F)</f>
        <v>2026-03</v>
      </c>
      <c r="I449" t="str">
        <f>_xlfn.XLOOKUP(C449,products!A:A,products!B:B)</f>
        <v>SKU-0081</v>
      </c>
      <c r="J449" t="str">
        <f>_xlfn.XLOOKUP(B449,customer_orders!A:A,customer_orders!G:G)</f>
        <v>2026-w11</v>
      </c>
      <c r="K449">
        <f>IFERROR(_xlfn.XLOOKUP(B449,shipments!B:B,shipments!H:H),0)</f>
        <v>0</v>
      </c>
      <c r="L449">
        <f t="shared" si="19"/>
        <v>0</v>
      </c>
      <c r="M449" t="str">
        <f>_xlfn.XLOOKUP(B449,customer_orders!A:A,customer_orders!D:D)</f>
        <v>Amazon</v>
      </c>
      <c r="N449" t="str">
        <f>_xlfn.XLOOKUP(C449,inventory!B:B,inventory!C:C)</f>
        <v>Lehi</v>
      </c>
      <c r="O449">
        <f>IF(_xlfn.XLOOKUP(C449,products!A:A,products!E:E)="NULL",0,_xlfn.XLOOKUP(C449,products!A:A,products!E:E))</f>
        <v>43.3</v>
      </c>
      <c r="P449">
        <f t="shared" si="20"/>
        <v>200.87</v>
      </c>
      <c r="Q449" s="2" t="str">
        <f>_xlfn.XLOOKUP(I449,products!B:B,products!D:D)</f>
        <v>Home</v>
      </c>
    </row>
    <row r="450" spans="1:17">
      <c r="A450">
        <v>449</v>
      </c>
      <c r="B450">
        <v>1182</v>
      </c>
      <c r="C450">
        <v>4</v>
      </c>
      <c r="D450">
        <v>7</v>
      </c>
      <c r="E450">
        <v>94.28</v>
      </c>
      <c r="F450">
        <v>0</v>
      </c>
      <c r="G450">
        <f t="shared" si="18"/>
        <v>659.96</v>
      </c>
      <c r="H450" t="str">
        <f>_xlfn.XLOOKUP(B450,customer_orders!A:A,customer_orders!F:F)</f>
        <v>2026-03</v>
      </c>
      <c r="I450" t="str">
        <f>_xlfn.XLOOKUP(C450,products!A:A,products!B:B)</f>
        <v>SKU-0004</v>
      </c>
      <c r="J450" t="str">
        <f>_xlfn.XLOOKUP(B450,customer_orders!A:A,customer_orders!G:G)</f>
        <v>2026-w11</v>
      </c>
      <c r="K450">
        <f>IFERROR(_xlfn.XLOOKUP(B450,shipments!B:B,shipments!H:H),0)</f>
        <v>0</v>
      </c>
      <c r="L450">
        <f t="shared" si="19"/>
        <v>0</v>
      </c>
      <c r="M450" t="str">
        <f>_xlfn.XLOOKUP(B450,customer_orders!A:A,customer_orders!D:D)</f>
        <v>Amazon</v>
      </c>
      <c r="N450" t="str">
        <f>_xlfn.XLOOKUP(C450,inventory!B:B,inventory!C:C)</f>
        <v>Draper</v>
      </c>
      <c r="O450">
        <f>IF(_xlfn.XLOOKUP(C450,products!A:A,products!E:E)="NULL",0,_xlfn.XLOOKUP(C450,products!A:A,products!E:E))</f>
        <v>83.61</v>
      </c>
      <c r="P450">
        <f t="shared" si="20"/>
        <v>576.35</v>
      </c>
      <c r="Q450" s="2" t="str">
        <f>_xlfn.XLOOKUP(I450,products!B:B,products!D:D)</f>
        <v>Office</v>
      </c>
    </row>
    <row r="451" spans="1:17">
      <c r="A451">
        <v>450</v>
      </c>
      <c r="B451">
        <v>1183</v>
      </c>
      <c r="C451">
        <v>50</v>
      </c>
      <c r="D451">
        <v>1</v>
      </c>
      <c r="E451">
        <v>252.62</v>
      </c>
      <c r="F451">
        <v>0</v>
      </c>
      <c r="G451">
        <f t="shared" ref="G451:G514" si="21">E451*D451-F451</f>
        <v>252.62</v>
      </c>
      <c r="H451" t="str">
        <f>_xlfn.XLOOKUP(B451,customer_orders!A:A,customer_orders!F:F)</f>
        <v>2026-03</v>
      </c>
      <c r="I451" t="str">
        <f>_xlfn.XLOOKUP(C451,products!A:A,products!B:B)</f>
        <v>SKU-0050</v>
      </c>
      <c r="J451" t="str">
        <f>_xlfn.XLOOKUP(B451,customer_orders!A:A,customer_orders!G:G)</f>
        <v>2026-w14</v>
      </c>
      <c r="K451">
        <f>IFERROR(_xlfn.XLOOKUP(B451,shipments!B:B,shipments!H:H),0)</f>
        <v>97.17</v>
      </c>
      <c r="L451">
        <f t="shared" ref="L451:L514" si="22">ROUND(K451/G451,2)</f>
        <v>0.38</v>
      </c>
      <c r="M451" t="str">
        <f>_xlfn.XLOOKUP(B451,customer_orders!A:A,customer_orders!D:D)</f>
        <v>Shopify</v>
      </c>
      <c r="N451" t="str">
        <f>_xlfn.XLOOKUP(C451,inventory!B:B,inventory!C:C)</f>
        <v>South Jordan</v>
      </c>
      <c r="O451">
        <f>IF(_xlfn.XLOOKUP(C451,products!A:A,products!E:E)="NULL",0,_xlfn.XLOOKUP(C451,products!A:A,products!E:E))</f>
        <v>32.61</v>
      </c>
      <c r="P451">
        <f t="shared" ref="P451:P514" si="23">G451-O451</f>
        <v>220.01</v>
      </c>
      <c r="Q451" s="2" t="str">
        <f>_xlfn.XLOOKUP(I451,products!B:B,products!D:D)</f>
        <v>Kitchen</v>
      </c>
    </row>
    <row r="452" spans="1:17">
      <c r="A452">
        <v>451</v>
      </c>
      <c r="B452">
        <v>1183</v>
      </c>
      <c r="C452">
        <v>15</v>
      </c>
      <c r="D452">
        <v>4</v>
      </c>
      <c r="E452">
        <v>198.21</v>
      </c>
      <c r="F452">
        <v>0</v>
      </c>
      <c r="G452">
        <f t="shared" si="21"/>
        <v>792.84</v>
      </c>
      <c r="H452" t="str">
        <f>_xlfn.XLOOKUP(B452,customer_orders!A:A,customer_orders!F:F)</f>
        <v>2026-03</v>
      </c>
      <c r="I452" t="str">
        <f>_xlfn.XLOOKUP(C452,products!A:A,products!B:B)</f>
        <v>SKU-0015</v>
      </c>
      <c r="J452" t="str">
        <f>_xlfn.XLOOKUP(B452,customer_orders!A:A,customer_orders!G:G)</f>
        <v>2026-w14</v>
      </c>
      <c r="K452">
        <f>IFERROR(_xlfn.XLOOKUP(B452,shipments!B:B,shipments!H:H),0)</f>
        <v>97.17</v>
      </c>
      <c r="L452">
        <f t="shared" si="22"/>
        <v>0.12</v>
      </c>
      <c r="M452" t="str">
        <f>_xlfn.XLOOKUP(B452,customer_orders!A:A,customer_orders!D:D)</f>
        <v>Shopify</v>
      </c>
      <c r="N452" t="str">
        <f>_xlfn.XLOOKUP(C452,inventory!B:B,inventory!C:C)</f>
        <v>South Jordan</v>
      </c>
      <c r="O452">
        <f>IF(_xlfn.XLOOKUP(C452,products!A:A,products!E:E)="NULL",0,_xlfn.XLOOKUP(C452,products!A:A,products!E:E))</f>
        <v>159.82</v>
      </c>
      <c r="P452">
        <f t="shared" si="23"/>
        <v>633.02</v>
      </c>
      <c r="Q452" s="2" t="str">
        <f>_xlfn.XLOOKUP(I452,products!B:B,products!D:D)</f>
        <v>Pet</v>
      </c>
    </row>
    <row r="453" spans="1:17">
      <c r="A453">
        <v>452</v>
      </c>
      <c r="B453">
        <v>1183</v>
      </c>
      <c r="C453">
        <v>31</v>
      </c>
      <c r="D453">
        <v>2</v>
      </c>
      <c r="E453">
        <v>35.19</v>
      </c>
      <c r="F453">
        <v>0</v>
      </c>
      <c r="G453">
        <f t="shared" si="21"/>
        <v>70.38</v>
      </c>
      <c r="H453" t="str">
        <f>_xlfn.XLOOKUP(B453,customer_orders!A:A,customer_orders!F:F)</f>
        <v>2026-03</v>
      </c>
      <c r="I453" t="str">
        <f>_xlfn.XLOOKUP(C453,products!A:A,products!B:B)</f>
        <v>SKU-0031</v>
      </c>
      <c r="J453" t="str">
        <f>_xlfn.XLOOKUP(B453,customer_orders!A:A,customer_orders!G:G)</f>
        <v>2026-w14</v>
      </c>
      <c r="K453">
        <f>IFERROR(_xlfn.XLOOKUP(B453,shipments!B:B,shipments!H:H),0)</f>
        <v>97.17</v>
      </c>
      <c r="L453">
        <f t="shared" si="22"/>
        <v>1.38</v>
      </c>
      <c r="M453" t="str">
        <f>_xlfn.XLOOKUP(B453,customer_orders!A:A,customer_orders!D:D)</f>
        <v>Shopify</v>
      </c>
      <c r="N453" t="str">
        <f>_xlfn.XLOOKUP(C453,inventory!B:B,inventory!C:C)</f>
        <v>Salt Lake City</v>
      </c>
      <c r="O453">
        <f>IF(_xlfn.XLOOKUP(C453,products!A:A,products!E:E)="NULL",0,_xlfn.XLOOKUP(C453,products!A:A,products!E:E))</f>
        <v>155.44</v>
      </c>
      <c r="P453">
        <f t="shared" si="23"/>
        <v>-85.06</v>
      </c>
      <c r="Q453" s="2" t="str">
        <f>_xlfn.XLOOKUP(I453,products!B:B,products!D:D)</f>
        <v>Home</v>
      </c>
    </row>
    <row r="454" spans="1:17">
      <c r="A454">
        <v>453</v>
      </c>
      <c r="B454">
        <v>1184</v>
      </c>
      <c r="C454">
        <v>71</v>
      </c>
      <c r="D454">
        <v>7</v>
      </c>
      <c r="E454">
        <v>277.42</v>
      </c>
      <c r="F454">
        <v>0</v>
      </c>
      <c r="G454">
        <f t="shared" si="21"/>
        <v>1941.94</v>
      </c>
      <c r="H454" t="str">
        <f>_xlfn.XLOOKUP(B454,customer_orders!A:A,customer_orders!F:F)</f>
        <v>2026-03</v>
      </c>
      <c r="I454" t="str">
        <f>_xlfn.XLOOKUP(C454,products!A:A,products!B:B)</f>
        <v>SKU-0071</v>
      </c>
      <c r="J454" t="str">
        <f>_xlfn.XLOOKUP(B454,customer_orders!A:A,customer_orders!G:G)</f>
        <v>2026-w12</v>
      </c>
      <c r="K454">
        <f>IFERROR(_xlfn.XLOOKUP(B454,shipments!B:B,shipments!H:H),0)</f>
        <v>49.55</v>
      </c>
      <c r="L454">
        <f t="shared" si="22"/>
        <v>0.03</v>
      </c>
      <c r="M454" t="str">
        <f>_xlfn.XLOOKUP(B454,customer_orders!A:A,customer_orders!D:D)</f>
        <v>Shopify</v>
      </c>
      <c r="N454" t="str">
        <f>_xlfn.XLOOKUP(C454,inventory!B:B,inventory!C:C)</f>
        <v>West Valley</v>
      </c>
      <c r="O454">
        <f>IF(_xlfn.XLOOKUP(C454,products!A:A,products!E:E)="NULL",0,_xlfn.XLOOKUP(C454,products!A:A,products!E:E))</f>
        <v>171.05</v>
      </c>
      <c r="P454">
        <f t="shared" si="23"/>
        <v>1770.89</v>
      </c>
      <c r="Q454" s="2" t="str">
        <f>_xlfn.XLOOKUP(I454,products!B:B,products!D:D)</f>
        <v>Office</v>
      </c>
    </row>
    <row r="455" spans="1:17">
      <c r="A455">
        <v>454</v>
      </c>
      <c r="B455">
        <v>1184</v>
      </c>
      <c r="C455">
        <v>66</v>
      </c>
      <c r="D455">
        <v>3</v>
      </c>
      <c r="E455">
        <v>94.55</v>
      </c>
      <c r="F455">
        <v>0</v>
      </c>
      <c r="G455">
        <f t="shared" si="21"/>
        <v>283.64999999999998</v>
      </c>
      <c r="H455" t="str">
        <f>_xlfn.XLOOKUP(B455,customer_orders!A:A,customer_orders!F:F)</f>
        <v>2026-03</v>
      </c>
      <c r="I455" t="str">
        <f>_xlfn.XLOOKUP(C455,products!A:A,products!B:B)</f>
        <v>SKU-0066</v>
      </c>
      <c r="J455" t="str">
        <f>_xlfn.XLOOKUP(B455,customer_orders!A:A,customer_orders!G:G)</f>
        <v>2026-w12</v>
      </c>
      <c r="K455">
        <f>IFERROR(_xlfn.XLOOKUP(B455,shipments!B:B,shipments!H:H),0)</f>
        <v>49.55</v>
      </c>
      <c r="L455">
        <f t="shared" si="22"/>
        <v>0.17</v>
      </c>
      <c r="M455" t="str">
        <f>_xlfn.XLOOKUP(B455,customer_orders!A:A,customer_orders!D:D)</f>
        <v>Shopify</v>
      </c>
      <c r="N455" t="str">
        <f>_xlfn.XLOOKUP(C455,inventory!B:B,inventory!C:C)</f>
        <v>Salt Lake City</v>
      </c>
      <c r="O455">
        <f>IF(_xlfn.XLOOKUP(C455,products!A:A,products!E:E)="NULL",0,_xlfn.XLOOKUP(C455,products!A:A,products!E:E))</f>
        <v>174.21</v>
      </c>
      <c r="P455">
        <f t="shared" si="23"/>
        <v>109.43999999999997</v>
      </c>
      <c r="Q455" s="2" t="str">
        <f>_xlfn.XLOOKUP(I455,products!B:B,products!D:D)</f>
        <v>Sports</v>
      </c>
    </row>
    <row r="456" spans="1:17">
      <c r="A456">
        <v>455</v>
      </c>
      <c r="B456">
        <v>1184</v>
      </c>
      <c r="C456">
        <v>16</v>
      </c>
      <c r="D456">
        <v>7</v>
      </c>
      <c r="E456">
        <v>168.61</v>
      </c>
      <c r="F456">
        <v>0</v>
      </c>
      <c r="G456">
        <f t="shared" si="21"/>
        <v>1180.27</v>
      </c>
      <c r="H456" t="str">
        <f>_xlfn.XLOOKUP(B456,customer_orders!A:A,customer_orders!F:F)</f>
        <v>2026-03</v>
      </c>
      <c r="I456" t="str">
        <f>_xlfn.XLOOKUP(C456,products!A:A,products!B:B)</f>
        <v>SKU-0016</v>
      </c>
      <c r="J456" t="str">
        <f>_xlfn.XLOOKUP(B456,customer_orders!A:A,customer_orders!G:G)</f>
        <v>2026-w12</v>
      </c>
      <c r="K456">
        <f>IFERROR(_xlfn.XLOOKUP(B456,shipments!B:B,shipments!H:H),0)</f>
        <v>49.55</v>
      </c>
      <c r="L456">
        <f t="shared" si="22"/>
        <v>0.04</v>
      </c>
      <c r="M456" t="str">
        <f>_xlfn.XLOOKUP(B456,customer_orders!A:A,customer_orders!D:D)</f>
        <v>Shopify</v>
      </c>
      <c r="N456" t="str">
        <f>_xlfn.XLOOKUP(C456,inventory!B:B,inventory!C:C)</f>
        <v>Draper</v>
      </c>
      <c r="O456">
        <f>IF(_xlfn.XLOOKUP(C456,products!A:A,products!E:E)="NULL",0,_xlfn.XLOOKUP(C456,products!A:A,products!E:E))</f>
        <v>135.37</v>
      </c>
      <c r="P456">
        <f t="shared" si="23"/>
        <v>1044.9000000000001</v>
      </c>
      <c r="Q456" s="2" t="str">
        <f>_xlfn.XLOOKUP(I456,products!B:B,products!D:D)</f>
        <v>Toys</v>
      </c>
    </row>
    <row r="457" spans="1:17">
      <c r="A457">
        <v>456</v>
      </c>
      <c r="B457">
        <v>1184</v>
      </c>
      <c r="C457">
        <v>67</v>
      </c>
      <c r="D457">
        <v>5</v>
      </c>
      <c r="E457">
        <v>291.56</v>
      </c>
      <c r="F457">
        <v>0</v>
      </c>
      <c r="G457">
        <f t="shared" si="21"/>
        <v>1457.8</v>
      </c>
      <c r="H457" t="str">
        <f>_xlfn.XLOOKUP(B457,customer_orders!A:A,customer_orders!F:F)</f>
        <v>2026-03</v>
      </c>
      <c r="I457" t="str">
        <f>_xlfn.XLOOKUP(C457,products!A:A,products!B:B)</f>
        <v>SKU-0067</v>
      </c>
      <c r="J457" t="str">
        <f>_xlfn.XLOOKUP(B457,customer_orders!A:A,customer_orders!G:G)</f>
        <v>2026-w12</v>
      </c>
      <c r="K457">
        <f>IFERROR(_xlfn.XLOOKUP(B457,shipments!B:B,shipments!H:H),0)</f>
        <v>49.55</v>
      </c>
      <c r="L457">
        <f t="shared" si="22"/>
        <v>0.03</v>
      </c>
      <c r="M457" t="str">
        <f>_xlfn.XLOOKUP(B457,customer_orders!A:A,customer_orders!D:D)</f>
        <v>Shopify</v>
      </c>
      <c r="N457" t="str">
        <f>_xlfn.XLOOKUP(C457,inventory!B:B,inventory!C:C)</f>
        <v>West Valley</v>
      </c>
      <c r="O457">
        <f>IF(_xlfn.XLOOKUP(C457,products!A:A,products!E:E)="NULL",0,_xlfn.XLOOKUP(C457,products!A:A,products!E:E))</f>
        <v>25.18</v>
      </c>
      <c r="P457">
        <f t="shared" si="23"/>
        <v>1432.62</v>
      </c>
      <c r="Q457" s="2" t="str">
        <f>_xlfn.XLOOKUP(I457,products!B:B,products!D:D)</f>
        <v>Kitchen</v>
      </c>
    </row>
    <row r="458" spans="1:17">
      <c r="A458">
        <v>457</v>
      </c>
      <c r="B458">
        <v>1185</v>
      </c>
      <c r="C458">
        <v>114</v>
      </c>
      <c r="D458">
        <v>5</v>
      </c>
      <c r="E458">
        <v>171.86</v>
      </c>
      <c r="F458">
        <v>0</v>
      </c>
      <c r="G458">
        <f t="shared" si="21"/>
        <v>859.30000000000007</v>
      </c>
      <c r="H458" t="str">
        <f>_xlfn.XLOOKUP(B458,customer_orders!A:A,customer_orders!F:F)</f>
        <v>2026-04</v>
      </c>
      <c r="I458" t="str">
        <f>_xlfn.XLOOKUP(C458,products!A:A,products!B:B)</f>
        <v>SKU-0114</v>
      </c>
      <c r="J458" t="str">
        <f>_xlfn.XLOOKUP(B458,customer_orders!A:A,customer_orders!G:G)</f>
        <v>2026-w17</v>
      </c>
      <c r="K458">
        <f>IFERROR(_xlfn.XLOOKUP(B458,shipments!B:B,shipments!H:H),0)</f>
        <v>573.74</v>
      </c>
      <c r="L458">
        <f t="shared" si="22"/>
        <v>0.67</v>
      </c>
      <c r="M458" t="str">
        <f>_xlfn.XLOOKUP(B458,customer_orders!A:A,customer_orders!D:D)</f>
        <v>Amazon</v>
      </c>
      <c r="N458" t="str">
        <f>_xlfn.XLOOKUP(C458,inventory!B:B,inventory!C:C)</f>
        <v>Salt Lake City</v>
      </c>
      <c r="O458">
        <f>IF(_xlfn.XLOOKUP(C458,products!A:A,products!E:E)="NULL",0,_xlfn.XLOOKUP(C458,products!A:A,products!E:E))</f>
        <v>179.41</v>
      </c>
      <c r="P458">
        <f t="shared" si="23"/>
        <v>679.8900000000001</v>
      </c>
      <c r="Q458" s="2" t="str">
        <f>_xlfn.XLOOKUP(I458,products!B:B,products!D:D)</f>
        <v>Kitchen</v>
      </c>
    </row>
    <row r="459" spans="1:17">
      <c r="A459">
        <v>458</v>
      </c>
      <c r="B459">
        <v>1186</v>
      </c>
      <c r="C459">
        <v>101</v>
      </c>
      <c r="D459">
        <v>1</v>
      </c>
      <c r="E459">
        <v>45.81</v>
      </c>
      <c r="F459">
        <v>8.2200000000000006</v>
      </c>
      <c r="G459">
        <f t="shared" si="21"/>
        <v>37.590000000000003</v>
      </c>
      <c r="H459" t="str">
        <f>_xlfn.XLOOKUP(B459,customer_orders!A:A,customer_orders!F:F)</f>
        <v>2026-04</v>
      </c>
      <c r="I459" t="str">
        <f>_xlfn.XLOOKUP(C459,products!A:A,products!B:B)</f>
        <v>SKU-0101</v>
      </c>
      <c r="J459" t="str">
        <f>_xlfn.XLOOKUP(B459,customer_orders!A:A,customer_orders!G:G)</f>
        <v>2026-w15</v>
      </c>
      <c r="K459">
        <f>IFERROR(_xlfn.XLOOKUP(B459,shipments!B:B,shipments!H:H),0)</f>
        <v>83.09</v>
      </c>
      <c r="L459">
        <f t="shared" si="22"/>
        <v>2.21</v>
      </c>
      <c r="M459" t="str">
        <f>_xlfn.XLOOKUP(B459,customer_orders!A:A,customer_orders!D:D)</f>
        <v>Shopify</v>
      </c>
      <c r="N459" t="str">
        <f>_xlfn.XLOOKUP(C459,inventory!B:B,inventory!C:C)</f>
        <v>South Jordan</v>
      </c>
      <c r="O459">
        <f>IF(_xlfn.XLOOKUP(C459,products!A:A,products!E:E)="NULL",0,_xlfn.XLOOKUP(C459,products!A:A,products!E:E))</f>
        <v>173.83</v>
      </c>
      <c r="P459">
        <f t="shared" si="23"/>
        <v>-136.24</v>
      </c>
      <c r="Q459" s="2" t="str">
        <f>_xlfn.XLOOKUP(I459,products!B:B,products!D:D)</f>
        <v>Home</v>
      </c>
    </row>
    <row r="460" spans="1:17">
      <c r="A460">
        <v>459</v>
      </c>
      <c r="B460">
        <v>1186</v>
      </c>
      <c r="C460">
        <v>123</v>
      </c>
      <c r="D460">
        <v>7</v>
      </c>
      <c r="E460">
        <v>210.64</v>
      </c>
      <c r="F460">
        <v>0</v>
      </c>
      <c r="G460">
        <f t="shared" si="21"/>
        <v>1474.48</v>
      </c>
      <c r="H460" t="str">
        <f>_xlfn.XLOOKUP(B460,customer_orders!A:A,customer_orders!F:F)</f>
        <v>2026-04</v>
      </c>
      <c r="I460" t="str">
        <f>_xlfn.XLOOKUP(C460,products!A:A,products!B:B)</f>
        <v>SKU-0123</v>
      </c>
      <c r="J460" t="str">
        <f>_xlfn.XLOOKUP(B460,customer_orders!A:A,customer_orders!G:G)</f>
        <v>2026-w15</v>
      </c>
      <c r="K460">
        <f>IFERROR(_xlfn.XLOOKUP(B460,shipments!B:B,shipments!H:H),0)</f>
        <v>83.09</v>
      </c>
      <c r="L460">
        <f t="shared" si="22"/>
        <v>0.06</v>
      </c>
      <c r="M460" t="str">
        <f>_xlfn.XLOOKUP(B460,customer_orders!A:A,customer_orders!D:D)</f>
        <v>Shopify</v>
      </c>
      <c r="N460" t="str">
        <f>_xlfn.XLOOKUP(C460,inventory!B:B,inventory!C:C)</f>
        <v>Lehi</v>
      </c>
      <c r="O460">
        <f>IF(_xlfn.XLOOKUP(C460,products!A:A,products!E:E)="NULL",0,_xlfn.XLOOKUP(C460,products!A:A,products!E:E))</f>
        <v>105.98</v>
      </c>
      <c r="P460">
        <f t="shared" si="23"/>
        <v>1368.5</v>
      </c>
      <c r="Q460" s="2" t="str">
        <f>_xlfn.XLOOKUP(I460,products!B:B,products!D:D)</f>
        <v>Pet</v>
      </c>
    </row>
    <row r="461" spans="1:17">
      <c r="A461">
        <v>460</v>
      </c>
      <c r="B461">
        <v>1186</v>
      </c>
      <c r="C461">
        <v>139</v>
      </c>
      <c r="D461">
        <v>4</v>
      </c>
      <c r="E461">
        <v>156.21</v>
      </c>
      <c r="F461">
        <v>1.05</v>
      </c>
      <c r="G461">
        <f t="shared" si="21"/>
        <v>623.79000000000008</v>
      </c>
      <c r="H461" t="str">
        <f>_xlfn.XLOOKUP(B461,customer_orders!A:A,customer_orders!F:F)</f>
        <v>2026-04</v>
      </c>
      <c r="I461" t="str">
        <f>_xlfn.XLOOKUP(C461,products!A:A,products!B:B)</f>
        <v>SKU-0139</v>
      </c>
      <c r="J461" t="str">
        <f>_xlfn.XLOOKUP(B461,customer_orders!A:A,customer_orders!G:G)</f>
        <v>2026-w15</v>
      </c>
      <c r="K461">
        <f>IFERROR(_xlfn.XLOOKUP(B461,shipments!B:B,shipments!H:H),0)</f>
        <v>83.09</v>
      </c>
      <c r="L461">
        <f t="shared" si="22"/>
        <v>0.13</v>
      </c>
      <c r="M461" t="str">
        <f>_xlfn.XLOOKUP(B461,customer_orders!A:A,customer_orders!D:D)</f>
        <v>Shopify</v>
      </c>
      <c r="N461" t="str">
        <f>_xlfn.XLOOKUP(C461,inventory!B:B,inventory!C:C)</f>
        <v>South Jordan</v>
      </c>
      <c r="O461">
        <f>IF(_xlfn.XLOOKUP(C461,products!A:A,products!E:E)="NULL",0,_xlfn.XLOOKUP(C461,products!A:A,products!E:E))</f>
        <v>77.040000000000006</v>
      </c>
      <c r="P461">
        <f t="shared" si="23"/>
        <v>546.75000000000011</v>
      </c>
      <c r="Q461" s="2" t="str">
        <f>_xlfn.XLOOKUP(I461,products!B:B,products!D:D)</f>
        <v>Toys</v>
      </c>
    </row>
    <row r="462" spans="1:17">
      <c r="A462">
        <v>461</v>
      </c>
      <c r="B462">
        <v>1187</v>
      </c>
      <c r="C462">
        <v>46</v>
      </c>
      <c r="D462">
        <v>1</v>
      </c>
      <c r="E462">
        <v>219.11</v>
      </c>
      <c r="F462">
        <v>0</v>
      </c>
      <c r="G462">
        <f t="shared" si="21"/>
        <v>219.11</v>
      </c>
      <c r="H462" t="str">
        <f>_xlfn.XLOOKUP(B462,customer_orders!A:A,customer_orders!F:F)</f>
        <v>2026-03</v>
      </c>
      <c r="I462" t="str">
        <f>_xlfn.XLOOKUP(C462,products!A:A,products!B:B)</f>
        <v>SKU-0046</v>
      </c>
      <c r="J462" t="str">
        <f>_xlfn.XLOOKUP(B462,customer_orders!A:A,customer_orders!G:G)</f>
        <v>2026-w14</v>
      </c>
      <c r="K462">
        <f>IFERROR(_xlfn.XLOOKUP(B462,shipments!B:B,shipments!H:H),0)</f>
        <v>89.3</v>
      </c>
      <c r="L462">
        <f t="shared" si="22"/>
        <v>0.41</v>
      </c>
      <c r="M462" t="str">
        <f>_xlfn.XLOOKUP(B462,customer_orders!A:A,customer_orders!D:D)</f>
        <v>Walmart</v>
      </c>
      <c r="N462" t="str">
        <f>_xlfn.XLOOKUP(C462,inventory!B:B,inventory!C:C)</f>
        <v>Unknown</v>
      </c>
      <c r="O462">
        <f>IF(_xlfn.XLOOKUP(C462,products!A:A,products!E:E)="NULL",0,_xlfn.XLOOKUP(C462,products!A:A,products!E:E))</f>
        <v>40.75</v>
      </c>
      <c r="P462">
        <f t="shared" si="23"/>
        <v>178.36</v>
      </c>
      <c r="Q462" s="2" t="str">
        <f>_xlfn.XLOOKUP(I462,products!B:B,products!D:D)</f>
        <v>Kitchen</v>
      </c>
    </row>
    <row r="463" spans="1:17">
      <c r="A463">
        <v>462</v>
      </c>
      <c r="B463">
        <v>1187</v>
      </c>
      <c r="C463">
        <v>77</v>
      </c>
      <c r="D463">
        <v>7</v>
      </c>
      <c r="E463">
        <v>195.39</v>
      </c>
      <c r="F463">
        <v>0</v>
      </c>
      <c r="G463">
        <f t="shared" si="21"/>
        <v>1367.73</v>
      </c>
      <c r="H463" t="str">
        <f>_xlfn.XLOOKUP(B463,customer_orders!A:A,customer_orders!F:F)</f>
        <v>2026-03</v>
      </c>
      <c r="I463" t="str">
        <f>_xlfn.XLOOKUP(C463,products!A:A,products!B:B)</f>
        <v>SKU-0077</v>
      </c>
      <c r="J463" t="str">
        <f>_xlfn.XLOOKUP(B463,customer_orders!A:A,customer_orders!G:G)</f>
        <v>2026-w14</v>
      </c>
      <c r="K463">
        <f>IFERROR(_xlfn.XLOOKUP(B463,shipments!B:B,shipments!H:H),0)</f>
        <v>89.3</v>
      </c>
      <c r="L463">
        <f t="shared" si="22"/>
        <v>7.0000000000000007E-2</v>
      </c>
      <c r="M463" t="str">
        <f>_xlfn.XLOOKUP(B463,customer_orders!A:A,customer_orders!D:D)</f>
        <v>Walmart</v>
      </c>
      <c r="N463" t="str">
        <f>_xlfn.XLOOKUP(C463,inventory!B:B,inventory!C:C)</f>
        <v>Draper</v>
      </c>
      <c r="O463">
        <f>IF(_xlfn.XLOOKUP(C463,products!A:A,products!E:E)="NULL",0,_xlfn.XLOOKUP(C463,products!A:A,products!E:E))</f>
        <v>95.2</v>
      </c>
      <c r="P463">
        <f t="shared" si="23"/>
        <v>1272.53</v>
      </c>
      <c r="Q463" s="2" t="str">
        <f>_xlfn.XLOOKUP(I463,products!B:B,products!D:D)</f>
        <v>Home</v>
      </c>
    </row>
    <row r="464" spans="1:17">
      <c r="A464">
        <v>463</v>
      </c>
      <c r="B464">
        <v>1188</v>
      </c>
      <c r="C464">
        <v>128</v>
      </c>
      <c r="D464">
        <v>8</v>
      </c>
      <c r="E464">
        <v>143.38999999999999</v>
      </c>
      <c r="F464">
        <v>0</v>
      </c>
      <c r="G464">
        <f t="shared" si="21"/>
        <v>1147.1199999999999</v>
      </c>
      <c r="H464" t="str">
        <f>_xlfn.XLOOKUP(B464,customer_orders!A:A,customer_orders!F:F)</f>
        <v>2026-03</v>
      </c>
      <c r="I464" t="str">
        <f>_xlfn.XLOOKUP(C464,products!A:A,products!B:B)</f>
        <v>SKU-0128</v>
      </c>
      <c r="J464" t="str">
        <f>_xlfn.XLOOKUP(B464,customer_orders!A:A,customer_orders!G:G)</f>
        <v>2026-w10</v>
      </c>
      <c r="K464">
        <f>IFERROR(_xlfn.XLOOKUP(B464,shipments!B:B,shipments!H:H),0)</f>
        <v>89.96</v>
      </c>
      <c r="L464">
        <f t="shared" si="22"/>
        <v>0.08</v>
      </c>
      <c r="M464" t="str">
        <f>_xlfn.XLOOKUP(B464,customer_orders!A:A,customer_orders!D:D)</f>
        <v>Walmart</v>
      </c>
      <c r="N464" t="str">
        <f>_xlfn.XLOOKUP(C464,inventory!B:B,inventory!C:C)</f>
        <v>West Valley</v>
      </c>
      <c r="O464">
        <f>IF(_xlfn.XLOOKUP(C464,products!A:A,products!E:E)="NULL",0,_xlfn.XLOOKUP(C464,products!A:A,products!E:E))</f>
        <v>5.47</v>
      </c>
      <c r="P464">
        <f t="shared" si="23"/>
        <v>1141.6499999999999</v>
      </c>
      <c r="Q464" s="2" t="str">
        <f>_xlfn.XLOOKUP(I464,products!B:B,products!D:D)</f>
        <v>Home</v>
      </c>
    </row>
    <row r="465" spans="1:17">
      <c r="A465">
        <v>464</v>
      </c>
      <c r="B465">
        <v>1188</v>
      </c>
      <c r="C465">
        <v>10</v>
      </c>
      <c r="D465">
        <v>6</v>
      </c>
      <c r="E465">
        <v>144.22</v>
      </c>
      <c r="F465">
        <v>0</v>
      </c>
      <c r="G465">
        <f t="shared" si="21"/>
        <v>865.31999999999994</v>
      </c>
      <c r="H465" t="str">
        <f>_xlfn.XLOOKUP(B465,customer_orders!A:A,customer_orders!F:F)</f>
        <v>2026-03</v>
      </c>
      <c r="I465" t="str">
        <f>_xlfn.XLOOKUP(C465,products!A:A,products!B:B)</f>
        <v>SKU-0010</v>
      </c>
      <c r="J465" t="str">
        <f>_xlfn.XLOOKUP(B465,customer_orders!A:A,customer_orders!G:G)</f>
        <v>2026-w10</v>
      </c>
      <c r="K465">
        <f>IFERROR(_xlfn.XLOOKUP(B465,shipments!B:B,shipments!H:H),0)</f>
        <v>89.96</v>
      </c>
      <c r="L465">
        <f t="shared" si="22"/>
        <v>0.1</v>
      </c>
      <c r="M465" t="str">
        <f>_xlfn.XLOOKUP(B465,customer_orders!A:A,customer_orders!D:D)</f>
        <v>Walmart</v>
      </c>
      <c r="N465" t="str">
        <f>_xlfn.XLOOKUP(C465,inventory!B:B,inventory!C:C)</f>
        <v>Draper</v>
      </c>
      <c r="O465">
        <f>IF(_xlfn.XLOOKUP(C465,products!A:A,products!E:E)="NULL",0,_xlfn.XLOOKUP(C465,products!A:A,products!E:E))</f>
        <v>71.52</v>
      </c>
      <c r="P465">
        <f t="shared" si="23"/>
        <v>793.8</v>
      </c>
      <c r="Q465" s="2" t="str">
        <f>_xlfn.XLOOKUP(I465,products!B:B,products!D:D)</f>
        <v>Beauty</v>
      </c>
    </row>
    <row r="466" spans="1:17">
      <c r="A466">
        <v>465</v>
      </c>
      <c r="B466">
        <v>1188</v>
      </c>
      <c r="C466">
        <v>104</v>
      </c>
      <c r="D466">
        <v>2</v>
      </c>
      <c r="E466">
        <v>199.55</v>
      </c>
      <c r="F466">
        <v>3.96</v>
      </c>
      <c r="G466">
        <f t="shared" si="21"/>
        <v>395.14000000000004</v>
      </c>
      <c r="H466" t="str">
        <f>_xlfn.XLOOKUP(B466,customer_orders!A:A,customer_orders!F:F)</f>
        <v>2026-03</v>
      </c>
      <c r="I466" t="str">
        <f>_xlfn.XLOOKUP(C466,products!A:A,products!B:B)</f>
        <v>SKU-0104</v>
      </c>
      <c r="J466" t="str">
        <f>_xlfn.XLOOKUP(B466,customer_orders!A:A,customer_orders!G:G)</f>
        <v>2026-w10</v>
      </c>
      <c r="K466">
        <f>IFERROR(_xlfn.XLOOKUP(B466,shipments!B:B,shipments!H:H),0)</f>
        <v>89.96</v>
      </c>
      <c r="L466">
        <f t="shared" si="22"/>
        <v>0.23</v>
      </c>
      <c r="M466" t="str">
        <f>_xlfn.XLOOKUP(B466,customer_orders!A:A,customer_orders!D:D)</f>
        <v>Walmart</v>
      </c>
      <c r="N466" t="str">
        <f>_xlfn.XLOOKUP(C466,inventory!B:B,inventory!C:C)</f>
        <v>West Valley</v>
      </c>
      <c r="O466">
        <f>IF(_xlfn.XLOOKUP(C466,products!A:A,products!E:E)="NULL",0,_xlfn.XLOOKUP(C466,products!A:A,products!E:E))</f>
        <v>17.07</v>
      </c>
      <c r="P466">
        <f t="shared" si="23"/>
        <v>378.07000000000005</v>
      </c>
      <c r="Q466" s="2" t="str">
        <f>_xlfn.XLOOKUP(I466,products!B:B,products!D:D)</f>
        <v>Office</v>
      </c>
    </row>
    <row r="467" spans="1:17">
      <c r="A467">
        <v>466</v>
      </c>
      <c r="B467">
        <v>1189</v>
      </c>
      <c r="C467">
        <v>63</v>
      </c>
      <c r="D467">
        <v>3</v>
      </c>
      <c r="E467">
        <v>214.86</v>
      </c>
      <c r="F467">
        <v>0</v>
      </c>
      <c r="G467">
        <f t="shared" si="21"/>
        <v>644.58000000000004</v>
      </c>
      <c r="H467" t="str">
        <f>_xlfn.XLOOKUP(B467,customer_orders!A:A,customer_orders!F:F)</f>
        <v>2026-05</v>
      </c>
      <c r="I467" t="str">
        <f>_xlfn.XLOOKUP(C467,products!A:A,products!B:B)</f>
        <v>SKU-0063</v>
      </c>
      <c r="J467" t="str">
        <f>_xlfn.XLOOKUP(B467,customer_orders!A:A,customer_orders!G:G)</f>
        <v>2026-w19</v>
      </c>
      <c r="K467">
        <f>IFERROR(_xlfn.XLOOKUP(B467,shipments!B:B,shipments!H:H),0)</f>
        <v>74.900000000000006</v>
      </c>
      <c r="L467">
        <f t="shared" si="22"/>
        <v>0.12</v>
      </c>
      <c r="M467" t="str">
        <f>_xlfn.XLOOKUP(B467,customer_orders!A:A,customer_orders!D:D)</f>
        <v>Amazon</v>
      </c>
      <c r="N467" t="str">
        <f>_xlfn.XLOOKUP(C467,inventory!B:B,inventory!C:C)</f>
        <v>Salt Lake City</v>
      </c>
      <c r="O467">
        <f>IF(_xlfn.XLOOKUP(C467,products!A:A,products!E:E)="NULL",0,_xlfn.XLOOKUP(C467,products!A:A,products!E:E))</f>
        <v>32.86</v>
      </c>
      <c r="P467">
        <f t="shared" si="23"/>
        <v>611.72</v>
      </c>
      <c r="Q467" s="2" t="str">
        <f>_xlfn.XLOOKUP(I467,products!B:B,products!D:D)</f>
        <v>Beauty</v>
      </c>
    </row>
    <row r="468" spans="1:17">
      <c r="A468">
        <v>467</v>
      </c>
      <c r="B468">
        <v>1190</v>
      </c>
      <c r="C468">
        <v>52</v>
      </c>
      <c r="D468">
        <v>7</v>
      </c>
      <c r="E468">
        <v>59.3</v>
      </c>
      <c r="F468">
        <v>5.72</v>
      </c>
      <c r="G468">
        <f t="shared" si="21"/>
        <v>409.37999999999994</v>
      </c>
      <c r="H468" t="str">
        <f>_xlfn.XLOOKUP(B468,customer_orders!A:A,customer_orders!F:F)</f>
        <v>2026-05</v>
      </c>
      <c r="I468" t="str">
        <f>_xlfn.XLOOKUP(C468,products!A:A,products!B:B)</f>
        <v>SKU-0052</v>
      </c>
      <c r="J468" t="str">
        <f>_xlfn.XLOOKUP(B468,customer_orders!A:A,customer_orders!G:G)</f>
        <v>2026-w19</v>
      </c>
      <c r="K468">
        <f>IFERROR(_xlfn.XLOOKUP(B468,shipments!B:B,shipments!H:H),0)</f>
        <v>67.319999999999993</v>
      </c>
      <c r="L468">
        <f t="shared" si="22"/>
        <v>0.16</v>
      </c>
      <c r="M468" t="str">
        <f>_xlfn.XLOOKUP(B468,customer_orders!A:A,customer_orders!D:D)</f>
        <v>Amazon</v>
      </c>
      <c r="N468" t="str">
        <f>_xlfn.XLOOKUP(C468,inventory!B:B,inventory!C:C)</f>
        <v>Lehi</v>
      </c>
      <c r="O468">
        <f>IF(_xlfn.XLOOKUP(C468,products!A:A,products!E:E)="NULL",0,_xlfn.XLOOKUP(C468,products!A:A,products!E:E))</f>
        <v>134.91999999999999</v>
      </c>
      <c r="P468">
        <f t="shared" si="23"/>
        <v>274.45999999999992</v>
      </c>
      <c r="Q468" s="2" t="str">
        <f>_xlfn.XLOOKUP(I468,products!B:B,products!D:D)</f>
        <v>Home</v>
      </c>
    </row>
    <row r="469" spans="1:17">
      <c r="A469">
        <v>468</v>
      </c>
      <c r="B469">
        <v>1191</v>
      </c>
      <c r="C469">
        <v>37</v>
      </c>
      <c r="D469">
        <v>7</v>
      </c>
      <c r="E469">
        <v>258.95</v>
      </c>
      <c r="F469">
        <v>0</v>
      </c>
      <c r="G469">
        <f t="shared" si="21"/>
        <v>1812.6499999999999</v>
      </c>
      <c r="H469" t="str">
        <f>_xlfn.XLOOKUP(B469,customer_orders!A:A,customer_orders!F:F)</f>
        <v>2026-02</v>
      </c>
      <c r="I469" t="str">
        <f>_xlfn.XLOOKUP(C469,products!A:A,products!B:B)</f>
        <v>SKU0037</v>
      </c>
      <c r="J469" t="str">
        <f>_xlfn.XLOOKUP(B469,customer_orders!A:A,customer_orders!G:G)</f>
        <v>2026-w07</v>
      </c>
      <c r="K469">
        <f>IFERROR(_xlfn.XLOOKUP(B469,shipments!B:B,shipments!H:H),0)</f>
        <v>0</v>
      </c>
      <c r="L469">
        <f t="shared" si="22"/>
        <v>0</v>
      </c>
      <c r="M469" t="str">
        <f>_xlfn.XLOOKUP(B469,customer_orders!A:A,customer_orders!D:D)</f>
        <v>Amazon</v>
      </c>
      <c r="N469" t="str">
        <f>_xlfn.XLOOKUP(C469,inventory!B:B,inventory!C:C)</f>
        <v>Unknown</v>
      </c>
      <c r="O469">
        <f>IF(_xlfn.XLOOKUP(C469,products!A:A,products!E:E)="NULL",0,_xlfn.XLOOKUP(C469,products!A:A,products!E:E))</f>
        <v>146.4</v>
      </c>
      <c r="P469">
        <f t="shared" si="23"/>
        <v>1666.2499999999998</v>
      </c>
      <c r="Q469" s="2" t="str">
        <f>_xlfn.XLOOKUP(I469,products!B:B,products!D:D)</f>
        <v>Home</v>
      </c>
    </row>
    <row r="470" spans="1:17">
      <c r="A470">
        <v>469</v>
      </c>
      <c r="B470">
        <v>1191</v>
      </c>
      <c r="C470">
        <v>142</v>
      </c>
      <c r="D470">
        <v>3</v>
      </c>
      <c r="E470">
        <v>192.45</v>
      </c>
      <c r="F470">
        <v>0</v>
      </c>
      <c r="G470">
        <f t="shared" si="21"/>
        <v>577.34999999999991</v>
      </c>
      <c r="H470" t="str">
        <f>_xlfn.XLOOKUP(B470,customer_orders!A:A,customer_orders!F:F)</f>
        <v>2026-02</v>
      </c>
      <c r="I470" t="str">
        <f>_xlfn.XLOOKUP(C470,products!A:A,products!B:B)</f>
        <v>SKU-0142</v>
      </c>
      <c r="J470" t="str">
        <f>_xlfn.XLOOKUP(B470,customer_orders!A:A,customer_orders!G:G)</f>
        <v>2026-w07</v>
      </c>
      <c r="K470">
        <f>IFERROR(_xlfn.XLOOKUP(B470,shipments!B:B,shipments!H:H),0)</f>
        <v>0</v>
      </c>
      <c r="L470">
        <f t="shared" si="22"/>
        <v>0</v>
      </c>
      <c r="M470" t="str">
        <f>_xlfn.XLOOKUP(B470,customer_orders!A:A,customer_orders!D:D)</f>
        <v>Amazon</v>
      </c>
      <c r="N470" t="str">
        <f>_xlfn.XLOOKUP(C470,inventory!B:B,inventory!C:C)</f>
        <v>Lehi</v>
      </c>
      <c r="O470">
        <f>IF(_xlfn.XLOOKUP(C470,products!A:A,products!E:E)="NULL",0,_xlfn.XLOOKUP(C470,products!A:A,products!E:E))</f>
        <v>95.73</v>
      </c>
      <c r="P470">
        <f t="shared" si="23"/>
        <v>481.61999999999989</v>
      </c>
      <c r="Q470" s="2" t="str">
        <f>_xlfn.XLOOKUP(I470,products!B:B,products!D:D)</f>
        <v>Electronics</v>
      </c>
    </row>
    <row r="471" spans="1:17">
      <c r="A471">
        <v>470</v>
      </c>
      <c r="B471">
        <v>1191</v>
      </c>
      <c r="C471">
        <v>35</v>
      </c>
      <c r="D471">
        <v>2</v>
      </c>
      <c r="E471">
        <v>46.14</v>
      </c>
      <c r="F471">
        <v>12.07</v>
      </c>
      <c r="G471">
        <f t="shared" si="21"/>
        <v>80.210000000000008</v>
      </c>
      <c r="H471" t="str">
        <f>_xlfn.XLOOKUP(B471,customer_orders!A:A,customer_orders!F:F)</f>
        <v>2026-02</v>
      </c>
      <c r="I471" t="str">
        <f>_xlfn.XLOOKUP(C471,products!A:A,products!B:B)</f>
        <v>SKU-0035</v>
      </c>
      <c r="J471" t="str">
        <f>_xlfn.XLOOKUP(B471,customer_orders!A:A,customer_orders!G:G)</f>
        <v>2026-w07</v>
      </c>
      <c r="K471">
        <f>IFERROR(_xlfn.XLOOKUP(B471,shipments!B:B,shipments!H:H),0)</f>
        <v>0</v>
      </c>
      <c r="L471">
        <f t="shared" si="22"/>
        <v>0</v>
      </c>
      <c r="M471" t="str">
        <f>_xlfn.XLOOKUP(B471,customer_orders!A:A,customer_orders!D:D)</f>
        <v>Amazon</v>
      </c>
      <c r="N471" t="str">
        <f>_xlfn.XLOOKUP(C471,inventory!B:B,inventory!C:C)</f>
        <v>Salt Lake City</v>
      </c>
      <c r="O471">
        <f>IF(_xlfn.XLOOKUP(C471,products!A:A,products!E:E)="NULL",0,_xlfn.XLOOKUP(C471,products!A:A,products!E:E))</f>
        <v>145.1</v>
      </c>
      <c r="P471">
        <f t="shared" si="23"/>
        <v>-64.889999999999986</v>
      </c>
      <c r="Q471" s="2" t="str">
        <f>_xlfn.XLOOKUP(I471,products!B:B,products!D:D)</f>
        <v>Office</v>
      </c>
    </row>
    <row r="472" spans="1:17">
      <c r="A472">
        <v>471</v>
      </c>
      <c r="B472">
        <v>1192</v>
      </c>
      <c r="C472">
        <v>46</v>
      </c>
      <c r="D472">
        <v>2</v>
      </c>
      <c r="E472">
        <v>219.11</v>
      </c>
      <c r="F472">
        <v>0</v>
      </c>
      <c r="G472">
        <f t="shared" si="21"/>
        <v>438.22</v>
      </c>
      <c r="H472" t="str">
        <f>_xlfn.XLOOKUP(B472,customer_orders!A:A,customer_orders!F:F)</f>
        <v>2026-01</v>
      </c>
      <c r="I472" t="str">
        <f>_xlfn.XLOOKUP(C472,products!A:A,products!B:B)</f>
        <v>SKU-0046</v>
      </c>
      <c r="J472" t="str">
        <f>_xlfn.XLOOKUP(B472,customer_orders!A:A,customer_orders!G:G)</f>
        <v>2026-w02</v>
      </c>
      <c r="K472">
        <f>IFERROR(_xlfn.XLOOKUP(B472,shipments!B:B,shipments!H:H),0)</f>
        <v>84.31</v>
      </c>
      <c r="L472">
        <f t="shared" si="22"/>
        <v>0.19</v>
      </c>
      <c r="M472" t="str">
        <f>_xlfn.XLOOKUP(B472,customer_orders!A:A,customer_orders!D:D)</f>
        <v>Amazon</v>
      </c>
      <c r="N472" t="str">
        <f>_xlfn.XLOOKUP(C472,inventory!B:B,inventory!C:C)</f>
        <v>Unknown</v>
      </c>
      <c r="O472">
        <f>IF(_xlfn.XLOOKUP(C472,products!A:A,products!E:E)="NULL",0,_xlfn.XLOOKUP(C472,products!A:A,products!E:E))</f>
        <v>40.75</v>
      </c>
      <c r="P472">
        <f t="shared" si="23"/>
        <v>397.47</v>
      </c>
      <c r="Q472" s="2" t="str">
        <f>_xlfn.XLOOKUP(I472,products!B:B,products!D:D)</f>
        <v>Kitchen</v>
      </c>
    </row>
    <row r="473" spans="1:17">
      <c r="A473">
        <v>472</v>
      </c>
      <c r="B473">
        <v>1193</v>
      </c>
      <c r="C473">
        <v>47</v>
      </c>
      <c r="D473">
        <v>8</v>
      </c>
      <c r="E473">
        <v>100.5</v>
      </c>
      <c r="F473">
        <v>0</v>
      </c>
      <c r="G473">
        <f t="shared" si="21"/>
        <v>804</v>
      </c>
      <c r="H473" t="str">
        <f>_xlfn.XLOOKUP(B473,customer_orders!A:A,customer_orders!F:F)</f>
        <v>2026-04</v>
      </c>
      <c r="I473" t="str">
        <f>_xlfn.XLOOKUP(C473,products!A:A,products!B:B)</f>
        <v>SKU-0047</v>
      </c>
      <c r="J473" t="str">
        <f>_xlfn.XLOOKUP(B473,customer_orders!A:A,customer_orders!G:G)</f>
        <v>2026-w18</v>
      </c>
      <c r="K473">
        <f>IFERROR(_xlfn.XLOOKUP(B473,shipments!B:B,shipments!H:H),0)</f>
        <v>52.58</v>
      </c>
      <c r="L473">
        <f t="shared" si="22"/>
        <v>7.0000000000000007E-2</v>
      </c>
      <c r="M473" t="str">
        <f>_xlfn.XLOOKUP(B473,customer_orders!A:A,customer_orders!D:D)</f>
        <v>Shopify</v>
      </c>
      <c r="N473" t="str">
        <f>_xlfn.XLOOKUP(C473,inventory!B:B,inventory!C:C)</f>
        <v>Salt Lake City</v>
      </c>
      <c r="O473">
        <f>IF(_xlfn.XLOOKUP(C473,products!A:A,products!E:E)="NULL",0,_xlfn.XLOOKUP(C473,products!A:A,products!E:E))</f>
        <v>122.55</v>
      </c>
      <c r="P473">
        <f t="shared" si="23"/>
        <v>681.45</v>
      </c>
      <c r="Q473" s="2" t="str">
        <f>_xlfn.XLOOKUP(I473,products!B:B,products!D:D)</f>
        <v>Office</v>
      </c>
    </row>
    <row r="474" spans="1:17">
      <c r="A474">
        <v>473</v>
      </c>
      <c r="B474">
        <v>1194</v>
      </c>
      <c r="C474">
        <v>119</v>
      </c>
      <c r="D474">
        <v>4</v>
      </c>
      <c r="E474">
        <v>27.97</v>
      </c>
      <c r="F474">
        <v>0</v>
      </c>
      <c r="G474">
        <f t="shared" si="21"/>
        <v>111.88</v>
      </c>
      <c r="H474" t="str">
        <f>_xlfn.XLOOKUP(B474,customer_orders!A:A,customer_orders!F:F)</f>
        <v>2026-01</v>
      </c>
      <c r="I474" t="str">
        <f>_xlfn.XLOOKUP(C474,products!A:A,products!B:B)</f>
        <v>SKU-0119</v>
      </c>
      <c r="J474" t="str">
        <f>_xlfn.XLOOKUP(B474,customer_orders!A:A,customer_orders!G:G)</f>
        <v>2026-w05</v>
      </c>
      <c r="K474">
        <f>IFERROR(_xlfn.XLOOKUP(B474,shipments!B:B,shipments!H:H),0)</f>
        <v>81.739999999999995</v>
      </c>
      <c r="L474">
        <f t="shared" si="22"/>
        <v>0.73</v>
      </c>
      <c r="M474" t="str">
        <f>_xlfn.XLOOKUP(B474,customer_orders!A:A,customer_orders!D:D)</f>
        <v>Ebay</v>
      </c>
      <c r="N474" t="str">
        <f>_xlfn.XLOOKUP(C474,inventory!B:B,inventory!C:C)</f>
        <v>Lehi</v>
      </c>
      <c r="O474">
        <f>IF(_xlfn.XLOOKUP(C474,products!A:A,products!E:E)="NULL",0,_xlfn.XLOOKUP(C474,products!A:A,products!E:E))</f>
        <v>27.15</v>
      </c>
      <c r="P474">
        <f t="shared" si="23"/>
        <v>84.72999999999999</v>
      </c>
      <c r="Q474" s="2" t="str">
        <f>_xlfn.XLOOKUP(I474,products!B:B,products!D:D)</f>
        <v>Electronics</v>
      </c>
    </row>
    <row r="475" spans="1:17">
      <c r="A475">
        <v>474</v>
      </c>
      <c r="B475">
        <v>1194</v>
      </c>
      <c r="C475">
        <v>29</v>
      </c>
      <c r="D475">
        <v>3</v>
      </c>
      <c r="E475">
        <v>33.25</v>
      </c>
      <c r="F475">
        <v>10.59</v>
      </c>
      <c r="G475">
        <f t="shared" si="21"/>
        <v>89.16</v>
      </c>
      <c r="H475" t="str">
        <f>_xlfn.XLOOKUP(B475,customer_orders!A:A,customer_orders!F:F)</f>
        <v>2026-01</v>
      </c>
      <c r="I475" t="str">
        <f>_xlfn.XLOOKUP(C475,products!A:A,products!B:B)</f>
        <v>SKU-0029</v>
      </c>
      <c r="J475" t="str">
        <f>_xlfn.XLOOKUP(B475,customer_orders!A:A,customer_orders!G:G)</f>
        <v>2026-w05</v>
      </c>
      <c r="K475">
        <f>IFERROR(_xlfn.XLOOKUP(B475,shipments!B:B,shipments!H:H),0)</f>
        <v>81.739999999999995</v>
      </c>
      <c r="L475">
        <f t="shared" si="22"/>
        <v>0.92</v>
      </c>
      <c r="M475" t="str">
        <f>_xlfn.XLOOKUP(B475,customer_orders!A:A,customer_orders!D:D)</f>
        <v>Ebay</v>
      </c>
      <c r="N475" t="str">
        <f>_xlfn.XLOOKUP(C475,inventory!B:B,inventory!C:C)</f>
        <v>Salt Lake City</v>
      </c>
      <c r="O475">
        <f>IF(_xlfn.XLOOKUP(C475,products!A:A,products!E:E)="NULL",0,_xlfn.XLOOKUP(C475,products!A:A,products!E:E))</f>
        <v>48.38</v>
      </c>
      <c r="P475">
        <f t="shared" si="23"/>
        <v>40.779999999999994</v>
      </c>
      <c r="Q475" s="2" t="str">
        <f>_xlfn.XLOOKUP(I475,products!B:B,products!D:D)</f>
        <v>Pet</v>
      </c>
    </row>
    <row r="476" spans="1:17">
      <c r="A476">
        <v>475</v>
      </c>
      <c r="B476">
        <v>1195</v>
      </c>
      <c r="C476">
        <v>12</v>
      </c>
      <c r="D476">
        <v>2</v>
      </c>
      <c r="E476">
        <v>61.57</v>
      </c>
      <c r="F476">
        <v>0</v>
      </c>
      <c r="G476">
        <f t="shared" si="21"/>
        <v>123.14</v>
      </c>
      <c r="H476" t="str">
        <f>_xlfn.XLOOKUP(B476,customer_orders!A:A,customer_orders!F:F)</f>
        <v>2026-02</v>
      </c>
      <c r="I476" t="str">
        <f>_xlfn.XLOOKUP(C476,products!A:A,products!B:B)</f>
        <v>SKU-0012</v>
      </c>
      <c r="J476" t="str">
        <f>_xlfn.XLOOKUP(B476,customer_orders!A:A,customer_orders!G:G)</f>
        <v>2026-w09</v>
      </c>
      <c r="K476">
        <f>IFERROR(_xlfn.XLOOKUP(B476,shipments!B:B,shipments!H:H),0)</f>
        <v>30.42</v>
      </c>
      <c r="L476">
        <f t="shared" si="22"/>
        <v>0.25</v>
      </c>
      <c r="M476" t="str">
        <f>_xlfn.XLOOKUP(B476,customer_orders!A:A,customer_orders!D:D)</f>
        <v>Ebay</v>
      </c>
      <c r="N476" t="str">
        <f>_xlfn.XLOOKUP(C476,inventory!B:B,inventory!C:C)</f>
        <v>Unknown</v>
      </c>
      <c r="O476">
        <f>IF(_xlfn.XLOOKUP(C476,products!A:A,products!E:E)="NULL",0,_xlfn.XLOOKUP(C476,products!A:A,products!E:E))</f>
        <v>132.6</v>
      </c>
      <c r="P476">
        <f t="shared" si="23"/>
        <v>-9.4599999999999937</v>
      </c>
      <c r="Q476" s="2" t="str">
        <f>_xlfn.XLOOKUP(I476,products!B:B,products!D:D)</f>
        <v>Toys</v>
      </c>
    </row>
    <row r="477" spans="1:17">
      <c r="A477">
        <v>476</v>
      </c>
      <c r="B477">
        <v>1195</v>
      </c>
      <c r="C477">
        <v>41</v>
      </c>
      <c r="D477">
        <v>1</v>
      </c>
      <c r="E477">
        <v>153.69999999999999</v>
      </c>
      <c r="F477">
        <v>0</v>
      </c>
      <c r="G477">
        <f t="shared" si="21"/>
        <v>153.69999999999999</v>
      </c>
      <c r="H477" t="str">
        <f>_xlfn.XLOOKUP(B477,customer_orders!A:A,customer_orders!F:F)</f>
        <v>2026-02</v>
      </c>
      <c r="I477" t="str">
        <f>_xlfn.XLOOKUP(C477,products!A:A,products!B:B)</f>
        <v>SKU-0041</v>
      </c>
      <c r="J477" t="str">
        <f>_xlfn.XLOOKUP(B477,customer_orders!A:A,customer_orders!G:G)</f>
        <v>2026-w09</v>
      </c>
      <c r="K477">
        <f>IFERROR(_xlfn.XLOOKUP(B477,shipments!B:B,shipments!H:H),0)</f>
        <v>30.42</v>
      </c>
      <c r="L477">
        <f t="shared" si="22"/>
        <v>0.2</v>
      </c>
      <c r="M477" t="str">
        <f>_xlfn.XLOOKUP(B477,customer_orders!A:A,customer_orders!D:D)</f>
        <v>Ebay</v>
      </c>
      <c r="N477" t="str">
        <f>_xlfn.XLOOKUP(C477,inventory!B:B,inventory!C:C)</f>
        <v>Draper</v>
      </c>
      <c r="O477">
        <f>IF(_xlfn.XLOOKUP(C477,products!A:A,products!E:E)="NULL",0,_xlfn.XLOOKUP(C477,products!A:A,products!E:E))</f>
        <v>120.83</v>
      </c>
      <c r="P477">
        <f t="shared" si="23"/>
        <v>32.86999999999999</v>
      </c>
      <c r="Q477" s="2" t="str">
        <f>_xlfn.XLOOKUP(I477,products!B:B,products!D:D)</f>
        <v>Office</v>
      </c>
    </row>
    <row r="478" spans="1:17">
      <c r="A478">
        <v>477</v>
      </c>
      <c r="B478">
        <v>1195</v>
      </c>
      <c r="C478">
        <v>19</v>
      </c>
      <c r="D478">
        <v>4</v>
      </c>
      <c r="E478">
        <v>298.89</v>
      </c>
      <c r="F478">
        <v>0</v>
      </c>
      <c r="G478">
        <f t="shared" si="21"/>
        <v>1195.56</v>
      </c>
      <c r="H478" t="str">
        <f>_xlfn.XLOOKUP(B478,customer_orders!A:A,customer_orders!F:F)</f>
        <v>2026-02</v>
      </c>
      <c r="I478" t="str">
        <f>_xlfn.XLOOKUP(C478,products!A:A,products!B:B)</f>
        <v>SKU-0019</v>
      </c>
      <c r="J478" t="str">
        <f>_xlfn.XLOOKUP(B478,customer_orders!A:A,customer_orders!G:G)</f>
        <v>2026-w09</v>
      </c>
      <c r="K478">
        <f>IFERROR(_xlfn.XLOOKUP(B478,shipments!B:B,shipments!H:H),0)</f>
        <v>30.42</v>
      </c>
      <c r="L478">
        <f t="shared" si="22"/>
        <v>0.03</v>
      </c>
      <c r="M478" t="str">
        <f>_xlfn.XLOOKUP(B478,customer_orders!A:A,customer_orders!D:D)</f>
        <v>Ebay</v>
      </c>
      <c r="N478" t="str">
        <f>_xlfn.XLOOKUP(C478,inventory!B:B,inventory!C:C)</f>
        <v>South Jordan</v>
      </c>
      <c r="O478">
        <f>IF(_xlfn.XLOOKUP(C478,products!A:A,products!E:E)="NULL",0,_xlfn.XLOOKUP(C478,products!A:A,products!E:E))</f>
        <v>71.78</v>
      </c>
      <c r="P478">
        <f t="shared" si="23"/>
        <v>1123.78</v>
      </c>
      <c r="Q478" s="2" t="str">
        <f>_xlfn.XLOOKUP(I478,products!B:B,products!D:D)</f>
        <v>Home</v>
      </c>
    </row>
    <row r="479" spans="1:17">
      <c r="A479">
        <v>478</v>
      </c>
      <c r="B479">
        <v>1195</v>
      </c>
      <c r="C479">
        <v>108</v>
      </c>
      <c r="D479">
        <v>4</v>
      </c>
      <c r="E479">
        <v>143.47999999999999</v>
      </c>
      <c r="F479">
        <v>0</v>
      </c>
      <c r="G479">
        <f t="shared" si="21"/>
        <v>573.91999999999996</v>
      </c>
      <c r="H479" t="str">
        <f>_xlfn.XLOOKUP(B479,customer_orders!A:A,customer_orders!F:F)</f>
        <v>2026-02</v>
      </c>
      <c r="I479" t="str">
        <f>_xlfn.XLOOKUP(C479,products!A:A,products!B:B)</f>
        <v>SKU-0108</v>
      </c>
      <c r="J479" t="str">
        <f>_xlfn.XLOOKUP(B479,customer_orders!A:A,customer_orders!G:G)</f>
        <v>2026-w09</v>
      </c>
      <c r="K479">
        <f>IFERROR(_xlfn.XLOOKUP(B479,shipments!B:B,shipments!H:H),0)</f>
        <v>30.42</v>
      </c>
      <c r="L479">
        <f t="shared" si="22"/>
        <v>0.05</v>
      </c>
      <c r="M479" t="str">
        <f>_xlfn.XLOOKUP(B479,customer_orders!A:A,customer_orders!D:D)</f>
        <v>Ebay</v>
      </c>
      <c r="N479" t="str">
        <f>_xlfn.XLOOKUP(C479,inventory!B:B,inventory!C:C)</f>
        <v>South Jordan</v>
      </c>
      <c r="O479">
        <f>IF(_xlfn.XLOOKUP(C479,products!A:A,products!E:E)="NULL",0,_xlfn.XLOOKUP(C479,products!A:A,products!E:E))</f>
        <v>53.81</v>
      </c>
      <c r="P479">
        <f t="shared" si="23"/>
        <v>520.1099999999999</v>
      </c>
      <c r="Q479" s="2" t="str">
        <f>_xlfn.XLOOKUP(I479,products!B:B,products!D:D)</f>
        <v>Beauty</v>
      </c>
    </row>
    <row r="480" spans="1:17">
      <c r="A480">
        <v>479</v>
      </c>
      <c r="B480">
        <v>1196</v>
      </c>
      <c r="C480">
        <v>14</v>
      </c>
      <c r="D480">
        <v>7</v>
      </c>
      <c r="E480">
        <v>33.86</v>
      </c>
      <c r="F480">
        <v>3.03</v>
      </c>
      <c r="G480">
        <f t="shared" si="21"/>
        <v>233.98999999999998</v>
      </c>
      <c r="H480" t="str">
        <f>_xlfn.XLOOKUP(B480,customer_orders!A:A,customer_orders!F:F)</f>
        <v>2026-02</v>
      </c>
      <c r="I480" t="str">
        <f>_xlfn.XLOOKUP(C480,products!A:A,products!B:B)</f>
        <v>SKU-0014</v>
      </c>
      <c r="J480" t="str">
        <f>_xlfn.XLOOKUP(B480,customer_orders!A:A,customer_orders!G:G)</f>
        <v>2026-w09</v>
      </c>
      <c r="K480">
        <f>IFERROR(_xlfn.XLOOKUP(B480,shipments!B:B,shipments!H:H),0)</f>
        <v>102.79</v>
      </c>
      <c r="L480">
        <f t="shared" si="22"/>
        <v>0.44</v>
      </c>
      <c r="M480" t="str">
        <f>_xlfn.XLOOKUP(B480,customer_orders!A:A,customer_orders!D:D)</f>
        <v>Walmart</v>
      </c>
      <c r="N480" t="str">
        <f>_xlfn.XLOOKUP(C480,inventory!B:B,inventory!C:C)</f>
        <v>Lehi</v>
      </c>
      <c r="O480">
        <f>IF(_xlfn.XLOOKUP(C480,products!A:A,products!E:E)="NULL",0,_xlfn.XLOOKUP(C480,products!A:A,products!E:E))</f>
        <v>75.2</v>
      </c>
      <c r="P480">
        <f t="shared" si="23"/>
        <v>158.78999999999996</v>
      </c>
      <c r="Q480" s="2" t="str">
        <f>_xlfn.XLOOKUP(I480,products!B:B,products!D:D)</f>
        <v>Electronics</v>
      </c>
    </row>
    <row r="481" spans="1:17">
      <c r="A481">
        <v>480</v>
      </c>
      <c r="B481">
        <v>1196</v>
      </c>
      <c r="C481">
        <v>46</v>
      </c>
      <c r="D481">
        <v>7</v>
      </c>
      <c r="E481">
        <v>219.11</v>
      </c>
      <c r="F481">
        <v>6.23</v>
      </c>
      <c r="G481">
        <f t="shared" si="21"/>
        <v>1527.54</v>
      </c>
      <c r="H481" t="str">
        <f>_xlfn.XLOOKUP(B481,customer_orders!A:A,customer_orders!F:F)</f>
        <v>2026-02</v>
      </c>
      <c r="I481" t="str">
        <f>_xlfn.XLOOKUP(C481,products!A:A,products!B:B)</f>
        <v>SKU-0046</v>
      </c>
      <c r="J481" t="str">
        <f>_xlfn.XLOOKUP(B481,customer_orders!A:A,customer_orders!G:G)</f>
        <v>2026-w09</v>
      </c>
      <c r="K481">
        <f>IFERROR(_xlfn.XLOOKUP(B481,shipments!B:B,shipments!H:H),0)</f>
        <v>102.79</v>
      </c>
      <c r="L481">
        <f t="shared" si="22"/>
        <v>7.0000000000000007E-2</v>
      </c>
      <c r="M481" t="str">
        <f>_xlfn.XLOOKUP(B481,customer_orders!A:A,customer_orders!D:D)</f>
        <v>Walmart</v>
      </c>
      <c r="N481" t="str">
        <f>_xlfn.XLOOKUP(C481,inventory!B:B,inventory!C:C)</f>
        <v>Unknown</v>
      </c>
      <c r="O481">
        <f>IF(_xlfn.XLOOKUP(C481,products!A:A,products!E:E)="NULL",0,_xlfn.XLOOKUP(C481,products!A:A,products!E:E))</f>
        <v>40.75</v>
      </c>
      <c r="P481">
        <f t="shared" si="23"/>
        <v>1486.79</v>
      </c>
      <c r="Q481" s="2" t="str">
        <f>_xlfn.XLOOKUP(I481,products!B:B,products!D:D)</f>
        <v>Kitchen</v>
      </c>
    </row>
    <row r="482" spans="1:17">
      <c r="A482">
        <v>481</v>
      </c>
      <c r="B482">
        <v>1196</v>
      </c>
      <c r="C482">
        <v>50</v>
      </c>
      <c r="D482">
        <v>6</v>
      </c>
      <c r="E482">
        <v>252.62</v>
      </c>
      <c r="F482">
        <v>0</v>
      </c>
      <c r="G482">
        <f t="shared" si="21"/>
        <v>1515.72</v>
      </c>
      <c r="H482" t="str">
        <f>_xlfn.XLOOKUP(B482,customer_orders!A:A,customer_orders!F:F)</f>
        <v>2026-02</v>
      </c>
      <c r="I482" t="str">
        <f>_xlfn.XLOOKUP(C482,products!A:A,products!B:B)</f>
        <v>SKU-0050</v>
      </c>
      <c r="J482" t="str">
        <f>_xlfn.XLOOKUP(B482,customer_orders!A:A,customer_orders!G:G)</f>
        <v>2026-w09</v>
      </c>
      <c r="K482">
        <f>IFERROR(_xlfn.XLOOKUP(B482,shipments!B:B,shipments!H:H),0)</f>
        <v>102.79</v>
      </c>
      <c r="L482">
        <f t="shared" si="22"/>
        <v>7.0000000000000007E-2</v>
      </c>
      <c r="M482" t="str">
        <f>_xlfn.XLOOKUP(B482,customer_orders!A:A,customer_orders!D:D)</f>
        <v>Walmart</v>
      </c>
      <c r="N482" t="str">
        <f>_xlfn.XLOOKUP(C482,inventory!B:B,inventory!C:C)</f>
        <v>South Jordan</v>
      </c>
      <c r="O482">
        <f>IF(_xlfn.XLOOKUP(C482,products!A:A,products!E:E)="NULL",0,_xlfn.XLOOKUP(C482,products!A:A,products!E:E))</f>
        <v>32.61</v>
      </c>
      <c r="P482">
        <f t="shared" si="23"/>
        <v>1483.1100000000001</v>
      </c>
      <c r="Q482" s="2" t="str">
        <f>_xlfn.XLOOKUP(I482,products!B:B,products!D:D)</f>
        <v>Kitchen</v>
      </c>
    </row>
    <row r="483" spans="1:17">
      <c r="A483">
        <v>482</v>
      </c>
      <c r="B483">
        <v>1196</v>
      </c>
      <c r="C483">
        <v>86</v>
      </c>
      <c r="D483">
        <v>3</v>
      </c>
      <c r="E483">
        <v>81.83</v>
      </c>
      <c r="F483">
        <v>0</v>
      </c>
      <c r="G483">
        <f t="shared" si="21"/>
        <v>245.49</v>
      </c>
      <c r="H483" t="str">
        <f>_xlfn.XLOOKUP(B483,customer_orders!A:A,customer_orders!F:F)</f>
        <v>2026-02</v>
      </c>
      <c r="I483" t="str">
        <f>_xlfn.XLOOKUP(C483,products!A:A,products!B:B)</f>
        <v>SKU-0086</v>
      </c>
      <c r="J483" t="str">
        <f>_xlfn.XLOOKUP(B483,customer_orders!A:A,customer_orders!G:G)</f>
        <v>2026-w09</v>
      </c>
      <c r="K483">
        <f>IFERROR(_xlfn.XLOOKUP(B483,shipments!B:B,shipments!H:H),0)</f>
        <v>102.79</v>
      </c>
      <c r="L483">
        <f t="shared" si="22"/>
        <v>0.42</v>
      </c>
      <c r="M483" t="str">
        <f>_xlfn.XLOOKUP(B483,customer_orders!A:A,customer_orders!D:D)</f>
        <v>Walmart</v>
      </c>
      <c r="N483" t="str">
        <f>_xlfn.XLOOKUP(C483,inventory!B:B,inventory!C:C)</f>
        <v>Draper</v>
      </c>
      <c r="O483">
        <f>IF(_xlfn.XLOOKUP(C483,products!A:A,products!E:E)="NULL",0,_xlfn.XLOOKUP(C483,products!A:A,products!E:E))</f>
        <v>129.87</v>
      </c>
      <c r="P483">
        <f t="shared" si="23"/>
        <v>115.62</v>
      </c>
      <c r="Q483" s="2" t="str">
        <f>_xlfn.XLOOKUP(I483,products!B:B,products!D:D)</f>
        <v>Pet</v>
      </c>
    </row>
    <row r="484" spans="1:17">
      <c r="A484">
        <v>483</v>
      </c>
      <c r="B484">
        <v>1197</v>
      </c>
      <c r="C484">
        <v>148</v>
      </c>
      <c r="D484">
        <v>4</v>
      </c>
      <c r="E484">
        <v>124.32</v>
      </c>
      <c r="F484">
        <v>2.21</v>
      </c>
      <c r="G484">
        <f t="shared" si="21"/>
        <v>495.07</v>
      </c>
      <c r="H484" t="str">
        <f>_xlfn.XLOOKUP(B484,customer_orders!A:A,customer_orders!F:F)</f>
        <v>2026-03</v>
      </c>
      <c r="I484" t="str">
        <f>_xlfn.XLOOKUP(C484,products!A:A,products!B:B)</f>
        <v>SKU0148</v>
      </c>
      <c r="J484" t="str">
        <f>_xlfn.XLOOKUP(B484,customer_orders!A:A,customer_orders!G:G)</f>
        <v>2026-w12</v>
      </c>
      <c r="K484">
        <f>IFERROR(_xlfn.XLOOKUP(B484,shipments!B:B,shipments!H:H),0)</f>
        <v>89.4</v>
      </c>
      <c r="L484">
        <f t="shared" si="22"/>
        <v>0.18</v>
      </c>
      <c r="M484" t="str">
        <f>_xlfn.XLOOKUP(B484,customer_orders!A:A,customer_orders!D:D)</f>
        <v>Shopify</v>
      </c>
      <c r="N484" t="str">
        <f>_xlfn.XLOOKUP(C484,inventory!B:B,inventory!C:C)</f>
        <v>Draper</v>
      </c>
      <c r="O484">
        <f>IF(_xlfn.XLOOKUP(C484,products!A:A,products!E:E)="NULL",0,_xlfn.XLOOKUP(C484,products!A:A,products!E:E))</f>
        <v>101.47</v>
      </c>
      <c r="P484">
        <f t="shared" si="23"/>
        <v>393.6</v>
      </c>
      <c r="Q484" s="2" t="str">
        <f>_xlfn.XLOOKUP(I484,products!B:B,products!D:D)</f>
        <v>Beauty</v>
      </c>
    </row>
    <row r="485" spans="1:17">
      <c r="A485">
        <v>484</v>
      </c>
      <c r="B485">
        <v>1197</v>
      </c>
      <c r="C485">
        <v>56</v>
      </c>
      <c r="D485">
        <v>8</v>
      </c>
      <c r="E485">
        <v>172.23</v>
      </c>
      <c r="F485">
        <v>0</v>
      </c>
      <c r="G485">
        <f t="shared" si="21"/>
        <v>1377.84</v>
      </c>
      <c r="H485" t="str">
        <f>_xlfn.XLOOKUP(B485,customer_orders!A:A,customer_orders!F:F)</f>
        <v>2026-03</v>
      </c>
      <c r="I485" t="str">
        <f>_xlfn.XLOOKUP(C485,products!A:A,products!B:B)</f>
        <v>SKU-0056</v>
      </c>
      <c r="J485" t="str">
        <f>_xlfn.XLOOKUP(B485,customer_orders!A:A,customer_orders!G:G)</f>
        <v>2026-w12</v>
      </c>
      <c r="K485">
        <f>IFERROR(_xlfn.XLOOKUP(B485,shipments!B:B,shipments!H:H),0)</f>
        <v>89.4</v>
      </c>
      <c r="L485">
        <f t="shared" si="22"/>
        <v>0.06</v>
      </c>
      <c r="M485" t="str">
        <f>_xlfn.XLOOKUP(B485,customer_orders!A:A,customer_orders!D:D)</f>
        <v>Shopify</v>
      </c>
      <c r="N485" t="str">
        <f>_xlfn.XLOOKUP(C485,inventory!B:B,inventory!C:C)</f>
        <v>South Jordan</v>
      </c>
      <c r="O485">
        <f>IF(_xlfn.XLOOKUP(C485,products!A:A,products!E:E)="NULL",0,_xlfn.XLOOKUP(C485,products!A:A,products!E:E))</f>
        <v>134.72</v>
      </c>
      <c r="P485">
        <f t="shared" si="23"/>
        <v>1243.1199999999999</v>
      </c>
      <c r="Q485" s="2" t="str">
        <f>_xlfn.XLOOKUP(I485,products!B:B,products!D:D)</f>
        <v>Sports</v>
      </c>
    </row>
    <row r="486" spans="1:17">
      <c r="A486">
        <v>485</v>
      </c>
      <c r="B486">
        <v>1198</v>
      </c>
      <c r="C486">
        <v>107</v>
      </c>
      <c r="D486">
        <v>1</v>
      </c>
      <c r="E486">
        <v>223.34</v>
      </c>
      <c r="F486">
        <v>1.56</v>
      </c>
      <c r="G486">
        <f t="shared" si="21"/>
        <v>221.78</v>
      </c>
      <c r="H486" t="str">
        <f>_xlfn.XLOOKUP(B486,customer_orders!A:A,customer_orders!F:F)</f>
        <v>2026-02</v>
      </c>
      <c r="I486" t="str">
        <f>_xlfn.XLOOKUP(C486,products!A:A,products!B:B)</f>
        <v>SKU-0107</v>
      </c>
      <c r="J486" t="str">
        <f>_xlfn.XLOOKUP(B486,customer_orders!A:A,customer_orders!G:G)</f>
        <v>2026-w09</v>
      </c>
      <c r="K486">
        <f>IFERROR(_xlfn.XLOOKUP(B486,shipments!B:B,shipments!H:H),0)</f>
        <v>65.61</v>
      </c>
      <c r="L486">
        <f t="shared" si="22"/>
        <v>0.3</v>
      </c>
      <c r="M486" t="str">
        <f>_xlfn.XLOOKUP(B486,customer_orders!A:A,customer_orders!D:D)</f>
        <v>Shopify</v>
      </c>
      <c r="N486" t="str">
        <f>_xlfn.XLOOKUP(C486,inventory!B:B,inventory!C:C)</f>
        <v>South Jordan</v>
      </c>
      <c r="O486">
        <f>IF(_xlfn.XLOOKUP(C486,products!A:A,products!E:E)="NULL",0,_xlfn.XLOOKUP(C486,products!A:A,products!E:E))</f>
        <v>81.23</v>
      </c>
      <c r="P486">
        <f t="shared" si="23"/>
        <v>140.55000000000001</v>
      </c>
      <c r="Q486" s="2" t="str">
        <f>_xlfn.XLOOKUP(I486,products!B:B,products!D:D)</f>
        <v>Pet</v>
      </c>
    </row>
    <row r="487" spans="1:17">
      <c r="A487">
        <v>486</v>
      </c>
      <c r="B487">
        <v>1199</v>
      </c>
      <c r="C487">
        <v>105</v>
      </c>
      <c r="D487">
        <v>4</v>
      </c>
      <c r="E487">
        <v>288.82</v>
      </c>
      <c r="F487">
        <v>0</v>
      </c>
      <c r="G487">
        <f t="shared" si="21"/>
        <v>1155.28</v>
      </c>
      <c r="H487" t="str">
        <f>_xlfn.XLOOKUP(B487,customer_orders!A:A,customer_orders!F:F)</f>
        <v>2026-05</v>
      </c>
      <c r="I487" t="str">
        <f>_xlfn.XLOOKUP(C487,products!A:A,products!B:B)</f>
        <v>SKU-0105</v>
      </c>
      <c r="J487" t="str">
        <f>_xlfn.XLOOKUP(B487,customer_orders!A:A,customer_orders!G:G)</f>
        <v>2026-w19</v>
      </c>
      <c r="K487">
        <f>IFERROR(_xlfn.XLOOKUP(B487,shipments!B:B,shipments!H:H),0)</f>
        <v>5.85</v>
      </c>
      <c r="L487">
        <f t="shared" si="22"/>
        <v>0.01</v>
      </c>
      <c r="M487" t="str">
        <f>_xlfn.XLOOKUP(B487,customer_orders!A:A,customer_orders!D:D)</f>
        <v>Amazon</v>
      </c>
      <c r="N487" t="str">
        <f>_xlfn.XLOOKUP(C487,inventory!B:B,inventory!C:C)</f>
        <v>West Valley</v>
      </c>
      <c r="O487">
        <f>IF(_xlfn.XLOOKUP(C487,products!A:A,products!E:E)="NULL",0,_xlfn.XLOOKUP(C487,products!A:A,products!E:E))</f>
        <v>23.47</v>
      </c>
      <c r="P487">
        <f t="shared" si="23"/>
        <v>1131.81</v>
      </c>
      <c r="Q487" s="2" t="str">
        <f>_xlfn.XLOOKUP(I487,products!B:B,products!D:D)</f>
        <v>Office</v>
      </c>
    </row>
    <row r="488" spans="1:17">
      <c r="A488">
        <v>487</v>
      </c>
      <c r="B488">
        <v>1200</v>
      </c>
      <c r="C488">
        <v>48</v>
      </c>
      <c r="D488">
        <v>6</v>
      </c>
      <c r="E488">
        <v>299.56</v>
      </c>
      <c r="F488">
        <v>0</v>
      </c>
      <c r="G488">
        <f t="shared" si="21"/>
        <v>1797.3600000000001</v>
      </c>
      <c r="H488" t="str">
        <f>_xlfn.XLOOKUP(B488,customer_orders!A:A,customer_orders!F:F)</f>
        <v>2026-01</v>
      </c>
      <c r="I488" t="str">
        <f>_xlfn.XLOOKUP(C488,products!A:A,products!B:B)</f>
        <v>SKU-0048</v>
      </c>
      <c r="J488" t="str">
        <f>_xlfn.XLOOKUP(B488,customer_orders!A:A,customer_orders!G:G)</f>
        <v>2026-w02</v>
      </c>
      <c r="K488">
        <f>IFERROR(_xlfn.XLOOKUP(B488,shipments!B:B,shipments!H:H),0)</f>
        <v>63.71</v>
      </c>
      <c r="L488">
        <f t="shared" si="22"/>
        <v>0.04</v>
      </c>
      <c r="M488" t="str">
        <f>_xlfn.XLOOKUP(B488,customer_orders!A:A,customer_orders!D:D)</f>
        <v>Walmart</v>
      </c>
      <c r="N488" t="str">
        <f>_xlfn.XLOOKUP(C488,inventory!B:B,inventory!C:C)</f>
        <v>Salt Lake City</v>
      </c>
      <c r="O488">
        <f>IF(_xlfn.XLOOKUP(C488,products!A:A,products!E:E)="NULL",0,_xlfn.XLOOKUP(C488,products!A:A,products!E:E))</f>
        <v>85.2</v>
      </c>
      <c r="P488">
        <f t="shared" si="23"/>
        <v>1712.16</v>
      </c>
      <c r="Q488" s="2" t="str">
        <f>_xlfn.XLOOKUP(I488,products!B:B,products!D:D)</f>
        <v>Home</v>
      </c>
    </row>
    <row r="489" spans="1:17">
      <c r="A489">
        <v>488</v>
      </c>
      <c r="B489">
        <v>1200</v>
      </c>
      <c r="C489">
        <v>19</v>
      </c>
      <c r="D489">
        <v>7</v>
      </c>
      <c r="E489">
        <v>298.89</v>
      </c>
      <c r="F489">
        <v>0</v>
      </c>
      <c r="G489">
        <f t="shared" si="21"/>
        <v>2092.23</v>
      </c>
      <c r="H489" t="str">
        <f>_xlfn.XLOOKUP(B489,customer_orders!A:A,customer_orders!F:F)</f>
        <v>2026-01</v>
      </c>
      <c r="I489" t="str">
        <f>_xlfn.XLOOKUP(C489,products!A:A,products!B:B)</f>
        <v>SKU-0019</v>
      </c>
      <c r="J489" t="str">
        <f>_xlfn.XLOOKUP(B489,customer_orders!A:A,customer_orders!G:G)</f>
        <v>2026-w02</v>
      </c>
      <c r="K489">
        <f>IFERROR(_xlfn.XLOOKUP(B489,shipments!B:B,shipments!H:H),0)</f>
        <v>63.71</v>
      </c>
      <c r="L489">
        <f t="shared" si="22"/>
        <v>0.03</v>
      </c>
      <c r="M489" t="str">
        <f>_xlfn.XLOOKUP(B489,customer_orders!A:A,customer_orders!D:D)</f>
        <v>Walmart</v>
      </c>
      <c r="N489" t="str">
        <f>_xlfn.XLOOKUP(C489,inventory!B:B,inventory!C:C)</f>
        <v>South Jordan</v>
      </c>
      <c r="O489">
        <f>IF(_xlfn.XLOOKUP(C489,products!A:A,products!E:E)="NULL",0,_xlfn.XLOOKUP(C489,products!A:A,products!E:E))</f>
        <v>71.78</v>
      </c>
      <c r="P489">
        <f t="shared" si="23"/>
        <v>2020.45</v>
      </c>
      <c r="Q489" s="2" t="str">
        <f>_xlfn.XLOOKUP(I489,products!B:B,products!D:D)</f>
        <v>Home</v>
      </c>
    </row>
    <row r="490" spans="1:17">
      <c r="A490">
        <v>489</v>
      </c>
      <c r="B490">
        <v>1200</v>
      </c>
      <c r="C490">
        <v>136</v>
      </c>
      <c r="D490">
        <v>1</v>
      </c>
      <c r="E490">
        <v>230.54</v>
      </c>
      <c r="F490">
        <v>0</v>
      </c>
      <c r="G490">
        <f t="shared" si="21"/>
        <v>230.54</v>
      </c>
      <c r="H490" t="str">
        <f>_xlfn.XLOOKUP(B490,customer_orders!A:A,customer_orders!F:F)</f>
        <v>2026-01</v>
      </c>
      <c r="I490" t="str">
        <f>_xlfn.XLOOKUP(C490,products!A:A,products!B:B)</f>
        <v>SKU-0136</v>
      </c>
      <c r="J490" t="str">
        <f>_xlfn.XLOOKUP(B490,customer_orders!A:A,customer_orders!G:G)</f>
        <v>2026-w02</v>
      </c>
      <c r="K490">
        <f>IFERROR(_xlfn.XLOOKUP(B490,shipments!B:B,shipments!H:H),0)</f>
        <v>63.71</v>
      </c>
      <c r="L490">
        <f t="shared" si="22"/>
        <v>0.28000000000000003</v>
      </c>
      <c r="M490" t="str">
        <f>_xlfn.XLOOKUP(B490,customer_orders!A:A,customer_orders!D:D)</f>
        <v>Walmart</v>
      </c>
      <c r="N490" t="str">
        <f>_xlfn.XLOOKUP(C490,inventory!B:B,inventory!C:C)</f>
        <v>South Jordan</v>
      </c>
      <c r="O490">
        <f>IF(_xlfn.XLOOKUP(C490,products!A:A,products!E:E)="NULL",0,_xlfn.XLOOKUP(C490,products!A:A,products!E:E))</f>
        <v>12.04</v>
      </c>
      <c r="P490">
        <f t="shared" si="23"/>
        <v>218.5</v>
      </c>
      <c r="Q490" s="2" t="str">
        <f>_xlfn.XLOOKUP(I490,products!B:B,products!D:D)</f>
        <v>Sports</v>
      </c>
    </row>
    <row r="491" spans="1:17">
      <c r="A491">
        <v>490</v>
      </c>
      <c r="B491">
        <v>1200</v>
      </c>
      <c r="C491">
        <v>139</v>
      </c>
      <c r="D491">
        <v>4</v>
      </c>
      <c r="E491">
        <v>156.21</v>
      </c>
      <c r="F491">
        <v>0</v>
      </c>
      <c r="G491">
        <f t="shared" si="21"/>
        <v>624.84</v>
      </c>
      <c r="H491" t="str">
        <f>_xlfn.XLOOKUP(B491,customer_orders!A:A,customer_orders!F:F)</f>
        <v>2026-01</v>
      </c>
      <c r="I491" t="str">
        <f>_xlfn.XLOOKUP(C491,products!A:A,products!B:B)</f>
        <v>SKU-0139</v>
      </c>
      <c r="J491" t="str">
        <f>_xlfn.XLOOKUP(B491,customer_orders!A:A,customer_orders!G:G)</f>
        <v>2026-w02</v>
      </c>
      <c r="K491">
        <f>IFERROR(_xlfn.XLOOKUP(B491,shipments!B:B,shipments!H:H),0)</f>
        <v>63.71</v>
      </c>
      <c r="L491">
        <f t="shared" si="22"/>
        <v>0.1</v>
      </c>
      <c r="M491" t="str">
        <f>_xlfn.XLOOKUP(B491,customer_orders!A:A,customer_orders!D:D)</f>
        <v>Walmart</v>
      </c>
      <c r="N491" t="str">
        <f>_xlfn.XLOOKUP(C491,inventory!B:B,inventory!C:C)</f>
        <v>South Jordan</v>
      </c>
      <c r="O491">
        <f>IF(_xlfn.XLOOKUP(C491,products!A:A,products!E:E)="NULL",0,_xlfn.XLOOKUP(C491,products!A:A,products!E:E))</f>
        <v>77.040000000000006</v>
      </c>
      <c r="P491">
        <f t="shared" si="23"/>
        <v>547.80000000000007</v>
      </c>
      <c r="Q491" s="2" t="str">
        <f>_xlfn.XLOOKUP(I491,products!B:B,products!D:D)</f>
        <v>Toys</v>
      </c>
    </row>
    <row r="492" spans="1:17">
      <c r="A492">
        <v>491</v>
      </c>
      <c r="B492">
        <v>1201</v>
      </c>
      <c r="C492">
        <v>94</v>
      </c>
      <c r="D492">
        <v>6</v>
      </c>
      <c r="E492">
        <v>53.67</v>
      </c>
      <c r="F492">
        <v>0</v>
      </c>
      <c r="G492">
        <f t="shared" si="21"/>
        <v>322.02</v>
      </c>
      <c r="H492" t="str">
        <f>_xlfn.XLOOKUP(B492,customer_orders!A:A,customer_orders!F:F)</f>
        <v>2026-04</v>
      </c>
      <c r="I492" t="str">
        <f>_xlfn.XLOOKUP(C492,products!A:A,products!B:B)</f>
        <v>SKU-0094</v>
      </c>
      <c r="J492" t="str">
        <f>_xlfn.XLOOKUP(B492,customer_orders!A:A,customer_orders!G:G)</f>
        <v>2026-w15</v>
      </c>
      <c r="K492">
        <f>IFERROR(_xlfn.XLOOKUP(B492,shipments!B:B,shipments!H:H),0)</f>
        <v>0</v>
      </c>
      <c r="L492">
        <f t="shared" si="22"/>
        <v>0</v>
      </c>
      <c r="M492" t="str">
        <f>_xlfn.XLOOKUP(B492,customer_orders!A:A,customer_orders!D:D)</f>
        <v>Walmart</v>
      </c>
      <c r="N492" t="str">
        <f>_xlfn.XLOOKUP(C492,inventory!B:B,inventory!C:C)</f>
        <v>Draper</v>
      </c>
      <c r="O492">
        <f>IF(_xlfn.XLOOKUP(C492,products!A:A,products!E:E)="NULL",0,_xlfn.XLOOKUP(C492,products!A:A,products!E:E))</f>
        <v>117.48</v>
      </c>
      <c r="P492">
        <f t="shared" si="23"/>
        <v>204.53999999999996</v>
      </c>
      <c r="Q492" s="2" t="str">
        <f>_xlfn.XLOOKUP(I492,products!B:B,products!D:D)</f>
        <v>Electronics</v>
      </c>
    </row>
    <row r="493" spans="1:17">
      <c r="A493">
        <v>492</v>
      </c>
      <c r="B493">
        <v>1202</v>
      </c>
      <c r="C493">
        <v>123</v>
      </c>
      <c r="D493">
        <v>4</v>
      </c>
      <c r="E493">
        <v>210.64</v>
      </c>
      <c r="F493">
        <v>0</v>
      </c>
      <c r="G493">
        <f t="shared" si="21"/>
        <v>842.56</v>
      </c>
      <c r="H493" t="str">
        <f>_xlfn.XLOOKUP(B493,customer_orders!A:A,customer_orders!F:F)</f>
        <v>2026-02</v>
      </c>
      <c r="I493" t="str">
        <f>_xlfn.XLOOKUP(C493,products!A:A,products!B:B)</f>
        <v>SKU-0123</v>
      </c>
      <c r="J493" t="str">
        <f>_xlfn.XLOOKUP(B493,customer_orders!A:A,customer_orders!G:G)</f>
        <v>2026-w09</v>
      </c>
      <c r="K493">
        <f>IFERROR(_xlfn.XLOOKUP(B493,shipments!B:B,shipments!H:H),0)</f>
        <v>62.41</v>
      </c>
      <c r="L493">
        <f t="shared" si="22"/>
        <v>7.0000000000000007E-2</v>
      </c>
      <c r="M493" t="str">
        <f>_xlfn.XLOOKUP(B493,customer_orders!A:A,customer_orders!D:D)</f>
        <v>Ebay</v>
      </c>
      <c r="N493" t="str">
        <f>_xlfn.XLOOKUP(C493,inventory!B:B,inventory!C:C)</f>
        <v>Lehi</v>
      </c>
      <c r="O493">
        <f>IF(_xlfn.XLOOKUP(C493,products!A:A,products!E:E)="NULL",0,_xlfn.XLOOKUP(C493,products!A:A,products!E:E))</f>
        <v>105.98</v>
      </c>
      <c r="P493">
        <f t="shared" si="23"/>
        <v>736.57999999999993</v>
      </c>
      <c r="Q493" s="2" t="str">
        <f>_xlfn.XLOOKUP(I493,products!B:B,products!D:D)</f>
        <v>Pet</v>
      </c>
    </row>
    <row r="494" spans="1:17">
      <c r="A494">
        <v>493</v>
      </c>
      <c r="B494">
        <v>1203</v>
      </c>
      <c r="C494">
        <v>121</v>
      </c>
      <c r="D494">
        <v>5</v>
      </c>
      <c r="E494">
        <v>151.43</v>
      </c>
      <c r="F494">
        <v>0</v>
      </c>
      <c r="G494">
        <f t="shared" si="21"/>
        <v>757.15000000000009</v>
      </c>
      <c r="H494" t="str">
        <f>_xlfn.XLOOKUP(B494,customer_orders!A:A,customer_orders!F:F)</f>
        <v>2026-03</v>
      </c>
      <c r="I494" t="str">
        <f>_xlfn.XLOOKUP(C494,products!A:A,products!B:B)</f>
        <v>SKU-0121</v>
      </c>
      <c r="J494" t="str">
        <f>_xlfn.XLOOKUP(B494,customer_orders!A:A,customer_orders!G:G)</f>
        <v>2026-w14</v>
      </c>
      <c r="K494">
        <f>IFERROR(_xlfn.XLOOKUP(B494,shipments!B:B,shipments!H:H),0)</f>
        <v>25.85</v>
      </c>
      <c r="L494">
        <f t="shared" si="22"/>
        <v>0.03</v>
      </c>
      <c r="M494" t="str">
        <f>_xlfn.XLOOKUP(B494,customer_orders!A:A,customer_orders!D:D)</f>
        <v>Walmart</v>
      </c>
      <c r="N494" t="str">
        <f>_xlfn.XLOOKUP(C494,inventory!B:B,inventory!C:C)</f>
        <v>South Jordan</v>
      </c>
      <c r="O494">
        <f>IF(_xlfn.XLOOKUP(C494,products!A:A,products!E:E)="NULL",0,_xlfn.XLOOKUP(C494,products!A:A,products!E:E))</f>
        <v>54.76</v>
      </c>
      <c r="P494">
        <f t="shared" si="23"/>
        <v>702.3900000000001</v>
      </c>
      <c r="Q494" s="2" t="str">
        <f>_xlfn.XLOOKUP(I494,products!B:B,products!D:D)</f>
        <v>Electronics</v>
      </c>
    </row>
    <row r="495" spans="1:17">
      <c r="A495">
        <v>494</v>
      </c>
      <c r="B495">
        <v>1204</v>
      </c>
      <c r="C495">
        <v>71</v>
      </c>
      <c r="D495">
        <v>2</v>
      </c>
      <c r="E495">
        <v>277.42</v>
      </c>
      <c r="F495">
        <v>10.76</v>
      </c>
      <c r="G495">
        <f t="shared" si="21"/>
        <v>544.08000000000004</v>
      </c>
      <c r="H495" t="str">
        <f>_xlfn.XLOOKUP(B495,customer_orders!A:A,customer_orders!F:F)</f>
        <v>2026-02</v>
      </c>
      <c r="I495" t="str">
        <f>_xlfn.XLOOKUP(C495,products!A:A,products!B:B)</f>
        <v>SKU-0071</v>
      </c>
      <c r="J495" t="str">
        <f>_xlfn.XLOOKUP(B495,customer_orders!A:A,customer_orders!G:G)</f>
        <v>2026-w08</v>
      </c>
      <c r="K495">
        <f>IFERROR(_xlfn.XLOOKUP(B495,shipments!B:B,shipments!H:H),0)</f>
        <v>0</v>
      </c>
      <c r="L495">
        <f t="shared" si="22"/>
        <v>0</v>
      </c>
      <c r="M495" t="str">
        <f>_xlfn.XLOOKUP(B495,customer_orders!A:A,customer_orders!D:D)</f>
        <v>Amazon</v>
      </c>
      <c r="N495" t="str">
        <f>_xlfn.XLOOKUP(C495,inventory!B:B,inventory!C:C)</f>
        <v>West Valley</v>
      </c>
      <c r="O495">
        <f>IF(_xlfn.XLOOKUP(C495,products!A:A,products!E:E)="NULL",0,_xlfn.XLOOKUP(C495,products!A:A,products!E:E))</f>
        <v>171.05</v>
      </c>
      <c r="P495">
        <f t="shared" si="23"/>
        <v>373.03000000000003</v>
      </c>
      <c r="Q495" s="2" t="str">
        <f>_xlfn.XLOOKUP(I495,products!B:B,products!D:D)</f>
        <v>Office</v>
      </c>
    </row>
    <row r="496" spans="1:17">
      <c r="A496">
        <v>495</v>
      </c>
      <c r="B496">
        <v>1204</v>
      </c>
      <c r="C496">
        <v>39</v>
      </c>
      <c r="D496">
        <v>4</v>
      </c>
      <c r="E496">
        <v>129.30000000000001</v>
      </c>
      <c r="F496">
        <v>0</v>
      </c>
      <c r="G496">
        <f t="shared" si="21"/>
        <v>517.20000000000005</v>
      </c>
      <c r="H496" t="str">
        <f>_xlfn.XLOOKUP(B496,customer_orders!A:A,customer_orders!F:F)</f>
        <v>2026-02</v>
      </c>
      <c r="I496" t="str">
        <f>_xlfn.XLOOKUP(C496,products!A:A,products!B:B)</f>
        <v>SKU-0039</v>
      </c>
      <c r="J496" t="str">
        <f>_xlfn.XLOOKUP(B496,customer_orders!A:A,customer_orders!G:G)</f>
        <v>2026-w08</v>
      </c>
      <c r="K496">
        <f>IFERROR(_xlfn.XLOOKUP(B496,shipments!B:B,shipments!H:H),0)</f>
        <v>0</v>
      </c>
      <c r="L496">
        <f t="shared" si="22"/>
        <v>0</v>
      </c>
      <c r="M496" t="str">
        <f>_xlfn.XLOOKUP(B496,customer_orders!A:A,customer_orders!D:D)</f>
        <v>Amazon</v>
      </c>
      <c r="N496" t="str">
        <f>_xlfn.XLOOKUP(C496,inventory!B:B,inventory!C:C)</f>
        <v>West Valley</v>
      </c>
      <c r="O496">
        <f>IF(_xlfn.XLOOKUP(C496,products!A:A,products!E:E)="NULL",0,_xlfn.XLOOKUP(C496,products!A:A,products!E:E))</f>
        <v>42.41</v>
      </c>
      <c r="P496">
        <f t="shared" si="23"/>
        <v>474.79000000000008</v>
      </c>
      <c r="Q496" s="2" t="str">
        <f>_xlfn.XLOOKUP(I496,products!B:B,products!D:D)</f>
        <v>Pet</v>
      </c>
    </row>
    <row r="497" spans="1:17">
      <c r="A497">
        <v>496</v>
      </c>
      <c r="B497">
        <v>1205</v>
      </c>
      <c r="C497">
        <v>6</v>
      </c>
      <c r="D497">
        <v>5</v>
      </c>
      <c r="E497">
        <v>256.54000000000002</v>
      </c>
      <c r="F497">
        <v>0</v>
      </c>
      <c r="G497">
        <f t="shared" si="21"/>
        <v>1282.7</v>
      </c>
      <c r="H497" t="str">
        <f>_xlfn.XLOOKUP(B497,customer_orders!A:A,customer_orders!F:F)</f>
        <v>2026-02</v>
      </c>
      <c r="I497" t="str">
        <f>_xlfn.XLOOKUP(C497,products!A:A,products!B:B)</f>
        <v>SKU-0006</v>
      </c>
      <c r="J497" t="str">
        <f>_xlfn.XLOOKUP(B497,customer_orders!A:A,customer_orders!G:G)</f>
        <v>2026-w06</v>
      </c>
      <c r="K497">
        <f>IFERROR(_xlfn.XLOOKUP(B497,shipments!B:B,shipments!H:H),0)</f>
        <v>60.17</v>
      </c>
      <c r="L497">
        <f t="shared" si="22"/>
        <v>0.05</v>
      </c>
      <c r="M497" t="str">
        <f>_xlfn.XLOOKUP(B497,customer_orders!A:A,customer_orders!D:D)</f>
        <v>Ebay</v>
      </c>
      <c r="N497" t="str">
        <f>_xlfn.XLOOKUP(C497,inventory!B:B,inventory!C:C)</f>
        <v>South Jordan</v>
      </c>
      <c r="O497">
        <f>IF(_xlfn.XLOOKUP(C497,products!A:A,products!E:E)="NULL",0,_xlfn.XLOOKUP(C497,products!A:A,products!E:E))</f>
        <v>21.93</v>
      </c>
      <c r="P497">
        <f t="shared" si="23"/>
        <v>1260.77</v>
      </c>
      <c r="Q497" s="2" t="str">
        <f>_xlfn.XLOOKUP(I497,products!B:B,products!D:D)</f>
        <v>Home</v>
      </c>
    </row>
    <row r="498" spans="1:17">
      <c r="A498">
        <v>497</v>
      </c>
      <c r="B498">
        <v>1205</v>
      </c>
      <c r="C498">
        <v>60</v>
      </c>
      <c r="D498">
        <v>6</v>
      </c>
      <c r="E498">
        <v>115.8</v>
      </c>
      <c r="F498">
        <v>0</v>
      </c>
      <c r="G498">
        <f t="shared" si="21"/>
        <v>694.8</v>
      </c>
      <c r="H498" t="str">
        <f>_xlfn.XLOOKUP(B498,customer_orders!A:A,customer_orders!F:F)</f>
        <v>2026-02</v>
      </c>
      <c r="I498" t="str">
        <f>_xlfn.XLOOKUP(C498,products!A:A,products!B:B)</f>
        <v>SKU-0060</v>
      </c>
      <c r="J498" t="str">
        <f>_xlfn.XLOOKUP(B498,customer_orders!A:A,customer_orders!G:G)</f>
        <v>2026-w06</v>
      </c>
      <c r="K498">
        <f>IFERROR(_xlfn.XLOOKUP(B498,shipments!B:B,shipments!H:H),0)</f>
        <v>60.17</v>
      </c>
      <c r="L498">
        <f t="shared" si="22"/>
        <v>0.09</v>
      </c>
      <c r="M498" t="str">
        <f>_xlfn.XLOOKUP(B498,customer_orders!A:A,customer_orders!D:D)</f>
        <v>Ebay</v>
      </c>
      <c r="N498" t="str">
        <f>_xlfn.XLOOKUP(C498,inventory!B:B,inventory!C:C)</f>
        <v>Draper</v>
      </c>
      <c r="O498">
        <f>IF(_xlfn.XLOOKUP(C498,products!A:A,products!E:E)="NULL",0,_xlfn.XLOOKUP(C498,products!A:A,products!E:E))</f>
        <v>121.71</v>
      </c>
      <c r="P498">
        <f t="shared" si="23"/>
        <v>573.08999999999992</v>
      </c>
      <c r="Q498" s="2" t="str">
        <f>_xlfn.XLOOKUP(I498,products!B:B,products!D:D)</f>
        <v>Beauty</v>
      </c>
    </row>
    <row r="499" spans="1:17">
      <c r="A499">
        <v>498</v>
      </c>
      <c r="B499">
        <v>1205</v>
      </c>
      <c r="C499">
        <v>84</v>
      </c>
      <c r="D499">
        <v>8</v>
      </c>
      <c r="E499">
        <v>150.28</v>
      </c>
      <c r="F499">
        <v>9.31</v>
      </c>
      <c r="G499">
        <f t="shared" si="21"/>
        <v>1192.93</v>
      </c>
      <c r="H499" t="str">
        <f>_xlfn.XLOOKUP(B499,customer_orders!A:A,customer_orders!F:F)</f>
        <v>2026-02</v>
      </c>
      <c r="I499" t="str">
        <f>_xlfn.XLOOKUP(C499,products!A:A,products!B:B)</f>
        <v>SKU-0084</v>
      </c>
      <c r="J499" t="str">
        <f>_xlfn.XLOOKUP(B499,customer_orders!A:A,customer_orders!G:G)</f>
        <v>2026-w06</v>
      </c>
      <c r="K499">
        <f>IFERROR(_xlfn.XLOOKUP(B499,shipments!B:B,shipments!H:H),0)</f>
        <v>60.17</v>
      </c>
      <c r="L499">
        <f t="shared" si="22"/>
        <v>0.05</v>
      </c>
      <c r="M499" t="str">
        <f>_xlfn.XLOOKUP(B499,customer_orders!A:A,customer_orders!D:D)</f>
        <v>Ebay</v>
      </c>
      <c r="N499" t="str">
        <f>_xlfn.XLOOKUP(C499,inventory!B:B,inventory!C:C)</f>
        <v>Draper</v>
      </c>
      <c r="O499">
        <f>IF(_xlfn.XLOOKUP(C499,products!A:A,products!E:E)="NULL",0,_xlfn.XLOOKUP(C499,products!A:A,products!E:E))</f>
        <v>135.13999999999999</v>
      </c>
      <c r="P499">
        <f t="shared" si="23"/>
        <v>1057.79</v>
      </c>
      <c r="Q499" s="2" t="str">
        <f>_xlfn.XLOOKUP(I499,products!B:B,products!D:D)</f>
        <v>Pet</v>
      </c>
    </row>
    <row r="500" spans="1:17">
      <c r="A500">
        <v>499</v>
      </c>
      <c r="B500">
        <v>1205</v>
      </c>
      <c r="C500">
        <v>118</v>
      </c>
      <c r="D500">
        <v>5</v>
      </c>
      <c r="E500">
        <v>150.47</v>
      </c>
      <c r="F500">
        <v>0</v>
      </c>
      <c r="G500">
        <f t="shared" si="21"/>
        <v>752.35</v>
      </c>
      <c r="H500" t="str">
        <f>_xlfn.XLOOKUP(B500,customer_orders!A:A,customer_orders!F:F)</f>
        <v>2026-02</v>
      </c>
      <c r="I500" t="str">
        <f>_xlfn.XLOOKUP(C500,products!A:A,products!B:B)</f>
        <v>SKU-0118</v>
      </c>
      <c r="J500" t="str">
        <f>_xlfn.XLOOKUP(B500,customer_orders!A:A,customer_orders!G:G)</f>
        <v>2026-w06</v>
      </c>
      <c r="K500">
        <f>IFERROR(_xlfn.XLOOKUP(B500,shipments!B:B,shipments!H:H),0)</f>
        <v>60.17</v>
      </c>
      <c r="L500">
        <f t="shared" si="22"/>
        <v>0.08</v>
      </c>
      <c r="M500" t="str">
        <f>_xlfn.XLOOKUP(B500,customer_orders!A:A,customer_orders!D:D)</f>
        <v>Ebay</v>
      </c>
      <c r="N500" t="str">
        <f>_xlfn.XLOOKUP(C500,inventory!B:B,inventory!C:C)</f>
        <v>Salt Lake City</v>
      </c>
      <c r="O500">
        <f>IF(_xlfn.XLOOKUP(C500,products!A:A,products!E:E)="NULL",0,_xlfn.XLOOKUP(C500,products!A:A,products!E:E))</f>
        <v>44.81</v>
      </c>
      <c r="P500">
        <f t="shared" si="23"/>
        <v>707.54</v>
      </c>
      <c r="Q500" s="2" t="str">
        <f>_xlfn.XLOOKUP(I500,products!B:B,products!D:D)</f>
        <v>Beauty</v>
      </c>
    </row>
    <row r="501" spans="1:17">
      <c r="A501">
        <v>500</v>
      </c>
      <c r="B501">
        <v>1206</v>
      </c>
      <c r="C501">
        <v>138</v>
      </c>
      <c r="D501">
        <v>5</v>
      </c>
      <c r="E501">
        <v>106.5</v>
      </c>
      <c r="F501">
        <v>0</v>
      </c>
      <c r="G501">
        <f t="shared" si="21"/>
        <v>532.5</v>
      </c>
      <c r="H501" t="str">
        <f>_xlfn.XLOOKUP(B501,customer_orders!A:A,customer_orders!F:F)</f>
        <v>2026-03</v>
      </c>
      <c r="I501" t="str">
        <f>_xlfn.XLOOKUP(C501,products!A:A,products!B:B)</f>
        <v>SKU-0138</v>
      </c>
      <c r="J501" t="str">
        <f>_xlfn.XLOOKUP(B501,customer_orders!A:A,customer_orders!G:G)</f>
        <v>2026-w11</v>
      </c>
      <c r="K501">
        <f>IFERROR(_xlfn.XLOOKUP(B501,shipments!B:B,shipments!H:H),0)</f>
        <v>55.14</v>
      </c>
      <c r="L501">
        <f t="shared" si="22"/>
        <v>0.1</v>
      </c>
      <c r="M501" t="str">
        <f>_xlfn.XLOOKUP(B501,customer_orders!A:A,customer_orders!D:D)</f>
        <v>Shopify</v>
      </c>
      <c r="N501" t="str">
        <f>_xlfn.XLOOKUP(C501,inventory!B:B,inventory!C:C)</f>
        <v>South Jordan</v>
      </c>
      <c r="O501">
        <f>IF(_xlfn.XLOOKUP(C501,products!A:A,products!E:E)="NULL",0,_xlfn.XLOOKUP(C501,products!A:A,products!E:E))</f>
        <v>76.459999999999994</v>
      </c>
      <c r="P501">
        <f t="shared" si="23"/>
        <v>456.04</v>
      </c>
      <c r="Q501" s="2" t="str">
        <f>_xlfn.XLOOKUP(I501,products!B:B,products!D:D)</f>
        <v>Pet</v>
      </c>
    </row>
    <row r="502" spans="1:17">
      <c r="A502">
        <v>501</v>
      </c>
      <c r="B502">
        <v>1206</v>
      </c>
      <c r="C502">
        <v>40</v>
      </c>
      <c r="D502">
        <v>3</v>
      </c>
      <c r="E502">
        <v>90.58</v>
      </c>
      <c r="F502">
        <v>0</v>
      </c>
      <c r="G502">
        <f t="shared" si="21"/>
        <v>271.74</v>
      </c>
      <c r="H502" t="str">
        <f>_xlfn.XLOOKUP(B502,customer_orders!A:A,customer_orders!F:F)</f>
        <v>2026-03</v>
      </c>
      <c r="I502" t="str">
        <f>_xlfn.XLOOKUP(C502,products!A:A,products!B:B)</f>
        <v>SKU-0040</v>
      </c>
      <c r="J502" t="str">
        <f>_xlfn.XLOOKUP(B502,customer_orders!A:A,customer_orders!G:G)</f>
        <v>2026-w11</v>
      </c>
      <c r="K502">
        <f>IFERROR(_xlfn.XLOOKUP(B502,shipments!B:B,shipments!H:H),0)</f>
        <v>55.14</v>
      </c>
      <c r="L502">
        <f t="shared" si="22"/>
        <v>0.2</v>
      </c>
      <c r="M502" t="str">
        <f>_xlfn.XLOOKUP(B502,customer_orders!A:A,customer_orders!D:D)</f>
        <v>Shopify</v>
      </c>
      <c r="N502" t="str">
        <f>_xlfn.XLOOKUP(C502,inventory!B:B,inventory!C:C)</f>
        <v>Salt Lake City</v>
      </c>
      <c r="O502">
        <f>IF(_xlfn.XLOOKUP(C502,products!A:A,products!E:E)="NULL",0,_xlfn.XLOOKUP(C502,products!A:A,products!E:E))</f>
        <v>177.43</v>
      </c>
      <c r="P502">
        <f t="shared" si="23"/>
        <v>94.31</v>
      </c>
      <c r="Q502" s="2" t="str">
        <f>_xlfn.XLOOKUP(I502,products!B:B,products!D:D)</f>
        <v>Office</v>
      </c>
    </row>
    <row r="503" spans="1:17">
      <c r="A503">
        <v>502</v>
      </c>
      <c r="B503">
        <v>1207</v>
      </c>
      <c r="C503">
        <v>137</v>
      </c>
      <c r="D503">
        <v>5</v>
      </c>
      <c r="E503">
        <v>181.82</v>
      </c>
      <c r="F503">
        <v>0</v>
      </c>
      <c r="G503">
        <f t="shared" si="21"/>
        <v>909.09999999999991</v>
      </c>
      <c r="H503" t="str">
        <f>_xlfn.XLOOKUP(B503,customer_orders!A:A,customer_orders!F:F)</f>
        <v>2026-03</v>
      </c>
      <c r="I503" t="str">
        <f>_xlfn.XLOOKUP(C503,products!A:A,products!B:B)</f>
        <v>SKU-0137</v>
      </c>
      <c r="J503" t="str">
        <f>_xlfn.XLOOKUP(B503,customer_orders!A:A,customer_orders!G:G)</f>
        <v>2026-w14</v>
      </c>
      <c r="K503">
        <f>IFERROR(_xlfn.XLOOKUP(B503,shipments!B:B,shipments!H:H),0)</f>
        <v>116.54</v>
      </c>
      <c r="L503">
        <f t="shared" si="22"/>
        <v>0.13</v>
      </c>
      <c r="M503" t="str">
        <f>_xlfn.XLOOKUP(B503,customer_orders!A:A,customer_orders!D:D)</f>
        <v>Ebay</v>
      </c>
      <c r="N503" t="str">
        <f>_xlfn.XLOOKUP(C503,inventory!B:B,inventory!C:C)</f>
        <v>Salt Lake City</v>
      </c>
      <c r="O503">
        <f>IF(_xlfn.XLOOKUP(C503,products!A:A,products!E:E)="NULL",0,_xlfn.XLOOKUP(C503,products!A:A,products!E:E))</f>
        <v>36.76</v>
      </c>
      <c r="P503">
        <f t="shared" si="23"/>
        <v>872.33999999999992</v>
      </c>
      <c r="Q503" s="2" t="str">
        <f>_xlfn.XLOOKUP(I503,products!B:B,products!D:D)</f>
        <v>Pet</v>
      </c>
    </row>
    <row r="504" spans="1:17">
      <c r="A504">
        <v>503</v>
      </c>
      <c r="B504">
        <v>1207</v>
      </c>
      <c r="C504">
        <v>104</v>
      </c>
      <c r="D504">
        <v>8</v>
      </c>
      <c r="E504">
        <v>199.55</v>
      </c>
      <c r="F504">
        <v>11.76</v>
      </c>
      <c r="G504">
        <f t="shared" si="21"/>
        <v>1584.64</v>
      </c>
      <c r="H504" t="str">
        <f>_xlfn.XLOOKUP(B504,customer_orders!A:A,customer_orders!F:F)</f>
        <v>2026-03</v>
      </c>
      <c r="I504" t="str">
        <f>_xlfn.XLOOKUP(C504,products!A:A,products!B:B)</f>
        <v>SKU-0104</v>
      </c>
      <c r="J504" t="str">
        <f>_xlfn.XLOOKUP(B504,customer_orders!A:A,customer_orders!G:G)</f>
        <v>2026-w14</v>
      </c>
      <c r="K504">
        <f>IFERROR(_xlfn.XLOOKUP(B504,shipments!B:B,shipments!H:H),0)</f>
        <v>116.54</v>
      </c>
      <c r="L504">
        <f t="shared" si="22"/>
        <v>7.0000000000000007E-2</v>
      </c>
      <c r="M504" t="str">
        <f>_xlfn.XLOOKUP(B504,customer_orders!A:A,customer_orders!D:D)</f>
        <v>Ebay</v>
      </c>
      <c r="N504" t="str">
        <f>_xlfn.XLOOKUP(C504,inventory!B:B,inventory!C:C)</f>
        <v>West Valley</v>
      </c>
      <c r="O504">
        <f>IF(_xlfn.XLOOKUP(C504,products!A:A,products!E:E)="NULL",0,_xlfn.XLOOKUP(C504,products!A:A,products!E:E))</f>
        <v>17.07</v>
      </c>
      <c r="P504">
        <f t="shared" si="23"/>
        <v>1567.5700000000002</v>
      </c>
      <c r="Q504" s="2" t="str">
        <f>_xlfn.XLOOKUP(I504,products!B:B,products!D:D)</f>
        <v>Office</v>
      </c>
    </row>
    <row r="505" spans="1:17">
      <c r="A505">
        <v>504</v>
      </c>
      <c r="B505">
        <v>1208</v>
      </c>
      <c r="C505">
        <v>145</v>
      </c>
      <c r="D505">
        <v>8</v>
      </c>
      <c r="E505">
        <v>172.39</v>
      </c>
      <c r="F505">
        <v>0</v>
      </c>
      <c r="G505">
        <f t="shared" si="21"/>
        <v>1379.12</v>
      </c>
      <c r="H505" t="str">
        <f>_xlfn.XLOOKUP(B505,customer_orders!A:A,customer_orders!F:F)</f>
        <v>2026-05</v>
      </c>
      <c r="I505" t="str">
        <f>_xlfn.XLOOKUP(C505,products!A:A,products!B:B)</f>
        <v>SKU-0145</v>
      </c>
      <c r="J505" t="str">
        <f>_xlfn.XLOOKUP(B505,customer_orders!A:A,customer_orders!G:G)</f>
        <v>2026-w18</v>
      </c>
      <c r="K505">
        <f>IFERROR(_xlfn.XLOOKUP(B505,shipments!B:B,shipments!H:H),0)</f>
        <v>0</v>
      </c>
      <c r="L505">
        <f t="shared" si="22"/>
        <v>0</v>
      </c>
      <c r="M505" t="str">
        <f>_xlfn.XLOOKUP(B505,customer_orders!A:A,customer_orders!D:D)</f>
        <v>Amazon</v>
      </c>
      <c r="N505" t="str">
        <f>_xlfn.XLOOKUP(C505,inventory!B:B,inventory!C:C)</f>
        <v>West Valley</v>
      </c>
      <c r="O505">
        <f>IF(_xlfn.XLOOKUP(C505,products!A:A,products!E:E)="NULL",0,_xlfn.XLOOKUP(C505,products!A:A,products!E:E))</f>
        <v>101.4</v>
      </c>
      <c r="P505">
        <f t="shared" si="23"/>
        <v>1277.7199999999998</v>
      </c>
      <c r="Q505" s="2" t="str">
        <f>_xlfn.XLOOKUP(I505,products!B:B,products!D:D)</f>
        <v>Toys</v>
      </c>
    </row>
    <row r="506" spans="1:17">
      <c r="A506">
        <v>505</v>
      </c>
      <c r="B506">
        <v>1208</v>
      </c>
      <c r="C506">
        <v>123</v>
      </c>
      <c r="D506">
        <v>1</v>
      </c>
      <c r="E506">
        <v>210.64</v>
      </c>
      <c r="F506">
        <v>0</v>
      </c>
      <c r="G506">
        <f t="shared" si="21"/>
        <v>210.64</v>
      </c>
      <c r="H506" t="str">
        <f>_xlfn.XLOOKUP(B506,customer_orders!A:A,customer_orders!F:F)</f>
        <v>2026-05</v>
      </c>
      <c r="I506" t="str">
        <f>_xlfn.XLOOKUP(C506,products!A:A,products!B:B)</f>
        <v>SKU-0123</v>
      </c>
      <c r="J506" t="str">
        <f>_xlfn.XLOOKUP(B506,customer_orders!A:A,customer_orders!G:G)</f>
        <v>2026-w18</v>
      </c>
      <c r="K506">
        <f>IFERROR(_xlfn.XLOOKUP(B506,shipments!B:B,shipments!H:H),0)</f>
        <v>0</v>
      </c>
      <c r="L506">
        <f t="shared" si="22"/>
        <v>0</v>
      </c>
      <c r="M506" t="str">
        <f>_xlfn.XLOOKUP(B506,customer_orders!A:A,customer_orders!D:D)</f>
        <v>Amazon</v>
      </c>
      <c r="N506" t="str">
        <f>_xlfn.XLOOKUP(C506,inventory!B:B,inventory!C:C)</f>
        <v>Lehi</v>
      </c>
      <c r="O506">
        <f>IF(_xlfn.XLOOKUP(C506,products!A:A,products!E:E)="NULL",0,_xlfn.XLOOKUP(C506,products!A:A,products!E:E))</f>
        <v>105.98</v>
      </c>
      <c r="P506">
        <f t="shared" si="23"/>
        <v>104.65999999999998</v>
      </c>
      <c r="Q506" s="2" t="str">
        <f>_xlfn.XLOOKUP(I506,products!B:B,products!D:D)</f>
        <v>Pet</v>
      </c>
    </row>
    <row r="507" spans="1:17">
      <c r="A507">
        <v>506</v>
      </c>
      <c r="B507">
        <v>1209</v>
      </c>
      <c r="C507">
        <v>24</v>
      </c>
      <c r="D507">
        <v>6</v>
      </c>
      <c r="E507">
        <v>20.55</v>
      </c>
      <c r="F507">
        <v>0</v>
      </c>
      <c r="G507">
        <f t="shared" si="21"/>
        <v>123.30000000000001</v>
      </c>
      <c r="H507" t="str">
        <f>_xlfn.XLOOKUP(B507,customer_orders!A:A,customer_orders!F:F)</f>
        <v>2026-04</v>
      </c>
      <c r="I507" t="str">
        <f>_xlfn.XLOOKUP(C507,products!A:A,products!B:B)</f>
        <v>SKU-0024</v>
      </c>
      <c r="J507" t="str">
        <f>_xlfn.XLOOKUP(B507,customer_orders!A:A,customer_orders!G:G)</f>
        <v>2026-w16</v>
      </c>
      <c r="K507">
        <f>IFERROR(_xlfn.XLOOKUP(B507,shipments!B:B,shipments!H:H),0)</f>
        <v>117.2</v>
      </c>
      <c r="L507">
        <f t="shared" si="22"/>
        <v>0.95</v>
      </c>
      <c r="M507" t="str">
        <f>_xlfn.XLOOKUP(B507,customer_orders!A:A,customer_orders!D:D)</f>
        <v>Shopify</v>
      </c>
      <c r="N507" t="str">
        <f>_xlfn.XLOOKUP(C507,inventory!B:B,inventory!C:C)</f>
        <v>Draper</v>
      </c>
      <c r="O507">
        <f>IF(_xlfn.XLOOKUP(C507,products!A:A,products!E:E)="NULL",0,_xlfn.XLOOKUP(C507,products!A:A,products!E:E))</f>
        <v>61.73</v>
      </c>
      <c r="P507">
        <f t="shared" si="23"/>
        <v>61.570000000000014</v>
      </c>
      <c r="Q507" s="2" t="str">
        <f>_xlfn.XLOOKUP(I507,products!B:B,products!D:D)</f>
        <v>Electronics</v>
      </c>
    </row>
    <row r="508" spans="1:17">
      <c r="A508">
        <v>507</v>
      </c>
      <c r="B508">
        <v>1209</v>
      </c>
      <c r="C508">
        <v>150</v>
      </c>
      <c r="D508">
        <v>4</v>
      </c>
      <c r="E508">
        <v>100.09</v>
      </c>
      <c r="F508">
        <v>0</v>
      </c>
      <c r="G508">
        <f t="shared" si="21"/>
        <v>400.36</v>
      </c>
      <c r="H508" t="str">
        <f>_xlfn.XLOOKUP(B508,customer_orders!A:A,customer_orders!F:F)</f>
        <v>2026-04</v>
      </c>
      <c r="I508" t="str">
        <f>_xlfn.XLOOKUP(C508,products!A:A,products!B:B)</f>
        <v>SKU-0150</v>
      </c>
      <c r="J508" t="str">
        <f>_xlfn.XLOOKUP(B508,customer_orders!A:A,customer_orders!G:G)</f>
        <v>2026-w16</v>
      </c>
      <c r="K508">
        <f>IFERROR(_xlfn.XLOOKUP(B508,shipments!B:B,shipments!H:H),0)</f>
        <v>117.2</v>
      </c>
      <c r="L508">
        <f t="shared" si="22"/>
        <v>0.28999999999999998</v>
      </c>
      <c r="M508" t="str">
        <f>_xlfn.XLOOKUP(B508,customer_orders!A:A,customer_orders!D:D)</f>
        <v>Shopify</v>
      </c>
      <c r="N508" t="str">
        <f>_xlfn.XLOOKUP(C508,inventory!B:B,inventory!C:C)</f>
        <v>South Jordan</v>
      </c>
      <c r="O508">
        <f>IF(_xlfn.XLOOKUP(C508,products!A:A,products!E:E)="NULL",0,_xlfn.XLOOKUP(C508,products!A:A,products!E:E))</f>
        <v>54.5</v>
      </c>
      <c r="P508">
        <f t="shared" si="23"/>
        <v>345.86</v>
      </c>
      <c r="Q508" s="2" t="str">
        <f>_xlfn.XLOOKUP(I508,products!B:B,products!D:D)</f>
        <v>Sports</v>
      </c>
    </row>
    <row r="509" spans="1:17">
      <c r="A509">
        <v>508</v>
      </c>
      <c r="B509">
        <v>1209</v>
      </c>
      <c r="C509">
        <v>51</v>
      </c>
      <c r="D509">
        <v>1</v>
      </c>
      <c r="E509">
        <v>204.07</v>
      </c>
      <c r="F509">
        <v>2.17</v>
      </c>
      <c r="G509">
        <f t="shared" si="21"/>
        <v>201.9</v>
      </c>
      <c r="H509" t="str">
        <f>_xlfn.XLOOKUP(B509,customer_orders!A:A,customer_orders!F:F)</f>
        <v>2026-04</v>
      </c>
      <c r="I509" t="str">
        <f>_xlfn.XLOOKUP(C509,products!A:A,products!B:B)</f>
        <v>SKU-0051</v>
      </c>
      <c r="J509" t="str">
        <f>_xlfn.XLOOKUP(B509,customer_orders!A:A,customer_orders!G:G)</f>
        <v>2026-w16</v>
      </c>
      <c r="K509">
        <f>IFERROR(_xlfn.XLOOKUP(B509,shipments!B:B,shipments!H:H),0)</f>
        <v>117.2</v>
      </c>
      <c r="L509">
        <f t="shared" si="22"/>
        <v>0.57999999999999996</v>
      </c>
      <c r="M509" t="str">
        <f>_xlfn.XLOOKUP(B509,customer_orders!A:A,customer_orders!D:D)</f>
        <v>Shopify</v>
      </c>
      <c r="N509" t="str">
        <f>_xlfn.XLOOKUP(C509,inventory!B:B,inventory!C:C)</f>
        <v>South Jordan</v>
      </c>
      <c r="O509">
        <f>IF(_xlfn.XLOOKUP(C509,products!A:A,products!E:E)="NULL",0,_xlfn.XLOOKUP(C509,products!A:A,products!E:E))</f>
        <v>57.39</v>
      </c>
      <c r="P509">
        <f t="shared" si="23"/>
        <v>144.51</v>
      </c>
      <c r="Q509" s="2" t="str">
        <f>_xlfn.XLOOKUP(I509,products!B:B,products!D:D)</f>
        <v>Electronics</v>
      </c>
    </row>
    <row r="510" spans="1:17">
      <c r="A510">
        <v>509</v>
      </c>
      <c r="B510">
        <v>1210</v>
      </c>
      <c r="C510">
        <v>38</v>
      </c>
      <c r="D510">
        <v>7</v>
      </c>
      <c r="E510">
        <v>256.88</v>
      </c>
      <c r="F510">
        <v>0</v>
      </c>
      <c r="G510">
        <f t="shared" si="21"/>
        <v>1798.1599999999999</v>
      </c>
      <c r="H510" t="str">
        <f>_xlfn.XLOOKUP(B510,customer_orders!A:A,customer_orders!F:F)</f>
        <v>2026-05</v>
      </c>
      <c r="I510" t="str">
        <f>_xlfn.XLOOKUP(C510,products!A:A,products!B:B)</f>
        <v>SKU-0038</v>
      </c>
      <c r="J510" t="str">
        <f>_xlfn.XLOOKUP(B510,customer_orders!A:A,customer_orders!G:G)</f>
        <v>2026-w20</v>
      </c>
      <c r="K510">
        <f>IFERROR(_xlfn.XLOOKUP(B510,shipments!B:B,shipments!H:H),0)</f>
        <v>73.36</v>
      </c>
      <c r="L510">
        <f t="shared" si="22"/>
        <v>0.04</v>
      </c>
      <c r="M510" t="str">
        <f>_xlfn.XLOOKUP(B510,customer_orders!A:A,customer_orders!D:D)</f>
        <v>Shopify</v>
      </c>
      <c r="N510" t="str">
        <f>_xlfn.XLOOKUP(C510,inventory!B:B,inventory!C:C)</f>
        <v>Unknown</v>
      </c>
      <c r="O510">
        <f>IF(_xlfn.XLOOKUP(C510,products!A:A,products!E:E)="NULL",0,_xlfn.XLOOKUP(C510,products!A:A,products!E:E))</f>
        <v>167.11</v>
      </c>
      <c r="P510">
        <f t="shared" si="23"/>
        <v>1631.0499999999997</v>
      </c>
      <c r="Q510" s="2" t="str">
        <f>_xlfn.XLOOKUP(I510,products!B:B,products!D:D)</f>
        <v>Electronics</v>
      </c>
    </row>
    <row r="511" spans="1:17">
      <c r="A511">
        <v>510</v>
      </c>
      <c r="B511">
        <v>1210</v>
      </c>
      <c r="C511">
        <v>4</v>
      </c>
      <c r="D511">
        <v>5</v>
      </c>
      <c r="E511">
        <v>94.28</v>
      </c>
      <c r="F511">
        <v>0</v>
      </c>
      <c r="G511">
        <f t="shared" si="21"/>
        <v>471.4</v>
      </c>
      <c r="H511" t="str">
        <f>_xlfn.XLOOKUP(B511,customer_orders!A:A,customer_orders!F:F)</f>
        <v>2026-05</v>
      </c>
      <c r="I511" t="str">
        <f>_xlfn.XLOOKUP(C511,products!A:A,products!B:B)</f>
        <v>SKU-0004</v>
      </c>
      <c r="J511" t="str">
        <f>_xlfn.XLOOKUP(B511,customer_orders!A:A,customer_orders!G:G)</f>
        <v>2026-w20</v>
      </c>
      <c r="K511">
        <f>IFERROR(_xlfn.XLOOKUP(B511,shipments!B:B,shipments!H:H),0)</f>
        <v>73.36</v>
      </c>
      <c r="L511">
        <f t="shared" si="22"/>
        <v>0.16</v>
      </c>
      <c r="M511" t="str">
        <f>_xlfn.XLOOKUP(B511,customer_orders!A:A,customer_orders!D:D)</f>
        <v>Shopify</v>
      </c>
      <c r="N511" t="str">
        <f>_xlfn.XLOOKUP(C511,inventory!B:B,inventory!C:C)</f>
        <v>Draper</v>
      </c>
      <c r="O511">
        <f>IF(_xlfn.XLOOKUP(C511,products!A:A,products!E:E)="NULL",0,_xlfn.XLOOKUP(C511,products!A:A,products!E:E))</f>
        <v>83.61</v>
      </c>
      <c r="P511">
        <f t="shared" si="23"/>
        <v>387.78999999999996</v>
      </c>
      <c r="Q511" s="2" t="str">
        <f>_xlfn.XLOOKUP(I511,products!B:B,products!D:D)</f>
        <v>Office</v>
      </c>
    </row>
    <row r="512" spans="1:17">
      <c r="A512">
        <v>511</v>
      </c>
      <c r="B512">
        <v>1210</v>
      </c>
      <c r="C512">
        <v>115</v>
      </c>
      <c r="D512">
        <v>2</v>
      </c>
      <c r="E512">
        <v>80.7</v>
      </c>
      <c r="F512">
        <v>4.0199999999999996</v>
      </c>
      <c r="G512">
        <f t="shared" si="21"/>
        <v>157.38</v>
      </c>
      <c r="H512" t="str">
        <f>_xlfn.XLOOKUP(B512,customer_orders!A:A,customer_orders!F:F)</f>
        <v>2026-05</v>
      </c>
      <c r="I512" t="str">
        <f>_xlfn.XLOOKUP(C512,products!A:A,products!B:B)</f>
        <v>SKU-0115</v>
      </c>
      <c r="J512" t="str">
        <f>_xlfn.XLOOKUP(B512,customer_orders!A:A,customer_orders!G:G)</f>
        <v>2026-w20</v>
      </c>
      <c r="K512">
        <f>IFERROR(_xlfn.XLOOKUP(B512,shipments!B:B,shipments!H:H),0)</f>
        <v>73.36</v>
      </c>
      <c r="L512">
        <f t="shared" si="22"/>
        <v>0.47</v>
      </c>
      <c r="M512" t="str">
        <f>_xlfn.XLOOKUP(B512,customer_orders!A:A,customer_orders!D:D)</f>
        <v>Shopify</v>
      </c>
      <c r="N512" t="str">
        <f>_xlfn.XLOOKUP(C512,inventory!B:B,inventory!C:C)</f>
        <v>West Valley</v>
      </c>
      <c r="O512">
        <f>IF(_xlfn.XLOOKUP(C512,products!A:A,products!E:E)="NULL",0,_xlfn.XLOOKUP(C512,products!A:A,products!E:E))</f>
        <v>58.66</v>
      </c>
      <c r="P512">
        <f t="shared" si="23"/>
        <v>98.72</v>
      </c>
      <c r="Q512" s="2" t="str">
        <f>_xlfn.XLOOKUP(I512,products!B:B,products!D:D)</f>
        <v>Pet</v>
      </c>
    </row>
    <row r="513" spans="1:17">
      <c r="A513">
        <v>512</v>
      </c>
      <c r="B513">
        <v>1210</v>
      </c>
      <c r="C513">
        <v>107</v>
      </c>
      <c r="D513">
        <v>8</v>
      </c>
      <c r="E513">
        <v>223.34</v>
      </c>
      <c r="F513">
        <v>5.04</v>
      </c>
      <c r="G513">
        <f t="shared" si="21"/>
        <v>1781.68</v>
      </c>
      <c r="H513" t="str">
        <f>_xlfn.XLOOKUP(B513,customer_orders!A:A,customer_orders!F:F)</f>
        <v>2026-05</v>
      </c>
      <c r="I513" t="str">
        <f>_xlfn.XLOOKUP(C513,products!A:A,products!B:B)</f>
        <v>SKU-0107</v>
      </c>
      <c r="J513" t="str">
        <f>_xlfn.XLOOKUP(B513,customer_orders!A:A,customer_orders!G:G)</f>
        <v>2026-w20</v>
      </c>
      <c r="K513">
        <f>IFERROR(_xlfn.XLOOKUP(B513,shipments!B:B,shipments!H:H),0)</f>
        <v>73.36</v>
      </c>
      <c r="L513">
        <f t="shared" si="22"/>
        <v>0.04</v>
      </c>
      <c r="M513" t="str">
        <f>_xlfn.XLOOKUP(B513,customer_orders!A:A,customer_orders!D:D)</f>
        <v>Shopify</v>
      </c>
      <c r="N513" t="str">
        <f>_xlfn.XLOOKUP(C513,inventory!B:B,inventory!C:C)</f>
        <v>South Jordan</v>
      </c>
      <c r="O513">
        <f>IF(_xlfn.XLOOKUP(C513,products!A:A,products!E:E)="NULL",0,_xlfn.XLOOKUP(C513,products!A:A,products!E:E))</f>
        <v>81.23</v>
      </c>
      <c r="P513">
        <f t="shared" si="23"/>
        <v>1700.45</v>
      </c>
      <c r="Q513" s="2" t="str">
        <f>_xlfn.XLOOKUP(I513,products!B:B,products!D:D)</f>
        <v>Pet</v>
      </c>
    </row>
    <row r="514" spans="1:17">
      <c r="A514">
        <v>513</v>
      </c>
      <c r="B514">
        <v>1211</v>
      </c>
      <c r="C514">
        <v>2</v>
      </c>
      <c r="D514">
        <v>7</v>
      </c>
      <c r="E514">
        <v>135.25</v>
      </c>
      <c r="F514">
        <v>0</v>
      </c>
      <c r="G514">
        <f t="shared" si="21"/>
        <v>946.75</v>
      </c>
      <c r="H514" t="str">
        <f>_xlfn.XLOOKUP(B514,customer_orders!A:A,customer_orders!F:F)</f>
        <v>2026-03</v>
      </c>
      <c r="I514" t="str">
        <f>_xlfn.XLOOKUP(C514,products!A:A,products!B:B)</f>
        <v>SKU-0002</v>
      </c>
      <c r="J514" t="str">
        <f>_xlfn.XLOOKUP(B514,customer_orders!A:A,customer_orders!G:G)</f>
        <v>2026-w13</v>
      </c>
      <c r="K514">
        <f>IFERROR(_xlfn.XLOOKUP(B514,shipments!B:B,shipments!H:H),0)</f>
        <v>57.61</v>
      </c>
      <c r="L514">
        <f t="shared" si="22"/>
        <v>0.06</v>
      </c>
      <c r="M514" t="str">
        <f>_xlfn.XLOOKUP(B514,customer_orders!A:A,customer_orders!D:D)</f>
        <v>Amazon</v>
      </c>
      <c r="N514" t="str">
        <f>_xlfn.XLOOKUP(C514,inventory!B:B,inventory!C:C)</f>
        <v>South Jordan</v>
      </c>
      <c r="O514">
        <f>IF(_xlfn.XLOOKUP(C514,products!A:A,products!E:E)="NULL",0,_xlfn.XLOOKUP(C514,products!A:A,products!E:E))</f>
        <v>20.21</v>
      </c>
      <c r="P514">
        <f t="shared" si="23"/>
        <v>926.54</v>
      </c>
      <c r="Q514" s="2" t="str">
        <f>_xlfn.XLOOKUP(I514,products!B:B,products!D:D)</f>
        <v>Home</v>
      </c>
    </row>
    <row r="515" spans="1:17">
      <c r="A515">
        <v>514</v>
      </c>
      <c r="B515">
        <v>1212</v>
      </c>
      <c r="C515">
        <v>78</v>
      </c>
      <c r="D515">
        <v>5</v>
      </c>
      <c r="E515">
        <v>71.75</v>
      </c>
      <c r="F515">
        <v>7.92</v>
      </c>
      <c r="G515">
        <f t="shared" ref="G515:G578" si="24">E515*D515-F515</f>
        <v>350.83</v>
      </c>
      <c r="H515" t="str">
        <f>_xlfn.XLOOKUP(B515,customer_orders!A:A,customer_orders!F:F)</f>
        <v>2026-04</v>
      </c>
      <c r="I515" t="str">
        <f>_xlfn.XLOOKUP(C515,products!A:A,products!B:B)</f>
        <v>SKU-0078</v>
      </c>
      <c r="J515" t="str">
        <f>_xlfn.XLOOKUP(B515,customer_orders!A:A,customer_orders!G:G)</f>
        <v>2026-w15</v>
      </c>
      <c r="K515">
        <f>IFERROR(_xlfn.XLOOKUP(B515,shipments!B:B,shipments!H:H),0)</f>
        <v>0</v>
      </c>
      <c r="L515">
        <f t="shared" ref="L515:L578" si="25">ROUND(K515/G515,2)</f>
        <v>0</v>
      </c>
      <c r="M515" t="str">
        <f>_xlfn.XLOOKUP(B515,customer_orders!A:A,customer_orders!D:D)</f>
        <v>Amazon</v>
      </c>
      <c r="N515" t="str">
        <f>_xlfn.XLOOKUP(C515,inventory!B:B,inventory!C:C)</f>
        <v>Draper</v>
      </c>
      <c r="O515">
        <f>IF(_xlfn.XLOOKUP(C515,products!A:A,products!E:E)="NULL",0,_xlfn.XLOOKUP(C515,products!A:A,products!E:E))</f>
        <v>44.31</v>
      </c>
      <c r="P515">
        <f t="shared" ref="P515:P578" si="26">G515-O515</f>
        <v>306.52</v>
      </c>
      <c r="Q515" s="2" t="str">
        <f>_xlfn.XLOOKUP(I515,products!B:B,products!D:D)</f>
        <v>Beauty</v>
      </c>
    </row>
    <row r="516" spans="1:17">
      <c r="A516">
        <v>515</v>
      </c>
      <c r="B516">
        <v>1213</v>
      </c>
      <c r="C516">
        <v>32</v>
      </c>
      <c r="D516">
        <v>5</v>
      </c>
      <c r="E516">
        <v>221.16</v>
      </c>
      <c r="F516">
        <v>6.84</v>
      </c>
      <c r="G516">
        <f t="shared" si="24"/>
        <v>1098.96</v>
      </c>
      <c r="H516" t="str">
        <f>_xlfn.XLOOKUP(B516,customer_orders!A:A,customer_orders!F:F)</f>
        <v>2026-01</v>
      </c>
      <c r="I516" t="str">
        <f>_xlfn.XLOOKUP(C516,products!A:A,products!B:B)</f>
        <v>SKU-0032</v>
      </c>
      <c r="J516" t="str">
        <f>_xlfn.XLOOKUP(B516,customer_orders!A:A,customer_orders!G:G)</f>
        <v>2026-w01</v>
      </c>
      <c r="K516">
        <f>IFERROR(_xlfn.XLOOKUP(B516,shipments!B:B,shipments!H:H),0)</f>
        <v>117.01</v>
      </c>
      <c r="L516">
        <f t="shared" si="25"/>
        <v>0.11</v>
      </c>
      <c r="M516" t="str">
        <f>_xlfn.XLOOKUP(B516,customer_orders!A:A,customer_orders!D:D)</f>
        <v>Ebay</v>
      </c>
      <c r="N516" t="str">
        <f>_xlfn.XLOOKUP(C516,inventory!B:B,inventory!C:C)</f>
        <v>Salt Lake City</v>
      </c>
      <c r="O516">
        <f>IF(_xlfn.XLOOKUP(C516,products!A:A,products!E:E)="NULL",0,_xlfn.XLOOKUP(C516,products!A:A,products!E:E))</f>
        <v>99.37</v>
      </c>
      <c r="P516">
        <f t="shared" si="26"/>
        <v>999.59</v>
      </c>
      <c r="Q516" s="2" t="str">
        <f>_xlfn.XLOOKUP(I516,products!B:B,products!D:D)</f>
        <v>Pet</v>
      </c>
    </row>
    <row r="517" spans="1:17">
      <c r="A517">
        <v>516</v>
      </c>
      <c r="B517">
        <v>1213</v>
      </c>
      <c r="C517">
        <v>63</v>
      </c>
      <c r="D517">
        <v>1</v>
      </c>
      <c r="E517">
        <v>214.86</v>
      </c>
      <c r="F517">
        <v>0</v>
      </c>
      <c r="G517">
        <f t="shared" si="24"/>
        <v>214.86</v>
      </c>
      <c r="H517" t="str">
        <f>_xlfn.XLOOKUP(B517,customer_orders!A:A,customer_orders!F:F)</f>
        <v>2026-01</v>
      </c>
      <c r="I517" t="str">
        <f>_xlfn.XLOOKUP(C517,products!A:A,products!B:B)</f>
        <v>SKU-0063</v>
      </c>
      <c r="J517" t="str">
        <f>_xlfn.XLOOKUP(B517,customer_orders!A:A,customer_orders!G:G)</f>
        <v>2026-w01</v>
      </c>
      <c r="K517">
        <f>IFERROR(_xlfn.XLOOKUP(B517,shipments!B:B,shipments!H:H),0)</f>
        <v>117.01</v>
      </c>
      <c r="L517">
        <f t="shared" si="25"/>
        <v>0.54</v>
      </c>
      <c r="M517" t="str">
        <f>_xlfn.XLOOKUP(B517,customer_orders!A:A,customer_orders!D:D)</f>
        <v>Ebay</v>
      </c>
      <c r="N517" t="str">
        <f>_xlfn.XLOOKUP(C517,inventory!B:B,inventory!C:C)</f>
        <v>Salt Lake City</v>
      </c>
      <c r="O517">
        <f>IF(_xlfn.XLOOKUP(C517,products!A:A,products!E:E)="NULL",0,_xlfn.XLOOKUP(C517,products!A:A,products!E:E))</f>
        <v>32.86</v>
      </c>
      <c r="P517">
        <f t="shared" si="26"/>
        <v>182</v>
      </c>
      <c r="Q517" s="2" t="str">
        <f>_xlfn.XLOOKUP(I517,products!B:B,products!D:D)</f>
        <v>Beauty</v>
      </c>
    </row>
    <row r="518" spans="1:17">
      <c r="A518">
        <v>517</v>
      </c>
      <c r="B518">
        <v>1213</v>
      </c>
      <c r="C518">
        <v>127</v>
      </c>
      <c r="D518">
        <v>2</v>
      </c>
      <c r="E518">
        <v>38.14</v>
      </c>
      <c r="F518">
        <v>0</v>
      </c>
      <c r="G518">
        <f t="shared" si="24"/>
        <v>76.28</v>
      </c>
      <c r="H518" t="str">
        <f>_xlfn.XLOOKUP(B518,customer_orders!A:A,customer_orders!F:F)</f>
        <v>2026-01</v>
      </c>
      <c r="I518" t="str">
        <f>_xlfn.XLOOKUP(C518,products!A:A,products!B:B)</f>
        <v>SKU-0127</v>
      </c>
      <c r="J518" t="str">
        <f>_xlfn.XLOOKUP(B518,customer_orders!A:A,customer_orders!G:G)</f>
        <v>2026-w01</v>
      </c>
      <c r="K518">
        <f>IFERROR(_xlfn.XLOOKUP(B518,shipments!B:B,shipments!H:H),0)</f>
        <v>117.01</v>
      </c>
      <c r="L518">
        <f t="shared" si="25"/>
        <v>1.53</v>
      </c>
      <c r="M518" t="str">
        <f>_xlfn.XLOOKUP(B518,customer_orders!A:A,customer_orders!D:D)</f>
        <v>Ebay</v>
      </c>
      <c r="N518" t="str">
        <f>_xlfn.XLOOKUP(C518,inventory!B:B,inventory!C:C)</f>
        <v>South Jordan</v>
      </c>
      <c r="O518">
        <f>IF(_xlfn.XLOOKUP(C518,products!A:A,products!E:E)="NULL",0,_xlfn.XLOOKUP(C518,products!A:A,products!E:E))</f>
        <v>51.31</v>
      </c>
      <c r="P518">
        <f t="shared" si="26"/>
        <v>24.97</v>
      </c>
      <c r="Q518" s="2" t="str">
        <f>_xlfn.XLOOKUP(I518,products!B:B,products!D:D)</f>
        <v>Beauty</v>
      </c>
    </row>
    <row r="519" spans="1:17">
      <c r="A519">
        <v>518</v>
      </c>
      <c r="B519">
        <v>1213</v>
      </c>
      <c r="C519">
        <v>149</v>
      </c>
      <c r="D519">
        <v>8</v>
      </c>
      <c r="E519">
        <v>258.51</v>
      </c>
      <c r="F519">
        <v>0</v>
      </c>
      <c r="G519">
        <f t="shared" si="24"/>
        <v>2068.08</v>
      </c>
      <c r="H519" t="str">
        <f>_xlfn.XLOOKUP(B519,customer_orders!A:A,customer_orders!F:F)</f>
        <v>2026-01</v>
      </c>
      <c r="I519" t="str">
        <f>_xlfn.XLOOKUP(C519,products!A:A,products!B:B)</f>
        <v>SKU-0149</v>
      </c>
      <c r="J519" t="str">
        <f>_xlfn.XLOOKUP(B519,customer_orders!A:A,customer_orders!G:G)</f>
        <v>2026-w01</v>
      </c>
      <c r="K519">
        <f>IFERROR(_xlfn.XLOOKUP(B519,shipments!B:B,shipments!H:H),0)</f>
        <v>117.01</v>
      </c>
      <c r="L519">
        <f t="shared" si="25"/>
        <v>0.06</v>
      </c>
      <c r="M519" t="str">
        <f>_xlfn.XLOOKUP(B519,customer_orders!A:A,customer_orders!D:D)</f>
        <v>Ebay</v>
      </c>
      <c r="N519" t="str">
        <f>_xlfn.XLOOKUP(C519,inventory!B:B,inventory!C:C)</f>
        <v>South Jordan</v>
      </c>
      <c r="O519">
        <f>IF(_xlfn.XLOOKUP(C519,products!A:A,products!E:E)="NULL",0,_xlfn.XLOOKUP(C519,products!A:A,products!E:E))</f>
        <v>140.22</v>
      </c>
      <c r="P519">
        <f t="shared" si="26"/>
        <v>1927.86</v>
      </c>
      <c r="Q519" s="2" t="str">
        <f>_xlfn.XLOOKUP(I519,products!B:B,products!D:D)</f>
        <v>Home</v>
      </c>
    </row>
    <row r="520" spans="1:17">
      <c r="A520">
        <v>519</v>
      </c>
      <c r="B520">
        <v>1214</v>
      </c>
      <c r="C520">
        <v>119</v>
      </c>
      <c r="D520">
        <v>3</v>
      </c>
      <c r="E520">
        <v>27.97</v>
      </c>
      <c r="F520">
        <v>0</v>
      </c>
      <c r="G520">
        <f t="shared" si="24"/>
        <v>83.91</v>
      </c>
      <c r="H520" t="str">
        <f>_xlfn.XLOOKUP(B520,customer_orders!A:A,customer_orders!F:F)</f>
        <v>2026-02</v>
      </c>
      <c r="I520" t="str">
        <f>_xlfn.XLOOKUP(C520,products!A:A,products!B:B)</f>
        <v>SKU-0119</v>
      </c>
      <c r="J520" t="str">
        <f>_xlfn.XLOOKUP(B520,customer_orders!A:A,customer_orders!G:G)</f>
        <v>2026-w07</v>
      </c>
      <c r="K520">
        <f>IFERROR(_xlfn.XLOOKUP(B520,shipments!B:B,shipments!H:H),0)</f>
        <v>92.7</v>
      </c>
      <c r="L520">
        <f t="shared" si="25"/>
        <v>1.1000000000000001</v>
      </c>
      <c r="M520" t="str">
        <f>_xlfn.XLOOKUP(B520,customer_orders!A:A,customer_orders!D:D)</f>
        <v>Amazon</v>
      </c>
      <c r="N520" t="str">
        <f>_xlfn.XLOOKUP(C520,inventory!B:B,inventory!C:C)</f>
        <v>Lehi</v>
      </c>
      <c r="O520">
        <f>IF(_xlfn.XLOOKUP(C520,products!A:A,products!E:E)="NULL",0,_xlfn.XLOOKUP(C520,products!A:A,products!E:E))</f>
        <v>27.15</v>
      </c>
      <c r="P520">
        <f t="shared" si="26"/>
        <v>56.76</v>
      </c>
      <c r="Q520" s="2" t="str">
        <f>_xlfn.XLOOKUP(I520,products!B:B,products!D:D)</f>
        <v>Electronics</v>
      </c>
    </row>
    <row r="521" spans="1:17">
      <c r="A521">
        <v>520</v>
      </c>
      <c r="B521">
        <v>1214</v>
      </c>
      <c r="C521">
        <v>70</v>
      </c>
      <c r="D521">
        <v>6</v>
      </c>
      <c r="E521">
        <v>244.86</v>
      </c>
      <c r="F521">
        <v>0</v>
      </c>
      <c r="G521">
        <f t="shared" si="24"/>
        <v>1469.16</v>
      </c>
      <c r="H521" t="str">
        <f>_xlfn.XLOOKUP(B521,customer_orders!A:A,customer_orders!F:F)</f>
        <v>2026-02</v>
      </c>
      <c r="I521" t="str">
        <f>_xlfn.XLOOKUP(C521,products!A:A,products!B:B)</f>
        <v>SKU-0070</v>
      </c>
      <c r="J521" t="str">
        <f>_xlfn.XLOOKUP(B521,customer_orders!A:A,customer_orders!G:G)</f>
        <v>2026-w07</v>
      </c>
      <c r="K521">
        <f>IFERROR(_xlfn.XLOOKUP(B521,shipments!B:B,shipments!H:H),0)</f>
        <v>92.7</v>
      </c>
      <c r="L521">
        <f t="shared" si="25"/>
        <v>0.06</v>
      </c>
      <c r="M521" t="str">
        <f>_xlfn.XLOOKUP(B521,customer_orders!A:A,customer_orders!D:D)</f>
        <v>Amazon</v>
      </c>
      <c r="N521" t="str">
        <f>_xlfn.XLOOKUP(C521,inventory!B:B,inventory!C:C)</f>
        <v>Lehi</v>
      </c>
      <c r="O521">
        <f>IF(_xlfn.XLOOKUP(C521,products!A:A,products!E:E)="NULL",0,_xlfn.XLOOKUP(C521,products!A:A,products!E:E))</f>
        <v>95.99</v>
      </c>
      <c r="P521">
        <f t="shared" si="26"/>
        <v>1373.17</v>
      </c>
      <c r="Q521" s="2" t="str">
        <f>_xlfn.XLOOKUP(I521,products!B:B,products!D:D)</f>
        <v>Office</v>
      </c>
    </row>
    <row r="522" spans="1:17">
      <c r="A522">
        <v>521</v>
      </c>
      <c r="B522">
        <v>1214</v>
      </c>
      <c r="C522">
        <v>13</v>
      </c>
      <c r="D522">
        <v>5</v>
      </c>
      <c r="E522">
        <v>236.16</v>
      </c>
      <c r="F522">
        <v>0</v>
      </c>
      <c r="G522">
        <f t="shared" si="24"/>
        <v>1180.8</v>
      </c>
      <c r="H522" t="str">
        <f>_xlfn.XLOOKUP(B522,customer_orders!A:A,customer_orders!F:F)</f>
        <v>2026-02</v>
      </c>
      <c r="I522" t="str">
        <f>_xlfn.XLOOKUP(C522,products!A:A,products!B:B)</f>
        <v>SKU-0013</v>
      </c>
      <c r="J522" t="str">
        <f>_xlfn.XLOOKUP(B522,customer_orders!A:A,customer_orders!G:G)</f>
        <v>2026-w07</v>
      </c>
      <c r="K522">
        <f>IFERROR(_xlfn.XLOOKUP(B522,shipments!B:B,shipments!H:H),0)</f>
        <v>92.7</v>
      </c>
      <c r="L522">
        <f t="shared" si="25"/>
        <v>0.08</v>
      </c>
      <c r="M522" t="str">
        <f>_xlfn.XLOOKUP(B522,customer_orders!A:A,customer_orders!D:D)</f>
        <v>Amazon</v>
      </c>
      <c r="N522" t="str">
        <f>_xlfn.XLOOKUP(C522,inventory!B:B,inventory!C:C)</f>
        <v>Draper</v>
      </c>
      <c r="O522">
        <f>IF(_xlfn.XLOOKUP(C522,products!A:A,products!E:E)="NULL",0,_xlfn.XLOOKUP(C522,products!A:A,products!E:E))</f>
        <v>152.5</v>
      </c>
      <c r="P522">
        <f t="shared" si="26"/>
        <v>1028.3</v>
      </c>
      <c r="Q522" s="2" t="str">
        <f>_xlfn.XLOOKUP(I522,products!B:B,products!D:D)</f>
        <v>Beauty</v>
      </c>
    </row>
    <row r="523" spans="1:17">
      <c r="A523">
        <v>522</v>
      </c>
      <c r="B523">
        <v>1215</v>
      </c>
      <c r="C523">
        <v>25</v>
      </c>
      <c r="D523">
        <v>6</v>
      </c>
      <c r="E523">
        <v>265.23</v>
      </c>
      <c r="F523">
        <v>0</v>
      </c>
      <c r="G523">
        <f t="shared" si="24"/>
        <v>1591.38</v>
      </c>
      <c r="H523" t="str">
        <f>_xlfn.XLOOKUP(B523,customer_orders!A:A,customer_orders!F:F)</f>
        <v>2026-03</v>
      </c>
      <c r="I523" t="str">
        <f>_xlfn.XLOOKUP(C523,products!A:A,products!B:B)</f>
        <v>SKU-0025</v>
      </c>
      <c r="J523" t="str">
        <f>_xlfn.XLOOKUP(B523,customer_orders!A:A,customer_orders!G:G)</f>
        <v>2026-w12</v>
      </c>
      <c r="K523">
        <f>IFERROR(_xlfn.XLOOKUP(B523,shipments!B:B,shipments!H:H),0)</f>
        <v>100.46</v>
      </c>
      <c r="L523">
        <f t="shared" si="25"/>
        <v>0.06</v>
      </c>
      <c r="M523" t="str">
        <f>_xlfn.XLOOKUP(B523,customer_orders!A:A,customer_orders!D:D)</f>
        <v>Shopify</v>
      </c>
      <c r="N523" t="str">
        <f>_xlfn.XLOOKUP(C523,inventory!B:B,inventory!C:C)</f>
        <v>Salt Lake City</v>
      </c>
      <c r="O523">
        <f>IF(_xlfn.XLOOKUP(C523,products!A:A,products!E:E)="NULL",0,_xlfn.XLOOKUP(C523,products!A:A,products!E:E))</f>
        <v>15.14</v>
      </c>
      <c r="P523">
        <f t="shared" si="26"/>
        <v>1576.24</v>
      </c>
      <c r="Q523" s="2" t="str">
        <f>_xlfn.XLOOKUP(I523,products!B:B,products!D:D)</f>
        <v>Sports</v>
      </c>
    </row>
    <row r="524" spans="1:17">
      <c r="A524">
        <v>523</v>
      </c>
      <c r="B524">
        <v>1215</v>
      </c>
      <c r="C524">
        <v>36</v>
      </c>
      <c r="D524">
        <v>5</v>
      </c>
      <c r="E524">
        <v>94.39</v>
      </c>
      <c r="F524">
        <v>6.22</v>
      </c>
      <c r="G524">
        <f t="shared" si="24"/>
        <v>465.72999999999996</v>
      </c>
      <c r="H524" t="str">
        <f>_xlfn.XLOOKUP(B524,customer_orders!A:A,customer_orders!F:F)</f>
        <v>2026-03</v>
      </c>
      <c r="I524" t="str">
        <f>_xlfn.XLOOKUP(C524,products!A:A,products!B:B)</f>
        <v>SKU-0036</v>
      </c>
      <c r="J524" t="str">
        <f>_xlfn.XLOOKUP(B524,customer_orders!A:A,customer_orders!G:G)</f>
        <v>2026-w12</v>
      </c>
      <c r="K524">
        <f>IFERROR(_xlfn.XLOOKUP(B524,shipments!B:B,shipments!H:H),0)</f>
        <v>100.46</v>
      </c>
      <c r="L524">
        <f t="shared" si="25"/>
        <v>0.22</v>
      </c>
      <c r="M524" t="str">
        <f>_xlfn.XLOOKUP(B524,customer_orders!A:A,customer_orders!D:D)</f>
        <v>Shopify</v>
      </c>
      <c r="N524" t="str">
        <f>_xlfn.XLOOKUP(C524,inventory!B:B,inventory!C:C)</f>
        <v>Draper</v>
      </c>
      <c r="O524">
        <f>IF(_xlfn.XLOOKUP(C524,products!A:A,products!E:E)="NULL",0,_xlfn.XLOOKUP(C524,products!A:A,products!E:E))</f>
        <v>78.83</v>
      </c>
      <c r="P524">
        <f t="shared" si="26"/>
        <v>386.9</v>
      </c>
      <c r="Q524" s="2" t="str">
        <f>_xlfn.XLOOKUP(I524,products!B:B,products!D:D)</f>
        <v>Pet</v>
      </c>
    </row>
    <row r="525" spans="1:17">
      <c r="A525">
        <v>524</v>
      </c>
      <c r="B525">
        <v>1215</v>
      </c>
      <c r="C525">
        <v>106</v>
      </c>
      <c r="D525">
        <v>6</v>
      </c>
      <c r="E525">
        <v>65.2</v>
      </c>
      <c r="F525">
        <v>0</v>
      </c>
      <c r="G525">
        <f t="shared" si="24"/>
        <v>391.20000000000005</v>
      </c>
      <c r="H525" t="str">
        <f>_xlfn.XLOOKUP(B525,customer_orders!A:A,customer_orders!F:F)</f>
        <v>2026-03</v>
      </c>
      <c r="I525" t="str">
        <f>_xlfn.XLOOKUP(C525,products!A:A,products!B:B)</f>
        <v>SKU-0106</v>
      </c>
      <c r="J525" t="str">
        <f>_xlfn.XLOOKUP(B525,customer_orders!A:A,customer_orders!G:G)</f>
        <v>2026-w12</v>
      </c>
      <c r="K525">
        <f>IFERROR(_xlfn.XLOOKUP(B525,shipments!B:B,shipments!H:H),0)</f>
        <v>100.46</v>
      </c>
      <c r="L525">
        <f t="shared" si="25"/>
        <v>0.26</v>
      </c>
      <c r="M525" t="str">
        <f>_xlfn.XLOOKUP(B525,customer_orders!A:A,customer_orders!D:D)</f>
        <v>Shopify</v>
      </c>
      <c r="N525" t="str">
        <f>_xlfn.XLOOKUP(C525,inventory!B:B,inventory!C:C)</f>
        <v>Lehi</v>
      </c>
      <c r="O525">
        <f>IF(_xlfn.XLOOKUP(C525,products!A:A,products!E:E)="NULL",0,_xlfn.XLOOKUP(C525,products!A:A,products!E:E))</f>
        <v>0</v>
      </c>
      <c r="P525">
        <f t="shared" si="26"/>
        <v>391.20000000000005</v>
      </c>
      <c r="Q525" s="2" t="str">
        <f>_xlfn.XLOOKUP(I525,products!B:B,products!D:D)</f>
        <v>Toys</v>
      </c>
    </row>
    <row r="526" spans="1:17">
      <c r="A526">
        <v>525</v>
      </c>
      <c r="B526">
        <v>1216</v>
      </c>
      <c r="C526">
        <v>123</v>
      </c>
      <c r="D526">
        <v>6</v>
      </c>
      <c r="E526">
        <v>210.64</v>
      </c>
      <c r="F526">
        <v>0</v>
      </c>
      <c r="G526">
        <f t="shared" si="24"/>
        <v>1263.8399999999999</v>
      </c>
      <c r="H526" t="str">
        <f>_xlfn.XLOOKUP(B526,customer_orders!A:A,customer_orders!F:F)</f>
        <v>2026-04</v>
      </c>
      <c r="I526" t="str">
        <f>_xlfn.XLOOKUP(C526,products!A:A,products!B:B)</f>
        <v>SKU-0123</v>
      </c>
      <c r="J526" t="str">
        <f>_xlfn.XLOOKUP(B526,customer_orders!A:A,customer_orders!G:G)</f>
        <v>2026-w18</v>
      </c>
      <c r="K526">
        <f>IFERROR(_xlfn.XLOOKUP(B526,shipments!B:B,shipments!H:H),0)</f>
        <v>64.680000000000007</v>
      </c>
      <c r="L526">
        <f t="shared" si="25"/>
        <v>0.05</v>
      </c>
      <c r="M526" t="str">
        <f>_xlfn.XLOOKUP(B526,customer_orders!A:A,customer_orders!D:D)</f>
        <v>Amazon</v>
      </c>
      <c r="N526" t="str">
        <f>_xlfn.XLOOKUP(C526,inventory!B:B,inventory!C:C)</f>
        <v>Lehi</v>
      </c>
      <c r="O526">
        <f>IF(_xlfn.XLOOKUP(C526,products!A:A,products!E:E)="NULL",0,_xlfn.XLOOKUP(C526,products!A:A,products!E:E))</f>
        <v>105.98</v>
      </c>
      <c r="P526">
        <f t="shared" si="26"/>
        <v>1157.8599999999999</v>
      </c>
      <c r="Q526" s="2" t="str">
        <f>_xlfn.XLOOKUP(I526,products!B:B,products!D:D)</f>
        <v>Pet</v>
      </c>
    </row>
    <row r="527" spans="1:17">
      <c r="A527">
        <v>526</v>
      </c>
      <c r="B527">
        <v>1217</v>
      </c>
      <c r="C527">
        <v>59</v>
      </c>
      <c r="D527">
        <v>5</v>
      </c>
      <c r="E527">
        <v>48.83</v>
      </c>
      <c r="F527">
        <v>0</v>
      </c>
      <c r="G527">
        <f t="shared" si="24"/>
        <v>244.14999999999998</v>
      </c>
      <c r="H527" t="str">
        <f>_xlfn.XLOOKUP(B527,customer_orders!A:A,customer_orders!F:F)</f>
        <v>2026-01</v>
      </c>
      <c r="I527" t="str">
        <f>_xlfn.XLOOKUP(C527,products!A:A,products!B:B)</f>
        <v>SKU-0059</v>
      </c>
      <c r="J527" t="str">
        <f>_xlfn.XLOOKUP(B527,customer_orders!A:A,customer_orders!G:G)</f>
        <v>2026-w05</v>
      </c>
      <c r="K527">
        <f>IFERROR(_xlfn.XLOOKUP(B527,shipments!B:B,shipments!H:H),0)</f>
        <v>16.510000000000002</v>
      </c>
      <c r="L527">
        <f t="shared" si="25"/>
        <v>7.0000000000000007E-2</v>
      </c>
      <c r="M527" t="str">
        <f>_xlfn.XLOOKUP(B527,customer_orders!A:A,customer_orders!D:D)</f>
        <v>Shopify</v>
      </c>
      <c r="N527" t="str">
        <f>_xlfn.XLOOKUP(C527,inventory!B:B,inventory!C:C)</f>
        <v>Unknown</v>
      </c>
      <c r="O527">
        <f>IF(_xlfn.XLOOKUP(C527,products!A:A,products!E:E)="NULL",0,_xlfn.XLOOKUP(C527,products!A:A,products!E:E))</f>
        <v>162.32</v>
      </c>
      <c r="P527">
        <f t="shared" si="26"/>
        <v>81.829999999999984</v>
      </c>
      <c r="Q527" s="2" t="str">
        <f>_xlfn.XLOOKUP(I527,products!B:B,products!D:D)</f>
        <v>Sports</v>
      </c>
    </row>
    <row r="528" spans="1:17">
      <c r="A528">
        <v>527</v>
      </c>
      <c r="B528">
        <v>1217</v>
      </c>
      <c r="C528">
        <v>109</v>
      </c>
      <c r="D528">
        <v>2</v>
      </c>
      <c r="E528">
        <v>257.52</v>
      </c>
      <c r="F528">
        <v>2.09</v>
      </c>
      <c r="G528">
        <f t="shared" si="24"/>
        <v>512.94999999999993</v>
      </c>
      <c r="H528" t="str">
        <f>_xlfn.XLOOKUP(B528,customer_orders!A:A,customer_orders!F:F)</f>
        <v>2026-01</v>
      </c>
      <c r="I528" t="str">
        <f>_xlfn.XLOOKUP(C528,products!A:A,products!B:B)</f>
        <v>SKU-0109</v>
      </c>
      <c r="J528" t="str">
        <f>_xlfn.XLOOKUP(B528,customer_orders!A:A,customer_orders!G:G)</f>
        <v>2026-w05</v>
      </c>
      <c r="K528">
        <f>IFERROR(_xlfn.XLOOKUP(B528,shipments!B:B,shipments!H:H),0)</f>
        <v>16.510000000000002</v>
      </c>
      <c r="L528">
        <f t="shared" si="25"/>
        <v>0.03</v>
      </c>
      <c r="M528" t="str">
        <f>_xlfn.XLOOKUP(B528,customer_orders!A:A,customer_orders!D:D)</f>
        <v>Shopify</v>
      </c>
      <c r="N528" t="str">
        <f>_xlfn.XLOOKUP(C528,inventory!B:B,inventory!C:C)</f>
        <v>Draper</v>
      </c>
      <c r="O528">
        <f>IF(_xlfn.XLOOKUP(C528,products!A:A,products!E:E)="NULL",0,_xlfn.XLOOKUP(C528,products!A:A,products!E:E))</f>
        <v>10.02</v>
      </c>
      <c r="P528">
        <f t="shared" si="26"/>
        <v>502.92999999999995</v>
      </c>
      <c r="Q528" s="2" t="str">
        <f>_xlfn.XLOOKUP(I528,products!B:B,products!D:D)</f>
        <v>Office</v>
      </c>
    </row>
    <row r="529" spans="1:17">
      <c r="A529">
        <v>528</v>
      </c>
      <c r="B529">
        <v>1218</v>
      </c>
      <c r="C529">
        <v>3</v>
      </c>
      <c r="D529">
        <v>2</v>
      </c>
      <c r="E529">
        <v>22.56</v>
      </c>
      <c r="F529">
        <v>0</v>
      </c>
      <c r="G529">
        <f t="shared" si="24"/>
        <v>45.12</v>
      </c>
      <c r="H529" t="str">
        <f>_xlfn.XLOOKUP(B529,customer_orders!A:A,customer_orders!F:F)</f>
        <v>2026-01</v>
      </c>
      <c r="I529" t="str">
        <f>_xlfn.XLOOKUP(C529,products!A:A,products!B:B)</f>
        <v>SKU-0003</v>
      </c>
      <c r="J529" t="str">
        <f>_xlfn.XLOOKUP(B529,customer_orders!A:A,customer_orders!G:G)</f>
        <v>2026-w05</v>
      </c>
      <c r="K529">
        <f>IFERROR(_xlfn.XLOOKUP(B529,shipments!B:B,shipments!H:H),0)</f>
        <v>0</v>
      </c>
      <c r="L529">
        <f t="shared" si="25"/>
        <v>0</v>
      </c>
      <c r="M529" t="str">
        <f>_xlfn.XLOOKUP(B529,customer_orders!A:A,customer_orders!D:D)</f>
        <v>Amazon</v>
      </c>
      <c r="N529" t="str">
        <f>_xlfn.XLOOKUP(C529,inventory!B:B,inventory!C:C)</f>
        <v>South Jordan</v>
      </c>
      <c r="O529">
        <f>IF(_xlfn.XLOOKUP(C529,products!A:A,products!E:E)="NULL",0,_xlfn.XLOOKUP(C529,products!A:A,products!E:E))</f>
        <v>93.44</v>
      </c>
      <c r="P529">
        <f t="shared" si="26"/>
        <v>-48.32</v>
      </c>
      <c r="Q529" s="2" t="str">
        <f>_xlfn.XLOOKUP(I529,products!B:B,products!D:D)</f>
        <v>Beauty</v>
      </c>
    </row>
    <row r="530" spans="1:17">
      <c r="A530">
        <v>529</v>
      </c>
      <c r="B530">
        <v>1218</v>
      </c>
      <c r="C530">
        <v>52</v>
      </c>
      <c r="D530">
        <v>3</v>
      </c>
      <c r="E530">
        <v>59.3</v>
      </c>
      <c r="F530">
        <v>0</v>
      </c>
      <c r="G530">
        <f t="shared" si="24"/>
        <v>177.89999999999998</v>
      </c>
      <c r="H530" t="str">
        <f>_xlfn.XLOOKUP(B530,customer_orders!A:A,customer_orders!F:F)</f>
        <v>2026-01</v>
      </c>
      <c r="I530" t="str">
        <f>_xlfn.XLOOKUP(C530,products!A:A,products!B:B)</f>
        <v>SKU-0052</v>
      </c>
      <c r="J530" t="str">
        <f>_xlfn.XLOOKUP(B530,customer_orders!A:A,customer_orders!G:G)</f>
        <v>2026-w05</v>
      </c>
      <c r="K530">
        <f>IFERROR(_xlfn.XLOOKUP(B530,shipments!B:B,shipments!H:H),0)</f>
        <v>0</v>
      </c>
      <c r="L530">
        <f t="shared" si="25"/>
        <v>0</v>
      </c>
      <c r="M530" t="str">
        <f>_xlfn.XLOOKUP(B530,customer_orders!A:A,customer_orders!D:D)</f>
        <v>Amazon</v>
      </c>
      <c r="N530" t="str">
        <f>_xlfn.XLOOKUP(C530,inventory!B:B,inventory!C:C)</f>
        <v>Lehi</v>
      </c>
      <c r="O530">
        <f>IF(_xlfn.XLOOKUP(C530,products!A:A,products!E:E)="NULL",0,_xlfn.XLOOKUP(C530,products!A:A,products!E:E))</f>
        <v>134.91999999999999</v>
      </c>
      <c r="P530">
        <f t="shared" si="26"/>
        <v>42.97999999999999</v>
      </c>
      <c r="Q530" s="2" t="str">
        <f>_xlfn.XLOOKUP(I530,products!B:B,products!D:D)</f>
        <v>Home</v>
      </c>
    </row>
    <row r="531" spans="1:17">
      <c r="A531">
        <v>530</v>
      </c>
      <c r="B531">
        <v>1218</v>
      </c>
      <c r="C531">
        <v>24</v>
      </c>
      <c r="D531">
        <v>3</v>
      </c>
      <c r="E531">
        <v>20.55</v>
      </c>
      <c r="F531">
        <v>0</v>
      </c>
      <c r="G531">
        <f t="shared" si="24"/>
        <v>61.650000000000006</v>
      </c>
      <c r="H531" t="str">
        <f>_xlfn.XLOOKUP(B531,customer_orders!A:A,customer_orders!F:F)</f>
        <v>2026-01</v>
      </c>
      <c r="I531" t="str">
        <f>_xlfn.XLOOKUP(C531,products!A:A,products!B:B)</f>
        <v>SKU-0024</v>
      </c>
      <c r="J531" t="str">
        <f>_xlfn.XLOOKUP(B531,customer_orders!A:A,customer_orders!G:G)</f>
        <v>2026-w05</v>
      </c>
      <c r="K531">
        <f>IFERROR(_xlfn.XLOOKUP(B531,shipments!B:B,shipments!H:H),0)</f>
        <v>0</v>
      </c>
      <c r="L531">
        <f t="shared" si="25"/>
        <v>0</v>
      </c>
      <c r="M531" t="str">
        <f>_xlfn.XLOOKUP(B531,customer_orders!A:A,customer_orders!D:D)</f>
        <v>Amazon</v>
      </c>
      <c r="N531" t="str">
        <f>_xlfn.XLOOKUP(C531,inventory!B:B,inventory!C:C)</f>
        <v>Draper</v>
      </c>
      <c r="O531">
        <f>IF(_xlfn.XLOOKUP(C531,products!A:A,products!E:E)="NULL",0,_xlfn.XLOOKUP(C531,products!A:A,products!E:E))</f>
        <v>61.73</v>
      </c>
      <c r="P531">
        <f t="shared" si="26"/>
        <v>-7.9999999999991189E-2</v>
      </c>
      <c r="Q531" s="2" t="str">
        <f>_xlfn.XLOOKUP(I531,products!B:B,products!D:D)</f>
        <v>Electronics</v>
      </c>
    </row>
    <row r="532" spans="1:17">
      <c r="A532">
        <v>531</v>
      </c>
      <c r="B532">
        <v>1219</v>
      </c>
      <c r="C532">
        <v>130</v>
      </c>
      <c r="D532">
        <v>2</v>
      </c>
      <c r="E532">
        <v>193.14</v>
      </c>
      <c r="F532">
        <v>0</v>
      </c>
      <c r="G532">
        <f t="shared" si="24"/>
        <v>386.28</v>
      </c>
      <c r="H532" t="str">
        <f>_xlfn.XLOOKUP(B532,customer_orders!A:A,customer_orders!F:F)</f>
        <v>2026-03</v>
      </c>
      <c r="I532" t="str">
        <f>_xlfn.XLOOKUP(C532,products!A:A,products!B:B)</f>
        <v>SKU-0130</v>
      </c>
      <c r="J532" t="str">
        <f>_xlfn.XLOOKUP(B532,customer_orders!A:A,customer_orders!G:G)</f>
        <v>2026-w14</v>
      </c>
      <c r="K532">
        <f>IFERROR(_xlfn.XLOOKUP(B532,shipments!B:B,shipments!H:H),0)</f>
        <v>111.21</v>
      </c>
      <c r="L532">
        <f t="shared" si="25"/>
        <v>0.28999999999999998</v>
      </c>
      <c r="M532" t="str">
        <f>_xlfn.XLOOKUP(B532,customer_orders!A:A,customer_orders!D:D)</f>
        <v>Shopify</v>
      </c>
      <c r="N532" t="str">
        <f>_xlfn.XLOOKUP(C532,inventory!B:B,inventory!C:C)</f>
        <v>South Jordan</v>
      </c>
      <c r="O532">
        <f>IF(_xlfn.XLOOKUP(C532,products!A:A,products!E:E)="NULL",0,_xlfn.XLOOKUP(C532,products!A:A,products!E:E))</f>
        <v>142.87</v>
      </c>
      <c r="P532">
        <f t="shared" si="26"/>
        <v>243.40999999999997</v>
      </c>
      <c r="Q532" s="2" t="str">
        <f>_xlfn.XLOOKUP(I532,products!B:B,products!D:D)</f>
        <v>Beauty</v>
      </c>
    </row>
    <row r="533" spans="1:17">
      <c r="A533">
        <v>532</v>
      </c>
      <c r="B533">
        <v>1219</v>
      </c>
      <c r="C533">
        <v>136</v>
      </c>
      <c r="D533">
        <v>4</v>
      </c>
      <c r="E533">
        <v>230.54</v>
      </c>
      <c r="F533">
        <v>0</v>
      </c>
      <c r="G533">
        <f t="shared" si="24"/>
        <v>922.16</v>
      </c>
      <c r="H533" t="str">
        <f>_xlfn.XLOOKUP(B533,customer_orders!A:A,customer_orders!F:F)</f>
        <v>2026-03</v>
      </c>
      <c r="I533" t="str">
        <f>_xlfn.XLOOKUP(C533,products!A:A,products!B:B)</f>
        <v>SKU-0136</v>
      </c>
      <c r="J533" t="str">
        <f>_xlfn.XLOOKUP(B533,customer_orders!A:A,customer_orders!G:G)</f>
        <v>2026-w14</v>
      </c>
      <c r="K533">
        <f>IFERROR(_xlfn.XLOOKUP(B533,shipments!B:B,shipments!H:H),0)</f>
        <v>111.21</v>
      </c>
      <c r="L533">
        <f t="shared" si="25"/>
        <v>0.12</v>
      </c>
      <c r="M533" t="str">
        <f>_xlfn.XLOOKUP(B533,customer_orders!A:A,customer_orders!D:D)</f>
        <v>Shopify</v>
      </c>
      <c r="N533" t="str">
        <f>_xlfn.XLOOKUP(C533,inventory!B:B,inventory!C:C)</f>
        <v>South Jordan</v>
      </c>
      <c r="O533">
        <f>IF(_xlfn.XLOOKUP(C533,products!A:A,products!E:E)="NULL",0,_xlfn.XLOOKUP(C533,products!A:A,products!E:E))</f>
        <v>12.04</v>
      </c>
      <c r="P533">
        <f t="shared" si="26"/>
        <v>910.12</v>
      </c>
      <c r="Q533" s="2" t="str">
        <f>_xlfn.XLOOKUP(I533,products!B:B,products!D:D)</f>
        <v>Sports</v>
      </c>
    </row>
    <row r="534" spans="1:17">
      <c r="A534">
        <v>533</v>
      </c>
      <c r="B534">
        <v>1220</v>
      </c>
      <c r="C534">
        <v>91</v>
      </c>
      <c r="D534">
        <v>7</v>
      </c>
      <c r="E534">
        <v>170.65</v>
      </c>
      <c r="F534">
        <v>0</v>
      </c>
      <c r="G534">
        <f t="shared" si="24"/>
        <v>1194.55</v>
      </c>
      <c r="H534" t="str">
        <f>_xlfn.XLOOKUP(B534,customer_orders!A:A,customer_orders!F:F)</f>
        <v>2026-02</v>
      </c>
      <c r="I534" t="str">
        <f>_xlfn.XLOOKUP(C534,products!A:A,products!B:B)</f>
        <v>SKU-0091</v>
      </c>
      <c r="J534" t="str">
        <f>_xlfn.XLOOKUP(B534,customer_orders!A:A,customer_orders!G:G)</f>
        <v>2026-w08</v>
      </c>
      <c r="K534">
        <f>IFERROR(_xlfn.XLOOKUP(B534,shipments!B:B,shipments!H:H),0)</f>
        <v>64.290000000000006</v>
      </c>
      <c r="L534">
        <f t="shared" si="25"/>
        <v>0.05</v>
      </c>
      <c r="M534" t="str">
        <f>_xlfn.XLOOKUP(B534,customer_orders!A:A,customer_orders!D:D)</f>
        <v>Shopify</v>
      </c>
      <c r="N534" t="str">
        <f>_xlfn.XLOOKUP(C534,inventory!B:B,inventory!C:C)</f>
        <v>Salt Lake City</v>
      </c>
      <c r="O534">
        <f>IF(_xlfn.XLOOKUP(C534,products!A:A,products!E:E)="NULL",0,_xlfn.XLOOKUP(C534,products!A:A,products!E:E))</f>
        <v>135.82</v>
      </c>
      <c r="P534">
        <f t="shared" si="26"/>
        <v>1058.73</v>
      </c>
      <c r="Q534" s="2" t="str">
        <f>_xlfn.XLOOKUP(I534,products!B:B,products!D:D)</f>
        <v>Office</v>
      </c>
    </row>
    <row r="535" spans="1:17">
      <c r="A535">
        <v>534</v>
      </c>
      <c r="B535">
        <v>1220</v>
      </c>
      <c r="C535">
        <v>105</v>
      </c>
      <c r="D535">
        <v>2</v>
      </c>
      <c r="E535">
        <v>288.82</v>
      </c>
      <c r="F535">
        <v>0</v>
      </c>
      <c r="G535">
        <f t="shared" si="24"/>
        <v>577.64</v>
      </c>
      <c r="H535" t="str">
        <f>_xlfn.XLOOKUP(B535,customer_orders!A:A,customer_orders!F:F)</f>
        <v>2026-02</v>
      </c>
      <c r="I535" t="str">
        <f>_xlfn.XLOOKUP(C535,products!A:A,products!B:B)</f>
        <v>SKU-0105</v>
      </c>
      <c r="J535" t="str">
        <f>_xlfn.XLOOKUP(B535,customer_orders!A:A,customer_orders!G:G)</f>
        <v>2026-w08</v>
      </c>
      <c r="K535">
        <f>IFERROR(_xlfn.XLOOKUP(B535,shipments!B:B,shipments!H:H),0)</f>
        <v>64.290000000000006</v>
      </c>
      <c r="L535">
        <f t="shared" si="25"/>
        <v>0.11</v>
      </c>
      <c r="M535" t="str">
        <f>_xlfn.XLOOKUP(B535,customer_orders!A:A,customer_orders!D:D)</f>
        <v>Shopify</v>
      </c>
      <c r="N535" t="str">
        <f>_xlfn.XLOOKUP(C535,inventory!B:B,inventory!C:C)</f>
        <v>West Valley</v>
      </c>
      <c r="O535">
        <f>IF(_xlfn.XLOOKUP(C535,products!A:A,products!E:E)="NULL",0,_xlfn.XLOOKUP(C535,products!A:A,products!E:E))</f>
        <v>23.47</v>
      </c>
      <c r="P535">
        <f t="shared" si="26"/>
        <v>554.16999999999996</v>
      </c>
      <c r="Q535" s="2" t="str">
        <f>_xlfn.XLOOKUP(I535,products!B:B,products!D:D)</f>
        <v>Office</v>
      </c>
    </row>
    <row r="536" spans="1:17">
      <c r="A536">
        <v>535</v>
      </c>
      <c r="B536">
        <v>1221</v>
      </c>
      <c r="C536">
        <v>99</v>
      </c>
      <c r="D536">
        <v>5</v>
      </c>
      <c r="E536">
        <v>50.97</v>
      </c>
      <c r="F536">
        <v>0</v>
      </c>
      <c r="G536">
        <f t="shared" si="24"/>
        <v>254.85</v>
      </c>
      <c r="H536" t="str">
        <f>_xlfn.XLOOKUP(B536,customer_orders!A:A,customer_orders!F:F)</f>
        <v>2026-01</v>
      </c>
      <c r="I536" t="str">
        <f>_xlfn.XLOOKUP(C536,products!A:A,products!B:B)</f>
        <v>SKU-0099</v>
      </c>
      <c r="J536" t="str">
        <f>_xlfn.XLOOKUP(B536,customer_orders!A:A,customer_orders!G:G)</f>
        <v>2026-w03</v>
      </c>
      <c r="K536">
        <f>IFERROR(_xlfn.XLOOKUP(B536,shipments!B:B,shipments!H:H),0)</f>
        <v>68.25</v>
      </c>
      <c r="L536">
        <f t="shared" si="25"/>
        <v>0.27</v>
      </c>
      <c r="M536" t="str">
        <f>_xlfn.XLOOKUP(B536,customer_orders!A:A,customer_orders!D:D)</f>
        <v>Ebay</v>
      </c>
      <c r="N536" t="str">
        <f>_xlfn.XLOOKUP(C536,inventory!B:B,inventory!C:C)</f>
        <v>Lehi</v>
      </c>
      <c r="O536">
        <f>IF(_xlfn.XLOOKUP(C536,products!A:A,products!E:E)="NULL",0,_xlfn.XLOOKUP(C536,products!A:A,products!E:E))</f>
        <v>31.67</v>
      </c>
      <c r="P536">
        <f t="shared" si="26"/>
        <v>223.18</v>
      </c>
      <c r="Q536" s="2" t="str">
        <f>_xlfn.XLOOKUP(I536,products!B:B,products!D:D)</f>
        <v>Electronics</v>
      </c>
    </row>
    <row r="537" spans="1:17">
      <c r="A537">
        <v>536</v>
      </c>
      <c r="B537">
        <v>1222</v>
      </c>
      <c r="C537">
        <v>126</v>
      </c>
      <c r="D537">
        <v>2</v>
      </c>
      <c r="E537">
        <v>32.17</v>
      </c>
      <c r="F537">
        <v>0</v>
      </c>
      <c r="G537">
        <f t="shared" si="24"/>
        <v>64.34</v>
      </c>
      <c r="H537" t="str">
        <f>_xlfn.XLOOKUP(B537,customer_orders!A:A,customer_orders!F:F)</f>
        <v>2026-05</v>
      </c>
      <c r="I537" t="str">
        <f>_xlfn.XLOOKUP(C537,products!A:A,products!B:B)</f>
        <v>SKU-0126</v>
      </c>
      <c r="J537" t="str">
        <f>_xlfn.XLOOKUP(B537,customer_orders!A:A,customer_orders!G:G)</f>
        <v>2026-w18</v>
      </c>
      <c r="K537">
        <f>IFERROR(_xlfn.XLOOKUP(B537,shipments!B:B,shipments!H:H),0)</f>
        <v>50.47</v>
      </c>
      <c r="L537">
        <f t="shared" si="25"/>
        <v>0.78</v>
      </c>
      <c r="M537" t="str">
        <f>_xlfn.XLOOKUP(B537,customer_orders!A:A,customer_orders!D:D)</f>
        <v>Ebay</v>
      </c>
      <c r="N537" t="str">
        <f>_xlfn.XLOOKUP(C537,inventory!B:B,inventory!C:C)</f>
        <v>South Jordan</v>
      </c>
      <c r="O537">
        <f>IF(_xlfn.XLOOKUP(C537,products!A:A,products!E:E)="NULL",0,_xlfn.XLOOKUP(C537,products!A:A,products!E:E))</f>
        <v>104.51</v>
      </c>
      <c r="P537">
        <f t="shared" si="26"/>
        <v>-40.17</v>
      </c>
      <c r="Q537" s="2" t="str">
        <f>_xlfn.XLOOKUP(I537,products!B:B,products!D:D)</f>
        <v>Office</v>
      </c>
    </row>
    <row r="538" spans="1:17">
      <c r="A538">
        <v>537</v>
      </c>
      <c r="B538">
        <v>1223</v>
      </c>
      <c r="C538">
        <v>32</v>
      </c>
      <c r="D538">
        <v>4</v>
      </c>
      <c r="E538">
        <v>221.16</v>
      </c>
      <c r="F538">
        <v>12.73</v>
      </c>
      <c r="G538">
        <f t="shared" si="24"/>
        <v>871.91</v>
      </c>
      <c r="H538" t="str">
        <f>_xlfn.XLOOKUP(B538,customer_orders!A:A,customer_orders!F:F)</f>
        <v>2026-04</v>
      </c>
      <c r="I538" t="str">
        <f>_xlfn.XLOOKUP(C538,products!A:A,products!B:B)</f>
        <v>SKU-0032</v>
      </c>
      <c r="J538" t="str">
        <f>_xlfn.XLOOKUP(B538,customer_orders!A:A,customer_orders!G:G)</f>
        <v>2026-w14</v>
      </c>
      <c r="K538">
        <f>IFERROR(_xlfn.XLOOKUP(B538,shipments!B:B,shipments!H:H),0)</f>
        <v>60.76</v>
      </c>
      <c r="L538">
        <f t="shared" si="25"/>
        <v>7.0000000000000007E-2</v>
      </c>
      <c r="M538" t="str">
        <f>_xlfn.XLOOKUP(B538,customer_orders!A:A,customer_orders!D:D)</f>
        <v>Ebay</v>
      </c>
      <c r="N538" t="str">
        <f>_xlfn.XLOOKUP(C538,inventory!B:B,inventory!C:C)</f>
        <v>Salt Lake City</v>
      </c>
      <c r="O538">
        <f>IF(_xlfn.XLOOKUP(C538,products!A:A,products!E:E)="NULL",0,_xlfn.XLOOKUP(C538,products!A:A,products!E:E))</f>
        <v>99.37</v>
      </c>
      <c r="P538">
        <f t="shared" si="26"/>
        <v>772.54</v>
      </c>
      <c r="Q538" s="2" t="str">
        <f>_xlfn.XLOOKUP(I538,products!B:B,products!D:D)</f>
        <v>Pet</v>
      </c>
    </row>
    <row r="539" spans="1:17">
      <c r="A539">
        <v>538</v>
      </c>
      <c r="B539">
        <v>1223</v>
      </c>
      <c r="C539">
        <v>72</v>
      </c>
      <c r="D539">
        <v>5</v>
      </c>
      <c r="E539">
        <v>205.06</v>
      </c>
      <c r="F539">
        <v>11.59</v>
      </c>
      <c r="G539">
        <f t="shared" si="24"/>
        <v>1013.7099999999999</v>
      </c>
      <c r="H539" t="str">
        <f>_xlfn.XLOOKUP(B539,customer_orders!A:A,customer_orders!F:F)</f>
        <v>2026-04</v>
      </c>
      <c r="I539" t="str">
        <f>_xlfn.XLOOKUP(C539,products!A:A,products!B:B)</f>
        <v>SKU-0072</v>
      </c>
      <c r="J539" t="str">
        <f>_xlfn.XLOOKUP(B539,customer_orders!A:A,customer_orders!G:G)</f>
        <v>2026-w14</v>
      </c>
      <c r="K539">
        <f>IFERROR(_xlfn.XLOOKUP(B539,shipments!B:B,shipments!H:H),0)</f>
        <v>60.76</v>
      </c>
      <c r="L539">
        <f t="shared" si="25"/>
        <v>0.06</v>
      </c>
      <c r="M539" t="str">
        <f>_xlfn.XLOOKUP(B539,customer_orders!A:A,customer_orders!D:D)</f>
        <v>Ebay</v>
      </c>
      <c r="N539" t="str">
        <f>_xlfn.XLOOKUP(C539,inventory!B:B,inventory!C:C)</f>
        <v>Salt Lake City</v>
      </c>
      <c r="O539">
        <f>IF(_xlfn.XLOOKUP(C539,products!A:A,products!E:E)="NULL",0,_xlfn.XLOOKUP(C539,products!A:A,products!E:E))</f>
        <v>93.75</v>
      </c>
      <c r="P539">
        <f t="shared" si="26"/>
        <v>919.95999999999992</v>
      </c>
      <c r="Q539" s="2" t="str">
        <f>_xlfn.XLOOKUP(I539,products!B:B,products!D:D)</f>
        <v>Home</v>
      </c>
    </row>
    <row r="540" spans="1:17">
      <c r="A540">
        <v>539</v>
      </c>
      <c r="B540">
        <v>1223</v>
      </c>
      <c r="C540">
        <v>92</v>
      </c>
      <c r="D540">
        <v>8</v>
      </c>
      <c r="E540">
        <v>23.27</v>
      </c>
      <c r="F540">
        <v>10.33</v>
      </c>
      <c r="G540">
        <f t="shared" si="24"/>
        <v>175.82999999999998</v>
      </c>
      <c r="H540" t="str">
        <f>_xlfn.XLOOKUP(B540,customer_orders!A:A,customer_orders!F:F)</f>
        <v>2026-04</v>
      </c>
      <c r="I540" t="str">
        <f>_xlfn.XLOOKUP(C540,products!A:A,products!B:B)</f>
        <v>SKU-0092</v>
      </c>
      <c r="J540" t="str">
        <f>_xlfn.XLOOKUP(B540,customer_orders!A:A,customer_orders!G:G)</f>
        <v>2026-w14</v>
      </c>
      <c r="K540">
        <f>IFERROR(_xlfn.XLOOKUP(B540,shipments!B:B,shipments!H:H),0)</f>
        <v>60.76</v>
      </c>
      <c r="L540">
        <f t="shared" si="25"/>
        <v>0.35</v>
      </c>
      <c r="M540" t="str">
        <f>_xlfn.XLOOKUP(B540,customer_orders!A:A,customer_orders!D:D)</f>
        <v>Ebay</v>
      </c>
      <c r="N540" t="str">
        <f>_xlfn.XLOOKUP(C540,inventory!B:B,inventory!C:C)</f>
        <v>Salt Lake City</v>
      </c>
      <c r="O540">
        <f>IF(_xlfn.XLOOKUP(C540,products!A:A,products!E:E)="NULL",0,_xlfn.XLOOKUP(C540,products!A:A,products!E:E))</f>
        <v>81.27</v>
      </c>
      <c r="P540">
        <f t="shared" si="26"/>
        <v>94.559999999999988</v>
      </c>
      <c r="Q540" s="2" t="str">
        <f>_xlfn.XLOOKUP(I540,products!B:B,products!D:D)</f>
        <v>Beauty</v>
      </c>
    </row>
    <row r="541" spans="1:17">
      <c r="A541">
        <v>540</v>
      </c>
      <c r="B541">
        <v>1223</v>
      </c>
      <c r="C541">
        <v>125</v>
      </c>
      <c r="D541">
        <v>5</v>
      </c>
      <c r="E541">
        <v>273.92</v>
      </c>
      <c r="F541">
        <v>3.06</v>
      </c>
      <c r="G541">
        <f t="shared" si="24"/>
        <v>1366.5400000000002</v>
      </c>
      <c r="H541" t="str">
        <f>_xlfn.XLOOKUP(B541,customer_orders!A:A,customer_orders!F:F)</f>
        <v>2026-04</v>
      </c>
      <c r="I541" t="str">
        <f>_xlfn.XLOOKUP(C541,products!A:A,products!B:B)</f>
        <v>SKU-0125</v>
      </c>
      <c r="J541" t="str">
        <f>_xlfn.XLOOKUP(B541,customer_orders!A:A,customer_orders!G:G)</f>
        <v>2026-w14</v>
      </c>
      <c r="K541">
        <f>IFERROR(_xlfn.XLOOKUP(B541,shipments!B:B,shipments!H:H),0)</f>
        <v>60.76</v>
      </c>
      <c r="L541">
        <f t="shared" si="25"/>
        <v>0.04</v>
      </c>
      <c r="M541" t="str">
        <f>_xlfn.XLOOKUP(B541,customer_orders!A:A,customer_orders!D:D)</f>
        <v>Ebay</v>
      </c>
      <c r="N541" t="str">
        <f>_xlfn.XLOOKUP(C541,inventory!B:B,inventory!C:C)</f>
        <v>Draper</v>
      </c>
      <c r="O541">
        <f>IF(_xlfn.XLOOKUP(C541,products!A:A,products!E:E)="NULL",0,_xlfn.XLOOKUP(C541,products!A:A,products!E:E))</f>
        <v>71.569999999999993</v>
      </c>
      <c r="P541">
        <f t="shared" si="26"/>
        <v>1294.9700000000003</v>
      </c>
      <c r="Q541" s="2" t="str">
        <f>_xlfn.XLOOKUP(I541,products!B:B,products!D:D)</f>
        <v>Beauty</v>
      </c>
    </row>
    <row r="542" spans="1:17">
      <c r="A542">
        <v>541</v>
      </c>
      <c r="B542">
        <v>1224</v>
      </c>
      <c r="C542">
        <v>46</v>
      </c>
      <c r="D542">
        <v>7</v>
      </c>
      <c r="E542">
        <v>219.11</v>
      </c>
      <c r="F542">
        <v>0</v>
      </c>
      <c r="G542">
        <f t="shared" si="24"/>
        <v>1533.77</v>
      </c>
      <c r="H542" t="str">
        <f>_xlfn.XLOOKUP(B542,customer_orders!A:A,customer_orders!F:F)</f>
        <v>2026-01</v>
      </c>
      <c r="I542" t="str">
        <f>_xlfn.XLOOKUP(C542,products!A:A,products!B:B)</f>
        <v>SKU-0046</v>
      </c>
      <c r="J542" t="str">
        <f>_xlfn.XLOOKUP(B542,customer_orders!A:A,customer_orders!G:G)</f>
        <v>2026-w03</v>
      </c>
      <c r="K542">
        <f>IFERROR(_xlfn.XLOOKUP(B542,shipments!B:B,shipments!H:H),0)</f>
        <v>76.290000000000006</v>
      </c>
      <c r="L542">
        <f t="shared" si="25"/>
        <v>0.05</v>
      </c>
      <c r="M542" t="str">
        <f>_xlfn.XLOOKUP(B542,customer_orders!A:A,customer_orders!D:D)</f>
        <v>Walmart</v>
      </c>
      <c r="N542" t="str">
        <f>_xlfn.XLOOKUP(C542,inventory!B:B,inventory!C:C)</f>
        <v>Unknown</v>
      </c>
      <c r="O542">
        <f>IF(_xlfn.XLOOKUP(C542,products!A:A,products!E:E)="NULL",0,_xlfn.XLOOKUP(C542,products!A:A,products!E:E))</f>
        <v>40.75</v>
      </c>
      <c r="P542">
        <f t="shared" si="26"/>
        <v>1493.02</v>
      </c>
      <c r="Q542" s="2" t="str">
        <f>_xlfn.XLOOKUP(I542,products!B:B,products!D:D)</f>
        <v>Kitchen</v>
      </c>
    </row>
    <row r="543" spans="1:17">
      <c r="A543">
        <v>542</v>
      </c>
      <c r="B543">
        <v>1225</v>
      </c>
      <c r="C543">
        <v>130</v>
      </c>
      <c r="D543">
        <v>5</v>
      </c>
      <c r="E543">
        <v>193.14</v>
      </c>
      <c r="F543">
        <v>0</v>
      </c>
      <c r="G543">
        <f t="shared" si="24"/>
        <v>965.69999999999993</v>
      </c>
      <c r="H543" t="str">
        <f>_xlfn.XLOOKUP(B543,customer_orders!A:A,customer_orders!F:F)</f>
        <v>2026-02</v>
      </c>
      <c r="I543" t="str">
        <f>_xlfn.XLOOKUP(C543,products!A:A,products!B:B)</f>
        <v>SKU-0130</v>
      </c>
      <c r="J543" t="str">
        <f>_xlfn.XLOOKUP(B543,customer_orders!A:A,customer_orders!G:G)</f>
        <v>2026-w08</v>
      </c>
      <c r="K543">
        <f>IFERROR(_xlfn.XLOOKUP(B543,shipments!B:B,shipments!H:H),0)</f>
        <v>0</v>
      </c>
      <c r="L543">
        <f t="shared" si="25"/>
        <v>0</v>
      </c>
      <c r="M543" t="str">
        <f>_xlfn.XLOOKUP(B543,customer_orders!A:A,customer_orders!D:D)</f>
        <v>Shopify</v>
      </c>
      <c r="N543" t="str">
        <f>_xlfn.XLOOKUP(C543,inventory!B:B,inventory!C:C)</f>
        <v>South Jordan</v>
      </c>
      <c r="O543">
        <f>IF(_xlfn.XLOOKUP(C543,products!A:A,products!E:E)="NULL",0,_xlfn.XLOOKUP(C543,products!A:A,products!E:E))</f>
        <v>142.87</v>
      </c>
      <c r="P543">
        <f t="shared" si="26"/>
        <v>822.82999999999993</v>
      </c>
      <c r="Q543" s="2" t="str">
        <f>_xlfn.XLOOKUP(I543,products!B:B,products!D:D)</f>
        <v>Beauty</v>
      </c>
    </row>
    <row r="544" spans="1:17">
      <c r="A544">
        <v>543</v>
      </c>
      <c r="B544">
        <v>1225</v>
      </c>
      <c r="C544">
        <v>9</v>
      </c>
      <c r="D544">
        <v>7</v>
      </c>
      <c r="E544">
        <v>235.32</v>
      </c>
      <c r="F544">
        <v>0</v>
      </c>
      <c r="G544">
        <f t="shared" si="24"/>
        <v>1647.24</v>
      </c>
      <c r="H544" t="str">
        <f>_xlfn.XLOOKUP(B544,customer_orders!A:A,customer_orders!F:F)</f>
        <v>2026-02</v>
      </c>
      <c r="I544" t="str">
        <f>_xlfn.XLOOKUP(C544,products!A:A,products!B:B)</f>
        <v>SKU-0009</v>
      </c>
      <c r="J544" t="str">
        <f>_xlfn.XLOOKUP(B544,customer_orders!A:A,customer_orders!G:G)</f>
        <v>2026-w08</v>
      </c>
      <c r="K544">
        <f>IFERROR(_xlfn.XLOOKUP(B544,shipments!B:B,shipments!H:H),0)</f>
        <v>0</v>
      </c>
      <c r="L544">
        <f t="shared" si="25"/>
        <v>0</v>
      </c>
      <c r="M544" t="str">
        <f>_xlfn.XLOOKUP(B544,customer_orders!A:A,customer_orders!D:D)</f>
        <v>Shopify</v>
      </c>
      <c r="N544" t="str">
        <f>_xlfn.XLOOKUP(C544,inventory!B:B,inventory!C:C)</f>
        <v>Salt Lake City</v>
      </c>
      <c r="O544">
        <f>IF(_xlfn.XLOOKUP(C544,products!A:A,products!E:E)="NULL",0,_xlfn.XLOOKUP(C544,products!A:A,products!E:E))</f>
        <v>120.72</v>
      </c>
      <c r="P544">
        <f t="shared" si="26"/>
        <v>1526.52</v>
      </c>
      <c r="Q544" s="2" t="str">
        <f>_xlfn.XLOOKUP(I544,products!B:B,products!D:D)</f>
        <v>Home</v>
      </c>
    </row>
    <row r="545" spans="1:17">
      <c r="A545">
        <v>544</v>
      </c>
      <c r="B545">
        <v>1225</v>
      </c>
      <c r="C545">
        <v>99</v>
      </c>
      <c r="D545">
        <v>8</v>
      </c>
      <c r="E545">
        <v>50.97</v>
      </c>
      <c r="F545">
        <v>5.4</v>
      </c>
      <c r="G545">
        <f t="shared" si="24"/>
        <v>402.36</v>
      </c>
      <c r="H545" t="str">
        <f>_xlfn.XLOOKUP(B545,customer_orders!A:A,customer_orders!F:F)</f>
        <v>2026-02</v>
      </c>
      <c r="I545" t="str">
        <f>_xlfn.XLOOKUP(C545,products!A:A,products!B:B)</f>
        <v>SKU-0099</v>
      </c>
      <c r="J545" t="str">
        <f>_xlfn.XLOOKUP(B545,customer_orders!A:A,customer_orders!G:G)</f>
        <v>2026-w08</v>
      </c>
      <c r="K545">
        <f>IFERROR(_xlfn.XLOOKUP(B545,shipments!B:B,shipments!H:H),0)</f>
        <v>0</v>
      </c>
      <c r="L545">
        <f t="shared" si="25"/>
        <v>0</v>
      </c>
      <c r="M545" t="str">
        <f>_xlfn.XLOOKUP(B545,customer_orders!A:A,customer_orders!D:D)</f>
        <v>Shopify</v>
      </c>
      <c r="N545" t="str">
        <f>_xlfn.XLOOKUP(C545,inventory!B:B,inventory!C:C)</f>
        <v>Lehi</v>
      </c>
      <c r="O545">
        <f>IF(_xlfn.XLOOKUP(C545,products!A:A,products!E:E)="NULL",0,_xlfn.XLOOKUP(C545,products!A:A,products!E:E))</f>
        <v>31.67</v>
      </c>
      <c r="P545">
        <f t="shared" si="26"/>
        <v>370.69</v>
      </c>
      <c r="Q545" s="2" t="str">
        <f>_xlfn.XLOOKUP(I545,products!B:B,products!D:D)</f>
        <v>Electronics</v>
      </c>
    </row>
    <row r="546" spans="1:17">
      <c r="A546">
        <v>545</v>
      </c>
      <c r="B546">
        <v>1225</v>
      </c>
      <c r="C546">
        <v>114</v>
      </c>
      <c r="D546">
        <v>8</v>
      </c>
      <c r="E546">
        <v>171.86</v>
      </c>
      <c r="F546">
        <v>0</v>
      </c>
      <c r="G546">
        <f t="shared" si="24"/>
        <v>1374.88</v>
      </c>
      <c r="H546" t="str">
        <f>_xlfn.XLOOKUP(B546,customer_orders!A:A,customer_orders!F:F)</f>
        <v>2026-02</v>
      </c>
      <c r="I546" t="str">
        <f>_xlfn.XLOOKUP(C546,products!A:A,products!B:B)</f>
        <v>SKU-0114</v>
      </c>
      <c r="J546" t="str">
        <f>_xlfn.XLOOKUP(B546,customer_orders!A:A,customer_orders!G:G)</f>
        <v>2026-w08</v>
      </c>
      <c r="K546">
        <f>IFERROR(_xlfn.XLOOKUP(B546,shipments!B:B,shipments!H:H),0)</f>
        <v>0</v>
      </c>
      <c r="L546">
        <f t="shared" si="25"/>
        <v>0</v>
      </c>
      <c r="M546" t="str">
        <f>_xlfn.XLOOKUP(B546,customer_orders!A:A,customer_orders!D:D)</f>
        <v>Shopify</v>
      </c>
      <c r="N546" t="str">
        <f>_xlfn.XLOOKUP(C546,inventory!B:B,inventory!C:C)</f>
        <v>Salt Lake City</v>
      </c>
      <c r="O546">
        <f>IF(_xlfn.XLOOKUP(C546,products!A:A,products!E:E)="NULL",0,_xlfn.XLOOKUP(C546,products!A:A,products!E:E))</f>
        <v>179.41</v>
      </c>
      <c r="P546">
        <f t="shared" si="26"/>
        <v>1195.47</v>
      </c>
      <c r="Q546" s="2" t="str">
        <f>_xlfn.XLOOKUP(I546,products!B:B,products!D:D)</f>
        <v>Kitchen</v>
      </c>
    </row>
    <row r="547" spans="1:17">
      <c r="A547">
        <v>546</v>
      </c>
      <c r="B547">
        <v>1226</v>
      </c>
      <c r="C547">
        <v>35</v>
      </c>
      <c r="D547">
        <v>5</v>
      </c>
      <c r="E547">
        <v>46.14</v>
      </c>
      <c r="F547">
        <v>11.02</v>
      </c>
      <c r="G547">
        <f t="shared" si="24"/>
        <v>219.67999999999998</v>
      </c>
      <c r="H547" t="str">
        <f>_xlfn.XLOOKUP(B547,customer_orders!A:A,customer_orders!F:F)</f>
        <v>2026-03</v>
      </c>
      <c r="I547" t="str">
        <f>_xlfn.XLOOKUP(C547,products!A:A,products!B:B)</f>
        <v>SKU-0035</v>
      </c>
      <c r="J547" t="str">
        <f>_xlfn.XLOOKUP(B547,customer_orders!A:A,customer_orders!G:G)</f>
        <v>2026-w12</v>
      </c>
      <c r="K547">
        <f>IFERROR(_xlfn.XLOOKUP(B547,shipments!B:B,shipments!H:H),0)</f>
        <v>92.91</v>
      </c>
      <c r="L547">
        <f t="shared" si="25"/>
        <v>0.42</v>
      </c>
      <c r="M547" t="str">
        <f>_xlfn.XLOOKUP(B547,customer_orders!A:A,customer_orders!D:D)</f>
        <v>Shopify</v>
      </c>
      <c r="N547" t="str">
        <f>_xlfn.XLOOKUP(C547,inventory!B:B,inventory!C:C)</f>
        <v>Salt Lake City</v>
      </c>
      <c r="O547">
        <f>IF(_xlfn.XLOOKUP(C547,products!A:A,products!E:E)="NULL",0,_xlfn.XLOOKUP(C547,products!A:A,products!E:E))</f>
        <v>145.1</v>
      </c>
      <c r="P547">
        <f t="shared" si="26"/>
        <v>74.579999999999984</v>
      </c>
      <c r="Q547" s="2" t="str">
        <f>_xlfn.XLOOKUP(I547,products!B:B,products!D:D)</f>
        <v>Office</v>
      </c>
    </row>
    <row r="548" spans="1:17">
      <c r="A548">
        <v>547</v>
      </c>
      <c r="B548">
        <v>1226</v>
      </c>
      <c r="C548">
        <v>29</v>
      </c>
      <c r="D548">
        <v>8</v>
      </c>
      <c r="E548">
        <v>33.25</v>
      </c>
      <c r="F548">
        <v>10.24</v>
      </c>
      <c r="G548">
        <f t="shared" si="24"/>
        <v>255.76</v>
      </c>
      <c r="H548" t="str">
        <f>_xlfn.XLOOKUP(B548,customer_orders!A:A,customer_orders!F:F)</f>
        <v>2026-03</v>
      </c>
      <c r="I548" t="str">
        <f>_xlfn.XLOOKUP(C548,products!A:A,products!B:B)</f>
        <v>SKU-0029</v>
      </c>
      <c r="J548" t="str">
        <f>_xlfn.XLOOKUP(B548,customer_orders!A:A,customer_orders!G:G)</f>
        <v>2026-w12</v>
      </c>
      <c r="K548">
        <f>IFERROR(_xlfn.XLOOKUP(B548,shipments!B:B,shipments!H:H),0)</f>
        <v>92.91</v>
      </c>
      <c r="L548">
        <f t="shared" si="25"/>
        <v>0.36</v>
      </c>
      <c r="M548" t="str">
        <f>_xlfn.XLOOKUP(B548,customer_orders!A:A,customer_orders!D:D)</f>
        <v>Shopify</v>
      </c>
      <c r="N548" t="str">
        <f>_xlfn.XLOOKUP(C548,inventory!B:B,inventory!C:C)</f>
        <v>Salt Lake City</v>
      </c>
      <c r="O548">
        <f>IF(_xlfn.XLOOKUP(C548,products!A:A,products!E:E)="NULL",0,_xlfn.XLOOKUP(C548,products!A:A,products!E:E))</f>
        <v>48.38</v>
      </c>
      <c r="P548">
        <f t="shared" si="26"/>
        <v>207.38</v>
      </c>
      <c r="Q548" s="2" t="str">
        <f>_xlfn.XLOOKUP(I548,products!B:B,products!D:D)</f>
        <v>Pet</v>
      </c>
    </row>
    <row r="549" spans="1:17">
      <c r="A549">
        <v>548</v>
      </c>
      <c r="B549">
        <v>1226</v>
      </c>
      <c r="C549">
        <v>122</v>
      </c>
      <c r="D549">
        <v>3</v>
      </c>
      <c r="E549">
        <v>151.15</v>
      </c>
      <c r="F549">
        <v>8.09</v>
      </c>
      <c r="G549">
        <f t="shared" si="24"/>
        <v>445.36000000000007</v>
      </c>
      <c r="H549" t="str">
        <f>_xlfn.XLOOKUP(B549,customer_orders!A:A,customer_orders!F:F)</f>
        <v>2026-03</v>
      </c>
      <c r="I549" t="str">
        <f>_xlfn.XLOOKUP(C549,products!A:A,products!B:B)</f>
        <v>SKU-0122</v>
      </c>
      <c r="J549" t="str">
        <f>_xlfn.XLOOKUP(B549,customer_orders!A:A,customer_orders!G:G)</f>
        <v>2026-w12</v>
      </c>
      <c r="K549">
        <f>IFERROR(_xlfn.XLOOKUP(B549,shipments!B:B,shipments!H:H),0)</f>
        <v>92.91</v>
      </c>
      <c r="L549">
        <f t="shared" si="25"/>
        <v>0.21</v>
      </c>
      <c r="M549" t="str">
        <f>_xlfn.XLOOKUP(B549,customer_orders!A:A,customer_orders!D:D)</f>
        <v>Shopify</v>
      </c>
      <c r="N549" t="str">
        <f>_xlfn.XLOOKUP(C549,inventory!B:B,inventory!C:C)</f>
        <v>South Jordan</v>
      </c>
      <c r="O549">
        <f>IF(_xlfn.XLOOKUP(C549,products!A:A,products!E:E)="NULL",0,_xlfn.XLOOKUP(C549,products!A:A,products!E:E))</f>
        <v>169.69</v>
      </c>
      <c r="P549">
        <f t="shared" si="26"/>
        <v>275.67000000000007</v>
      </c>
      <c r="Q549" s="2" t="str">
        <f>_xlfn.XLOOKUP(I549,products!B:B,products!D:D)</f>
        <v>Electronics</v>
      </c>
    </row>
    <row r="550" spans="1:17">
      <c r="A550">
        <v>549</v>
      </c>
      <c r="B550">
        <v>1226</v>
      </c>
      <c r="C550">
        <v>68</v>
      </c>
      <c r="D550">
        <v>8</v>
      </c>
      <c r="E550">
        <v>138.85</v>
      </c>
      <c r="F550">
        <v>9.27</v>
      </c>
      <c r="G550">
        <f t="shared" si="24"/>
        <v>1101.53</v>
      </c>
      <c r="H550" t="str">
        <f>_xlfn.XLOOKUP(B550,customer_orders!A:A,customer_orders!F:F)</f>
        <v>2026-03</v>
      </c>
      <c r="I550" t="str">
        <f>_xlfn.XLOOKUP(C550,products!A:A,products!B:B)</f>
        <v>SKU-0068</v>
      </c>
      <c r="J550" t="str">
        <f>_xlfn.XLOOKUP(B550,customer_orders!A:A,customer_orders!G:G)</f>
        <v>2026-w12</v>
      </c>
      <c r="K550">
        <f>IFERROR(_xlfn.XLOOKUP(B550,shipments!B:B,shipments!H:H),0)</f>
        <v>92.91</v>
      </c>
      <c r="L550">
        <f t="shared" si="25"/>
        <v>0.08</v>
      </c>
      <c r="M550" t="str">
        <f>_xlfn.XLOOKUP(B550,customer_orders!A:A,customer_orders!D:D)</f>
        <v>Shopify</v>
      </c>
      <c r="N550" t="str">
        <f>_xlfn.XLOOKUP(C550,inventory!B:B,inventory!C:C)</f>
        <v>West Valley</v>
      </c>
      <c r="O550">
        <f>IF(_xlfn.XLOOKUP(C550,products!A:A,products!E:E)="NULL",0,_xlfn.XLOOKUP(C550,products!A:A,products!E:E))</f>
        <v>23.97</v>
      </c>
      <c r="P550">
        <f t="shared" si="26"/>
        <v>1077.56</v>
      </c>
      <c r="Q550" s="2" t="str">
        <f>_xlfn.XLOOKUP(I550,products!B:B,products!D:D)</f>
        <v>Sports</v>
      </c>
    </row>
    <row r="551" spans="1:17">
      <c r="A551">
        <v>550</v>
      </c>
      <c r="B551">
        <v>1227</v>
      </c>
      <c r="C551">
        <v>88</v>
      </c>
      <c r="D551">
        <v>7</v>
      </c>
      <c r="E551">
        <v>109.3</v>
      </c>
      <c r="F551">
        <v>0</v>
      </c>
      <c r="G551">
        <f t="shared" si="24"/>
        <v>765.1</v>
      </c>
      <c r="H551" t="str">
        <f>_xlfn.XLOOKUP(B551,customer_orders!A:A,customer_orders!F:F)</f>
        <v>2026-01</v>
      </c>
      <c r="I551" t="str">
        <f>_xlfn.XLOOKUP(C551,products!A:A,products!B:B)</f>
        <v>SKU-0088</v>
      </c>
      <c r="J551" t="str">
        <f>_xlfn.XLOOKUP(B551,customer_orders!A:A,customer_orders!G:G)</f>
        <v>2026-w03</v>
      </c>
      <c r="K551">
        <f>IFERROR(_xlfn.XLOOKUP(B551,shipments!B:B,shipments!H:H),0)</f>
        <v>10.55</v>
      </c>
      <c r="L551">
        <f t="shared" si="25"/>
        <v>0.01</v>
      </c>
      <c r="M551" t="str">
        <f>_xlfn.XLOOKUP(B551,customer_orders!A:A,customer_orders!D:D)</f>
        <v>Ebay</v>
      </c>
      <c r="N551" t="str">
        <f>_xlfn.XLOOKUP(C551,inventory!B:B,inventory!C:C)</f>
        <v>Salt Lake City</v>
      </c>
      <c r="O551">
        <f>IF(_xlfn.XLOOKUP(C551,products!A:A,products!E:E)="NULL",0,_xlfn.XLOOKUP(C551,products!A:A,products!E:E))</f>
        <v>77.599999999999994</v>
      </c>
      <c r="P551">
        <f t="shared" si="26"/>
        <v>687.5</v>
      </c>
      <c r="Q551" s="2" t="str">
        <f>_xlfn.XLOOKUP(I551,products!B:B,products!D:D)</f>
        <v>Beauty</v>
      </c>
    </row>
    <row r="552" spans="1:17">
      <c r="A552">
        <v>551</v>
      </c>
      <c r="B552">
        <v>1228</v>
      </c>
      <c r="C552">
        <v>87</v>
      </c>
      <c r="D552">
        <v>3</v>
      </c>
      <c r="E552">
        <v>124.17</v>
      </c>
      <c r="F552">
        <v>0</v>
      </c>
      <c r="G552">
        <f t="shared" si="24"/>
        <v>372.51</v>
      </c>
      <c r="H552" t="str">
        <f>_xlfn.XLOOKUP(B552,customer_orders!A:A,customer_orders!F:F)</f>
        <v>2026-01</v>
      </c>
      <c r="I552" t="str">
        <f>_xlfn.XLOOKUP(C552,products!A:A,products!B:B)</f>
        <v>SKU-0087</v>
      </c>
      <c r="J552" t="str">
        <f>_xlfn.XLOOKUP(B552,customer_orders!A:A,customer_orders!G:G)</f>
        <v>2026-w04</v>
      </c>
      <c r="K552">
        <f>IFERROR(_xlfn.XLOOKUP(B552,shipments!B:B,shipments!H:H),0)</f>
        <v>69.89</v>
      </c>
      <c r="L552">
        <f t="shared" si="25"/>
        <v>0.19</v>
      </c>
      <c r="M552" t="str">
        <f>_xlfn.XLOOKUP(B552,customer_orders!A:A,customer_orders!D:D)</f>
        <v>Amazon</v>
      </c>
      <c r="N552" t="str">
        <f>_xlfn.XLOOKUP(C552,inventory!B:B,inventory!C:C)</f>
        <v>Unknown</v>
      </c>
      <c r="O552">
        <f>IF(_xlfn.XLOOKUP(C552,products!A:A,products!E:E)="NULL",0,_xlfn.XLOOKUP(C552,products!A:A,products!E:E))</f>
        <v>31.4</v>
      </c>
      <c r="P552">
        <f t="shared" si="26"/>
        <v>341.11</v>
      </c>
      <c r="Q552" s="2" t="str">
        <f>_xlfn.XLOOKUP(I552,products!B:B,products!D:D)</f>
        <v>Home</v>
      </c>
    </row>
    <row r="553" spans="1:17">
      <c r="A553">
        <v>552</v>
      </c>
      <c r="B553">
        <v>1229</v>
      </c>
      <c r="C553">
        <v>83</v>
      </c>
      <c r="D553">
        <v>2</v>
      </c>
      <c r="E553">
        <v>269.23</v>
      </c>
      <c r="F553">
        <v>0</v>
      </c>
      <c r="G553">
        <f t="shared" si="24"/>
        <v>538.46</v>
      </c>
      <c r="H553" t="str">
        <f>_xlfn.XLOOKUP(B553,customer_orders!A:A,customer_orders!F:F)</f>
        <v>2026-01</v>
      </c>
      <c r="I553" t="str">
        <f>_xlfn.XLOOKUP(C553,products!A:A,products!B:B)</f>
        <v>SKU-0083</v>
      </c>
      <c r="J553" t="str">
        <f>_xlfn.XLOOKUP(B553,customer_orders!A:A,customer_orders!G:G)</f>
        <v>2026-w02</v>
      </c>
      <c r="K553">
        <f>IFERROR(_xlfn.XLOOKUP(B553,shipments!B:B,shipments!H:H),0)</f>
        <v>0</v>
      </c>
      <c r="L553">
        <f t="shared" si="25"/>
        <v>0</v>
      </c>
      <c r="M553" t="str">
        <f>_xlfn.XLOOKUP(B553,customer_orders!A:A,customer_orders!D:D)</f>
        <v>Walmart</v>
      </c>
      <c r="N553" t="str">
        <f>_xlfn.XLOOKUP(C553,inventory!B:B,inventory!C:C)</f>
        <v>Salt Lake City</v>
      </c>
      <c r="O553">
        <f>IF(_xlfn.XLOOKUP(C553,products!A:A,products!E:E)="NULL",0,_xlfn.XLOOKUP(C553,products!A:A,products!E:E))</f>
        <v>147.63</v>
      </c>
      <c r="P553">
        <f t="shared" si="26"/>
        <v>390.83000000000004</v>
      </c>
      <c r="Q553" s="2" t="str">
        <f>_xlfn.XLOOKUP(I553,products!B:B,products!D:D)</f>
        <v>Pet</v>
      </c>
    </row>
    <row r="554" spans="1:17">
      <c r="A554">
        <v>553</v>
      </c>
      <c r="B554">
        <v>1229</v>
      </c>
      <c r="C554">
        <v>53</v>
      </c>
      <c r="D554">
        <v>6</v>
      </c>
      <c r="E554">
        <v>73.03</v>
      </c>
      <c r="F554">
        <v>0</v>
      </c>
      <c r="G554">
        <f t="shared" si="24"/>
        <v>438.18</v>
      </c>
      <c r="H554" t="str">
        <f>_xlfn.XLOOKUP(B554,customer_orders!A:A,customer_orders!F:F)</f>
        <v>2026-01</v>
      </c>
      <c r="I554" t="str">
        <f>_xlfn.XLOOKUP(C554,products!A:A,products!B:B)</f>
        <v>SKU-0053</v>
      </c>
      <c r="J554" t="str">
        <f>_xlfn.XLOOKUP(B554,customer_orders!A:A,customer_orders!G:G)</f>
        <v>2026-w02</v>
      </c>
      <c r="K554">
        <f>IFERROR(_xlfn.XLOOKUP(B554,shipments!B:B,shipments!H:H),0)</f>
        <v>0</v>
      </c>
      <c r="L554">
        <f t="shared" si="25"/>
        <v>0</v>
      </c>
      <c r="M554" t="str">
        <f>_xlfn.XLOOKUP(B554,customer_orders!A:A,customer_orders!D:D)</f>
        <v>Walmart</v>
      </c>
      <c r="N554" t="str">
        <f>_xlfn.XLOOKUP(C554,inventory!B:B,inventory!C:C)</f>
        <v>Unknown</v>
      </c>
      <c r="O554">
        <f>IF(_xlfn.XLOOKUP(C554,products!A:A,products!E:E)="NULL",0,_xlfn.XLOOKUP(C554,products!A:A,products!E:E))</f>
        <v>0</v>
      </c>
      <c r="P554">
        <f t="shared" si="26"/>
        <v>438.18</v>
      </c>
      <c r="Q554" s="2" t="str">
        <f>_xlfn.XLOOKUP(I554,products!B:B,products!D:D)</f>
        <v>Beauty</v>
      </c>
    </row>
    <row r="555" spans="1:17">
      <c r="A555">
        <v>554</v>
      </c>
      <c r="B555">
        <v>1229</v>
      </c>
      <c r="C555">
        <v>43</v>
      </c>
      <c r="D555">
        <v>5</v>
      </c>
      <c r="E555">
        <v>277.02999999999997</v>
      </c>
      <c r="F555">
        <v>6.09</v>
      </c>
      <c r="G555">
        <f t="shared" si="24"/>
        <v>1379.06</v>
      </c>
      <c r="H555" t="str">
        <f>_xlfn.XLOOKUP(B555,customer_orders!A:A,customer_orders!F:F)</f>
        <v>2026-01</v>
      </c>
      <c r="I555" t="str">
        <f>_xlfn.XLOOKUP(C555,products!A:A,products!B:B)</f>
        <v>SKU-0043</v>
      </c>
      <c r="J555" t="str">
        <f>_xlfn.XLOOKUP(B555,customer_orders!A:A,customer_orders!G:G)</f>
        <v>2026-w02</v>
      </c>
      <c r="K555">
        <f>IFERROR(_xlfn.XLOOKUP(B555,shipments!B:B,shipments!H:H),0)</f>
        <v>0</v>
      </c>
      <c r="L555">
        <f t="shared" si="25"/>
        <v>0</v>
      </c>
      <c r="M555" t="str">
        <f>_xlfn.XLOOKUP(B555,customer_orders!A:A,customer_orders!D:D)</f>
        <v>Walmart</v>
      </c>
      <c r="N555" t="str">
        <f>_xlfn.XLOOKUP(C555,inventory!B:B,inventory!C:C)</f>
        <v>Draper</v>
      </c>
      <c r="O555">
        <f>IF(_xlfn.XLOOKUP(C555,products!A:A,products!E:E)="NULL",0,_xlfn.XLOOKUP(C555,products!A:A,products!E:E))</f>
        <v>88.44</v>
      </c>
      <c r="P555">
        <f t="shared" si="26"/>
        <v>1290.6199999999999</v>
      </c>
      <c r="Q555" s="2" t="str">
        <f>_xlfn.XLOOKUP(I555,products!B:B,products!D:D)</f>
        <v>Electronics</v>
      </c>
    </row>
    <row r="556" spans="1:17">
      <c r="A556">
        <v>555</v>
      </c>
      <c r="B556">
        <v>1229</v>
      </c>
      <c r="C556">
        <v>52</v>
      </c>
      <c r="D556">
        <v>8</v>
      </c>
      <c r="E556">
        <v>59.3</v>
      </c>
      <c r="F556">
        <v>0</v>
      </c>
      <c r="G556">
        <f t="shared" si="24"/>
        <v>474.4</v>
      </c>
      <c r="H556" t="str">
        <f>_xlfn.XLOOKUP(B556,customer_orders!A:A,customer_orders!F:F)</f>
        <v>2026-01</v>
      </c>
      <c r="I556" t="str">
        <f>_xlfn.XLOOKUP(C556,products!A:A,products!B:B)</f>
        <v>SKU-0052</v>
      </c>
      <c r="J556" t="str">
        <f>_xlfn.XLOOKUP(B556,customer_orders!A:A,customer_orders!G:G)</f>
        <v>2026-w02</v>
      </c>
      <c r="K556">
        <f>IFERROR(_xlfn.XLOOKUP(B556,shipments!B:B,shipments!H:H),0)</f>
        <v>0</v>
      </c>
      <c r="L556">
        <f t="shared" si="25"/>
        <v>0</v>
      </c>
      <c r="M556" t="str">
        <f>_xlfn.XLOOKUP(B556,customer_orders!A:A,customer_orders!D:D)</f>
        <v>Walmart</v>
      </c>
      <c r="N556" t="str">
        <f>_xlfn.XLOOKUP(C556,inventory!B:B,inventory!C:C)</f>
        <v>Lehi</v>
      </c>
      <c r="O556">
        <f>IF(_xlfn.XLOOKUP(C556,products!A:A,products!E:E)="NULL",0,_xlfn.XLOOKUP(C556,products!A:A,products!E:E))</f>
        <v>134.91999999999999</v>
      </c>
      <c r="P556">
        <f t="shared" si="26"/>
        <v>339.48</v>
      </c>
      <c r="Q556" s="2" t="str">
        <f>_xlfn.XLOOKUP(I556,products!B:B,products!D:D)</f>
        <v>Home</v>
      </c>
    </row>
    <row r="557" spans="1:17">
      <c r="A557">
        <v>556</v>
      </c>
      <c r="B557">
        <v>1230</v>
      </c>
      <c r="C557">
        <v>147</v>
      </c>
      <c r="D557">
        <v>7</v>
      </c>
      <c r="E557">
        <v>133.41</v>
      </c>
      <c r="F557">
        <v>0</v>
      </c>
      <c r="G557">
        <f t="shared" si="24"/>
        <v>933.87</v>
      </c>
      <c r="H557" t="str">
        <f>_xlfn.XLOOKUP(B557,customer_orders!A:A,customer_orders!F:F)</f>
        <v>2026-02</v>
      </c>
      <c r="I557" t="str">
        <f>_xlfn.XLOOKUP(C557,products!A:A,products!B:B)</f>
        <v>SKU-0147</v>
      </c>
      <c r="J557" t="str">
        <f>_xlfn.XLOOKUP(B557,customer_orders!A:A,customer_orders!G:G)</f>
        <v>2026-w09</v>
      </c>
      <c r="K557">
        <f>IFERROR(_xlfn.XLOOKUP(B557,shipments!B:B,shipments!H:H),0)</f>
        <v>0</v>
      </c>
      <c r="L557">
        <f t="shared" si="25"/>
        <v>0</v>
      </c>
      <c r="M557" t="str">
        <f>_xlfn.XLOOKUP(B557,customer_orders!A:A,customer_orders!D:D)</f>
        <v>Ebay</v>
      </c>
      <c r="N557" t="str">
        <f>_xlfn.XLOOKUP(C557,inventory!B:B,inventory!C:C)</f>
        <v>Draper</v>
      </c>
      <c r="O557">
        <f>IF(_xlfn.XLOOKUP(C557,products!A:A,products!E:E)="NULL",0,_xlfn.XLOOKUP(C557,products!A:A,products!E:E))</f>
        <v>128.44999999999999</v>
      </c>
      <c r="P557">
        <f t="shared" si="26"/>
        <v>805.42000000000007</v>
      </c>
      <c r="Q557" s="2" t="str">
        <f>_xlfn.XLOOKUP(I557,products!B:B,products!D:D)</f>
        <v>Sports</v>
      </c>
    </row>
    <row r="558" spans="1:17">
      <c r="A558">
        <v>557</v>
      </c>
      <c r="B558">
        <v>1230</v>
      </c>
      <c r="C558">
        <v>149</v>
      </c>
      <c r="D558">
        <v>2</v>
      </c>
      <c r="E558">
        <v>258.51</v>
      </c>
      <c r="F558">
        <v>0</v>
      </c>
      <c r="G558">
        <f t="shared" si="24"/>
        <v>517.02</v>
      </c>
      <c r="H558" t="str">
        <f>_xlfn.XLOOKUP(B558,customer_orders!A:A,customer_orders!F:F)</f>
        <v>2026-02</v>
      </c>
      <c r="I558" t="str">
        <f>_xlfn.XLOOKUP(C558,products!A:A,products!B:B)</f>
        <v>SKU-0149</v>
      </c>
      <c r="J558" t="str">
        <f>_xlfn.XLOOKUP(B558,customer_orders!A:A,customer_orders!G:G)</f>
        <v>2026-w09</v>
      </c>
      <c r="K558">
        <f>IFERROR(_xlfn.XLOOKUP(B558,shipments!B:B,shipments!H:H),0)</f>
        <v>0</v>
      </c>
      <c r="L558">
        <f t="shared" si="25"/>
        <v>0</v>
      </c>
      <c r="M558" t="str">
        <f>_xlfn.XLOOKUP(B558,customer_orders!A:A,customer_orders!D:D)</f>
        <v>Ebay</v>
      </c>
      <c r="N558" t="str">
        <f>_xlfn.XLOOKUP(C558,inventory!B:B,inventory!C:C)</f>
        <v>South Jordan</v>
      </c>
      <c r="O558">
        <f>IF(_xlfn.XLOOKUP(C558,products!A:A,products!E:E)="NULL",0,_xlfn.XLOOKUP(C558,products!A:A,products!E:E))</f>
        <v>140.22</v>
      </c>
      <c r="P558">
        <f t="shared" si="26"/>
        <v>376.79999999999995</v>
      </c>
      <c r="Q558" s="2" t="str">
        <f>_xlfn.XLOOKUP(I558,products!B:B,products!D:D)</f>
        <v>Home</v>
      </c>
    </row>
    <row r="559" spans="1:17">
      <c r="A559">
        <v>558</v>
      </c>
      <c r="B559">
        <v>1230</v>
      </c>
      <c r="C559">
        <v>18</v>
      </c>
      <c r="D559">
        <v>8</v>
      </c>
      <c r="E559">
        <v>60.59</v>
      </c>
      <c r="F559">
        <v>0</v>
      </c>
      <c r="G559">
        <f t="shared" si="24"/>
        <v>484.72</v>
      </c>
      <c r="H559" t="str">
        <f>_xlfn.XLOOKUP(B559,customer_orders!A:A,customer_orders!F:F)</f>
        <v>2026-02</v>
      </c>
      <c r="I559" t="str">
        <f>_xlfn.XLOOKUP(C559,products!A:A,products!B:B)</f>
        <v>SKU-0018</v>
      </c>
      <c r="J559" t="str">
        <f>_xlfn.XLOOKUP(B559,customer_orders!A:A,customer_orders!G:G)</f>
        <v>2026-w09</v>
      </c>
      <c r="K559">
        <f>IFERROR(_xlfn.XLOOKUP(B559,shipments!B:B,shipments!H:H),0)</f>
        <v>0</v>
      </c>
      <c r="L559">
        <f t="shared" si="25"/>
        <v>0</v>
      </c>
      <c r="M559" t="str">
        <f>_xlfn.XLOOKUP(B559,customer_orders!A:A,customer_orders!D:D)</f>
        <v>Ebay</v>
      </c>
      <c r="N559" t="str">
        <f>_xlfn.XLOOKUP(C559,inventory!B:B,inventory!C:C)</f>
        <v>Unknown</v>
      </c>
      <c r="O559">
        <f>IF(_xlfn.XLOOKUP(C559,products!A:A,products!E:E)="NULL",0,_xlfn.XLOOKUP(C559,products!A:A,products!E:E))</f>
        <v>31.75</v>
      </c>
      <c r="P559">
        <f t="shared" si="26"/>
        <v>452.97</v>
      </c>
      <c r="Q559" s="2" t="str">
        <f>_xlfn.XLOOKUP(I559,products!B:B,products!D:D)</f>
        <v>Electronics</v>
      </c>
    </row>
    <row r="560" spans="1:17">
      <c r="A560">
        <v>559</v>
      </c>
      <c r="B560">
        <v>1231</v>
      </c>
      <c r="C560">
        <v>52</v>
      </c>
      <c r="D560">
        <v>7</v>
      </c>
      <c r="E560">
        <v>59.3</v>
      </c>
      <c r="F560">
        <v>6.63</v>
      </c>
      <c r="G560">
        <f t="shared" si="24"/>
        <v>408.46999999999997</v>
      </c>
      <c r="H560" t="str">
        <f>_xlfn.XLOOKUP(B560,customer_orders!A:A,customer_orders!F:F)</f>
        <v>2026-03</v>
      </c>
      <c r="I560" t="str">
        <f>_xlfn.XLOOKUP(C560,products!A:A,products!B:B)</f>
        <v>SKU-0052</v>
      </c>
      <c r="J560" t="str">
        <f>_xlfn.XLOOKUP(B560,customer_orders!A:A,customer_orders!G:G)</f>
        <v>2026-w12</v>
      </c>
      <c r="K560">
        <f>IFERROR(_xlfn.XLOOKUP(B560,shipments!B:B,shipments!H:H),0)</f>
        <v>97.84</v>
      </c>
      <c r="L560">
        <f t="shared" si="25"/>
        <v>0.24</v>
      </c>
      <c r="M560" t="str">
        <f>_xlfn.XLOOKUP(B560,customer_orders!A:A,customer_orders!D:D)</f>
        <v>Ebay</v>
      </c>
      <c r="N560" t="str">
        <f>_xlfn.XLOOKUP(C560,inventory!B:B,inventory!C:C)</f>
        <v>Lehi</v>
      </c>
      <c r="O560">
        <f>IF(_xlfn.XLOOKUP(C560,products!A:A,products!E:E)="NULL",0,_xlfn.XLOOKUP(C560,products!A:A,products!E:E))</f>
        <v>134.91999999999999</v>
      </c>
      <c r="P560">
        <f t="shared" si="26"/>
        <v>273.54999999999995</v>
      </c>
      <c r="Q560" s="2" t="str">
        <f>_xlfn.XLOOKUP(I560,products!B:B,products!D:D)</f>
        <v>Home</v>
      </c>
    </row>
    <row r="561" spans="1:17">
      <c r="A561">
        <v>560</v>
      </c>
      <c r="B561">
        <v>1231</v>
      </c>
      <c r="C561">
        <v>141</v>
      </c>
      <c r="D561">
        <v>3</v>
      </c>
      <c r="E561">
        <v>15.33</v>
      </c>
      <c r="F561">
        <v>0</v>
      </c>
      <c r="G561">
        <f t="shared" si="24"/>
        <v>45.99</v>
      </c>
      <c r="H561" t="str">
        <f>_xlfn.XLOOKUP(B561,customer_orders!A:A,customer_orders!F:F)</f>
        <v>2026-03</v>
      </c>
      <c r="I561" t="str">
        <f>_xlfn.XLOOKUP(C561,products!A:A,products!B:B)</f>
        <v>SKU-0141</v>
      </c>
      <c r="J561" t="str">
        <f>_xlfn.XLOOKUP(B561,customer_orders!A:A,customer_orders!G:G)</f>
        <v>2026-w12</v>
      </c>
      <c r="K561">
        <f>IFERROR(_xlfn.XLOOKUP(B561,shipments!B:B,shipments!H:H),0)</f>
        <v>97.84</v>
      </c>
      <c r="L561">
        <f t="shared" si="25"/>
        <v>2.13</v>
      </c>
      <c r="M561" t="str">
        <f>_xlfn.XLOOKUP(B561,customer_orders!A:A,customer_orders!D:D)</f>
        <v>Ebay</v>
      </c>
      <c r="N561" t="str">
        <f>_xlfn.XLOOKUP(C561,inventory!B:B,inventory!C:C)</f>
        <v>Unknown</v>
      </c>
      <c r="O561">
        <f>IF(_xlfn.XLOOKUP(C561,products!A:A,products!E:E)="NULL",0,_xlfn.XLOOKUP(C561,products!A:A,products!E:E))</f>
        <v>149.36000000000001</v>
      </c>
      <c r="P561">
        <f t="shared" si="26"/>
        <v>-103.37</v>
      </c>
      <c r="Q561" s="2" t="str">
        <f>_xlfn.XLOOKUP(I561,products!B:B,products!D:D)</f>
        <v>Office</v>
      </c>
    </row>
    <row r="562" spans="1:17">
      <c r="A562">
        <v>561</v>
      </c>
      <c r="B562">
        <v>1231</v>
      </c>
      <c r="C562">
        <v>148</v>
      </c>
      <c r="D562">
        <v>8</v>
      </c>
      <c r="E562">
        <v>124.32</v>
      </c>
      <c r="F562">
        <v>3.98</v>
      </c>
      <c r="G562">
        <f t="shared" si="24"/>
        <v>990.57999999999993</v>
      </c>
      <c r="H562" t="str">
        <f>_xlfn.XLOOKUP(B562,customer_orders!A:A,customer_orders!F:F)</f>
        <v>2026-03</v>
      </c>
      <c r="I562" t="str">
        <f>_xlfn.XLOOKUP(C562,products!A:A,products!B:B)</f>
        <v>SKU0148</v>
      </c>
      <c r="J562" t="str">
        <f>_xlfn.XLOOKUP(B562,customer_orders!A:A,customer_orders!G:G)</f>
        <v>2026-w12</v>
      </c>
      <c r="K562">
        <f>IFERROR(_xlfn.XLOOKUP(B562,shipments!B:B,shipments!H:H),0)</f>
        <v>97.84</v>
      </c>
      <c r="L562">
        <f t="shared" si="25"/>
        <v>0.1</v>
      </c>
      <c r="M562" t="str">
        <f>_xlfn.XLOOKUP(B562,customer_orders!A:A,customer_orders!D:D)</f>
        <v>Ebay</v>
      </c>
      <c r="N562" t="str">
        <f>_xlfn.XLOOKUP(C562,inventory!B:B,inventory!C:C)</f>
        <v>Draper</v>
      </c>
      <c r="O562">
        <f>IF(_xlfn.XLOOKUP(C562,products!A:A,products!E:E)="NULL",0,_xlfn.XLOOKUP(C562,products!A:A,products!E:E))</f>
        <v>101.47</v>
      </c>
      <c r="P562">
        <f t="shared" si="26"/>
        <v>889.1099999999999</v>
      </c>
      <c r="Q562" s="2" t="str">
        <f>_xlfn.XLOOKUP(I562,products!B:B,products!D:D)</f>
        <v>Beauty</v>
      </c>
    </row>
    <row r="563" spans="1:17">
      <c r="A563">
        <v>562</v>
      </c>
      <c r="B563">
        <v>1232</v>
      </c>
      <c r="C563">
        <v>39</v>
      </c>
      <c r="D563">
        <v>5</v>
      </c>
      <c r="E563">
        <v>129.30000000000001</v>
      </c>
      <c r="F563">
        <v>12.82</v>
      </c>
      <c r="G563">
        <f t="shared" si="24"/>
        <v>633.67999999999995</v>
      </c>
      <c r="H563" t="str">
        <f>_xlfn.XLOOKUP(B563,customer_orders!A:A,customer_orders!F:F)</f>
        <v>2026-02</v>
      </c>
      <c r="I563" t="str">
        <f>_xlfn.XLOOKUP(C563,products!A:A,products!B:B)</f>
        <v>SKU-0039</v>
      </c>
      <c r="J563" t="str">
        <f>_xlfn.XLOOKUP(B563,customer_orders!A:A,customer_orders!G:G)</f>
        <v>2026-w08</v>
      </c>
      <c r="K563">
        <f>IFERROR(_xlfn.XLOOKUP(B563,shipments!B:B,shipments!H:H),0)</f>
        <v>0</v>
      </c>
      <c r="L563">
        <f t="shared" si="25"/>
        <v>0</v>
      </c>
      <c r="M563" t="str">
        <f>_xlfn.XLOOKUP(B563,customer_orders!A:A,customer_orders!D:D)</f>
        <v>Walmart</v>
      </c>
      <c r="N563" t="str">
        <f>_xlfn.XLOOKUP(C563,inventory!B:B,inventory!C:C)</f>
        <v>West Valley</v>
      </c>
      <c r="O563">
        <f>IF(_xlfn.XLOOKUP(C563,products!A:A,products!E:E)="NULL",0,_xlfn.XLOOKUP(C563,products!A:A,products!E:E))</f>
        <v>42.41</v>
      </c>
      <c r="P563">
        <f t="shared" si="26"/>
        <v>591.27</v>
      </c>
      <c r="Q563" s="2" t="str">
        <f>_xlfn.XLOOKUP(I563,products!B:B,products!D:D)</f>
        <v>Pet</v>
      </c>
    </row>
    <row r="564" spans="1:17">
      <c r="A564">
        <v>563</v>
      </c>
      <c r="B564">
        <v>1232</v>
      </c>
      <c r="C564">
        <v>82</v>
      </c>
      <c r="D564">
        <v>2</v>
      </c>
      <c r="E564">
        <v>243.4</v>
      </c>
      <c r="F564">
        <v>9.8699999999999992</v>
      </c>
      <c r="G564">
        <f t="shared" si="24"/>
        <v>476.93</v>
      </c>
      <c r="H564" t="str">
        <f>_xlfn.XLOOKUP(B564,customer_orders!A:A,customer_orders!F:F)</f>
        <v>2026-02</v>
      </c>
      <c r="I564" t="str">
        <f>_xlfn.XLOOKUP(C564,products!A:A,products!B:B)</f>
        <v>SKU-0082</v>
      </c>
      <c r="J564" t="str">
        <f>_xlfn.XLOOKUP(B564,customer_orders!A:A,customer_orders!G:G)</f>
        <v>2026-w08</v>
      </c>
      <c r="K564">
        <f>IFERROR(_xlfn.XLOOKUP(B564,shipments!B:B,shipments!H:H),0)</f>
        <v>0</v>
      </c>
      <c r="L564">
        <f t="shared" si="25"/>
        <v>0</v>
      </c>
      <c r="M564" t="str">
        <f>_xlfn.XLOOKUP(B564,customer_orders!A:A,customer_orders!D:D)</f>
        <v>Walmart</v>
      </c>
      <c r="N564" t="str">
        <f>_xlfn.XLOOKUP(C564,inventory!B:B,inventory!C:C)</f>
        <v>Unknown</v>
      </c>
      <c r="O564">
        <f>IF(_xlfn.XLOOKUP(C564,products!A:A,products!E:E)="NULL",0,_xlfn.XLOOKUP(C564,products!A:A,products!E:E))</f>
        <v>84.88</v>
      </c>
      <c r="P564">
        <f t="shared" si="26"/>
        <v>392.05</v>
      </c>
      <c r="Q564" s="2" t="str">
        <f>_xlfn.XLOOKUP(I564,products!B:B,products!D:D)</f>
        <v>Beauty</v>
      </c>
    </row>
    <row r="565" spans="1:17">
      <c r="A565">
        <v>564</v>
      </c>
      <c r="B565">
        <v>1233</v>
      </c>
      <c r="C565">
        <v>104</v>
      </c>
      <c r="D565">
        <v>4</v>
      </c>
      <c r="E565">
        <v>199.55</v>
      </c>
      <c r="F565">
        <v>0</v>
      </c>
      <c r="G565">
        <f t="shared" si="24"/>
        <v>798.2</v>
      </c>
      <c r="H565" t="str">
        <f>_xlfn.XLOOKUP(B565,customer_orders!A:A,customer_orders!F:F)</f>
        <v>2026-03</v>
      </c>
      <c r="I565" t="str">
        <f>_xlfn.XLOOKUP(C565,products!A:A,products!B:B)</f>
        <v>SKU-0104</v>
      </c>
      <c r="J565" t="str">
        <f>_xlfn.XLOOKUP(B565,customer_orders!A:A,customer_orders!G:G)</f>
        <v>2026-w12</v>
      </c>
      <c r="K565">
        <f>IFERROR(_xlfn.XLOOKUP(B565,shipments!B:B,shipments!H:H),0)</f>
        <v>118.99</v>
      </c>
      <c r="L565">
        <f t="shared" si="25"/>
        <v>0.15</v>
      </c>
      <c r="M565" t="str">
        <f>_xlfn.XLOOKUP(B565,customer_orders!A:A,customer_orders!D:D)</f>
        <v>Shopify</v>
      </c>
      <c r="N565" t="str">
        <f>_xlfn.XLOOKUP(C565,inventory!B:B,inventory!C:C)</f>
        <v>West Valley</v>
      </c>
      <c r="O565">
        <f>IF(_xlfn.XLOOKUP(C565,products!A:A,products!E:E)="NULL",0,_xlfn.XLOOKUP(C565,products!A:A,products!E:E))</f>
        <v>17.07</v>
      </c>
      <c r="P565">
        <f t="shared" si="26"/>
        <v>781.13</v>
      </c>
      <c r="Q565" s="2" t="str">
        <f>_xlfn.XLOOKUP(I565,products!B:B,products!D:D)</f>
        <v>Office</v>
      </c>
    </row>
    <row r="566" spans="1:17">
      <c r="A566">
        <v>565</v>
      </c>
      <c r="B566">
        <v>1233</v>
      </c>
      <c r="C566">
        <v>8</v>
      </c>
      <c r="D566">
        <v>4</v>
      </c>
      <c r="E566">
        <v>118.07</v>
      </c>
      <c r="F566">
        <v>0</v>
      </c>
      <c r="G566">
        <f t="shared" si="24"/>
        <v>472.28</v>
      </c>
      <c r="H566" t="str">
        <f>_xlfn.XLOOKUP(B566,customer_orders!A:A,customer_orders!F:F)</f>
        <v>2026-03</v>
      </c>
      <c r="I566" t="str">
        <f>_xlfn.XLOOKUP(C566,products!A:A,products!B:B)</f>
        <v>SKU-0008</v>
      </c>
      <c r="J566" t="str">
        <f>_xlfn.XLOOKUP(B566,customer_orders!A:A,customer_orders!G:G)</f>
        <v>2026-w12</v>
      </c>
      <c r="K566">
        <f>IFERROR(_xlfn.XLOOKUP(B566,shipments!B:B,shipments!H:H),0)</f>
        <v>118.99</v>
      </c>
      <c r="L566">
        <f t="shared" si="25"/>
        <v>0.25</v>
      </c>
      <c r="M566" t="str">
        <f>_xlfn.XLOOKUP(B566,customer_orders!A:A,customer_orders!D:D)</f>
        <v>Shopify</v>
      </c>
      <c r="N566" t="str">
        <f>_xlfn.XLOOKUP(C566,inventory!B:B,inventory!C:C)</f>
        <v>Salt Lake City</v>
      </c>
      <c r="O566">
        <f>IF(_xlfn.XLOOKUP(C566,products!A:A,products!E:E)="NULL",0,_xlfn.XLOOKUP(C566,products!A:A,products!E:E))</f>
        <v>159.94999999999999</v>
      </c>
      <c r="P566">
        <f t="shared" si="26"/>
        <v>312.33</v>
      </c>
      <c r="Q566" s="2" t="str">
        <f>_xlfn.XLOOKUP(I566,products!B:B,products!D:D)</f>
        <v>Sports</v>
      </c>
    </row>
    <row r="567" spans="1:17">
      <c r="A567">
        <v>566</v>
      </c>
      <c r="B567">
        <v>1234</v>
      </c>
      <c r="C567">
        <v>141</v>
      </c>
      <c r="D567">
        <v>3</v>
      </c>
      <c r="E567">
        <v>15.33</v>
      </c>
      <c r="F567">
        <v>0</v>
      </c>
      <c r="G567">
        <f t="shared" si="24"/>
        <v>45.99</v>
      </c>
      <c r="H567" t="str">
        <f>_xlfn.XLOOKUP(B567,customer_orders!A:A,customer_orders!F:F)</f>
        <v>2026-03</v>
      </c>
      <c r="I567" t="str">
        <f>_xlfn.XLOOKUP(C567,products!A:A,products!B:B)</f>
        <v>SKU-0141</v>
      </c>
      <c r="J567" t="str">
        <f>_xlfn.XLOOKUP(B567,customer_orders!A:A,customer_orders!G:G)</f>
        <v>2026-w11</v>
      </c>
      <c r="K567">
        <f>IFERROR(_xlfn.XLOOKUP(B567,shipments!B:B,shipments!H:H),0)</f>
        <v>50.04</v>
      </c>
      <c r="L567">
        <f t="shared" si="25"/>
        <v>1.0900000000000001</v>
      </c>
      <c r="M567" t="str">
        <f>_xlfn.XLOOKUP(B567,customer_orders!A:A,customer_orders!D:D)</f>
        <v>Amazon</v>
      </c>
      <c r="N567" t="str">
        <f>_xlfn.XLOOKUP(C567,inventory!B:B,inventory!C:C)</f>
        <v>Unknown</v>
      </c>
      <c r="O567">
        <f>IF(_xlfn.XLOOKUP(C567,products!A:A,products!E:E)="NULL",0,_xlfn.XLOOKUP(C567,products!A:A,products!E:E))</f>
        <v>149.36000000000001</v>
      </c>
      <c r="P567">
        <f t="shared" si="26"/>
        <v>-103.37</v>
      </c>
      <c r="Q567" s="2" t="str">
        <f>_xlfn.XLOOKUP(I567,products!B:B,products!D:D)</f>
        <v>Office</v>
      </c>
    </row>
    <row r="568" spans="1:17">
      <c r="A568">
        <v>567</v>
      </c>
      <c r="B568">
        <v>1234</v>
      </c>
      <c r="C568">
        <v>125</v>
      </c>
      <c r="D568">
        <v>1</v>
      </c>
      <c r="E568">
        <v>273.92</v>
      </c>
      <c r="F568">
        <v>0</v>
      </c>
      <c r="G568">
        <f t="shared" si="24"/>
        <v>273.92</v>
      </c>
      <c r="H568" t="str">
        <f>_xlfn.XLOOKUP(B568,customer_orders!A:A,customer_orders!F:F)</f>
        <v>2026-03</v>
      </c>
      <c r="I568" t="str">
        <f>_xlfn.XLOOKUP(C568,products!A:A,products!B:B)</f>
        <v>SKU-0125</v>
      </c>
      <c r="J568" t="str">
        <f>_xlfn.XLOOKUP(B568,customer_orders!A:A,customer_orders!G:G)</f>
        <v>2026-w11</v>
      </c>
      <c r="K568">
        <f>IFERROR(_xlfn.XLOOKUP(B568,shipments!B:B,shipments!H:H),0)</f>
        <v>50.04</v>
      </c>
      <c r="L568">
        <f t="shared" si="25"/>
        <v>0.18</v>
      </c>
      <c r="M568" t="str">
        <f>_xlfn.XLOOKUP(B568,customer_orders!A:A,customer_orders!D:D)</f>
        <v>Amazon</v>
      </c>
      <c r="N568" t="str">
        <f>_xlfn.XLOOKUP(C568,inventory!B:B,inventory!C:C)</f>
        <v>Draper</v>
      </c>
      <c r="O568">
        <f>IF(_xlfn.XLOOKUP(C568,products!A:A,products!E:E)="NULL",0,_xlfn.XLOOKUP(C568,products!A:A,products!E:E))</f>
        <v>71.569999999999993</v>
      </c>
      <c r="P568">
        <f t="shared" si="26"/>
        <v>202.35000000000002</v>
      </c>
      <c r="Q568" s="2" t="str">
        <f>_xlfn.XLOOKUP(I568,products!B:B,products!D:D)</f>
        <v>Beauty</v>
      </c>
    </row>
    <row r="569" spans="1:17">
      <c r="A569">
        <v>568</v>
      </c>
      <c r="B569">
        <v>1234</v>
      </c>
      <c r="C569">
        <v>81</v>
      </c>
      <c r="D569">
        <v>5</v>
      </c>
      <c r="E569">
        <v>244.17</v>
      </c>
      <c r="F569">
        <v>13.14</v>
      </c>
      <c r="G569">
        <f t="shared" si="24"/>
        <v>1207.7099999999998</v>
      </c>
      <c r="H569" t="str">
        <f>_xlfn.XLOOKUP(B569,customer_orders!A:A,customer_orders!F:F)</f>
        <v>2026-03</v>
      </c>
      <c r="I569" t="str">
        <f>_xlfn.XLOOKUP(C569,products!A:A,products!B:B)</f>
        <v>SKU-0081</v>
      </c>
      <c r="J569" t="str">
        <f>_xlfn.XLOOKUP(B569,customer_orders!A:A,customer_orders!G:G)</f>
        <v>2026-w11</v>
      </c>
      <c r="K569">
        <f>IFERROR(_xlfn.XLOOKUP(B569,shipments!B:B,shipments!H:H),0)</f>
        <v>50.04</v>
      </c>
      <c r="L569">
        <f t="shared" si="25"/>
        <v>0.04</v>
      </c>
      <c r="M569" t="str">
        <f>_xlfn.XLOOKUP(B569,customer_orders!A:A,customer_orders!D:D)</f>
        <v>Amazon</v>
      </c>
      <c r="N569" t="str">
        <f>_xlfn.XLOOKUP(C569,inventory!B:B,inventory!C:C)</f>
        <v>Lehi</v>
      </c>
      <c r="O569">
        <f>IF(_xlfn.XLOOKUP(C569,products!A:A,products!E:E)="NULL",0,_xlfn.XLOOKUP(C569,products!A:A,products!E:E))</f>
        <v>43.3</v>
      </c>
      <c r="P569">
        <f t="shared" si="26"/>
        <v>1164.4099999999999</v>
      </c>
      <c r="Q569" s="2" t="str">
        <f>_xlfn.XLOOKUP(I569,products!B:B,products!D:D)</f>
        <v>Home</v>
      </c>
    </row>
    <row r="570" spans="1:17">
      <c r="A570">
        <v>569</v>
      </c>
      <c r="B570">
        <v>1235</v>
      </c>
      <c r="C570">
        <v>128</v>
      </c>
      <c r="D570">
        <v>2</v>
      </c>
      <c r="E570">
        <v>143.38999999999999</v>
      </c>
      <c r="F570">
        <v>0</v>
      </c>
      <c r="G570">
        <f t="shared" si="24"/>
        <v>286.77999999999997</v>
      </c>
      <c r="H570" t="str">
        <f>_xlfn.XLOOKUP(B570,customer_orders!A:A,customer_orders!F:F)</f>
        <v>2026-05</v>
      </c>
      <c r="I570" t="str">
        <f>_xlfn.XLOOKUP(C570,products!A:A,products!B:B)</f>
        <v>SKU-0128</v>
      </c>
      <c r="J570" t="str">
        <f>_xlfn.XLOOKUP(B570,customer_orders!A:A,customer_orders!G:G)</f>
        <v>2026-w19</v>
      </c>
      <c r="K570">
        <f>IFERROR(_xlfn.XLOOKUP(B570,shipments!B:B,shipments!H:H),0)</f>
        <v>54.98</v>
      </c>
      <c r="L570">
        <f t="shared" si="25"/>
        <v>0.19</v>
      </c>
      <c r="M570" t="str">
        <f>_xlfn.XLOOKUP(B570,customer_orders!A:A,customer_orders!D:D)</f>
        <v>Amazon</v>
      </c>
      <c r="N570" t="str">
        <f>_xlfn.XLOOKUP(C570,inventory!B:B,inventory!C:C)</f>
        <v>West Valley</v>
      </c>
      <c r="O570">
        <f>IF(_xlfn.XLOOKUP(C570,products!A:A,products!E:E)="NULL",0,_xlfn.XLOOKUP(C570,products!A:A,products!E:E))</f>
        <v>5.47</v>
      </c>
      <c r="P570">
        <f t="shared" si="26"/>
        <v>281.30999999999995</v>
      </c>
      <c r="Q570" s="2" t="str">
        <f>_xlfn.XLOOKUP(I570,products!B:B,products!D:D)</f>
        <v>Home</v>
      </c>
    </row>
    <row r="571" spans="1:17">
      <c r="A571">
        <v>570</v>
      </c>
      <c r="B571">
        <v>1235</v>
      </c>
      <c r="C571">
        <v>81</v>
      </c>
      <c r="D571">
        <v>6</v>
      </c>
      <c r="E571">
        <v>244.17</v>
      </c>
      <c r="F571">
        <v>12.65</v>
      </c>
      <c r="G571">
        <f t="shared" si="24"/>
        <v>1452.37</v>
      </c>
      <c r="H571" t="str">
        <f>_xlfn.XLOOKUP(B571,customer_orders!A:A,customer_orders!F:F)</f>
        <v>2026-05</v>
      </c>
      <c r="I571" t="str">
        <f>_xlfn.XLOOKUP(C571,products!A:A,products!B:B)</f>
        <v>SKU-0081</v>
      </c>
      <c r="J571" t="str">
        <f>_xlfn.XLOOKUP(B571,customer_orders!A:A,customer_orders!G:G)</f>
        <v>2026-w19</v>
      </c>
      <c r="K571">
        <f>IFERROR(_xlfn.XLOOKUP(B571,shipments!B:B,shipments!H:H),0)</f>
        <v>54.98</v>
      </c>
      <c r="L571">
        <f t="shared" si="25"/>
        <v>0.04</v>
      </c>
      <c r="M571" t="str">
        <f>_xlfn.XLOOKUP(B571,customer_orders!A:A,customer_orders!D:D)</f>
        <v>Amazon</v>
      </c>
      <c r="N571" t="str">
        <f>_xlfn.XLOOKUP(C571,inventory!B:B,inventory!C:C)</f>
        <v>Lehi</v>
      </c>
      <c r="O571">
        <f>IF(_xlfn.XLOOKUP(C571,products!A:A,products!E:E)="NULL",0,_xlfn.XLOOKUP(C571,products!A:A,products!E:E))</f>
        <v>43.3</v>
      </c>
      <c r="P571">
        <f t="shared" si="26"/>
        <v>1409.07</v>
      </c>
      <c r="Q571" s="2" t="str">
        <f>_xlfn.XLOOKUP(I571,products!B:B,products!D:D)</f>
        <v>Home</v>
      </c>
    </row>
    <row r="572" spans="1:17">
      <c r="A572">
        <v>571</v>
      </c>
      <c r="B572">
        <v>1235</v>
      </c>
      <c r="C572">
        <v>61</v>
      </c>
      <c r="D572">
        <v>7</v>
      </c>
      <c r="E572">
        <v>293.22000000000003</v>
      </c>
      <c r="F572">
        <v>0</v>
      </c>
      <c r="G572">
        <f t="shared" si="24"/>
        <v>2052.54</v>
      </c>
      <c r="H572" t="str">
        <f>_xlfn.XLOOKUP(B572,customer_orders!A:A,customer_orders!F:F)</f>
        <v>2026-05</v>
      </c>
      <c r="I572" t="str">
        <f>_xlfn.XLOOKUP(C572,products!A:A,products!B:B)</f>
        <v>SKU-0061</v>
      </c>
      <c r="J572" t="str">
        <f>_xlfn.XLOOKUP(B572,customer_orders!A:A,customer_orders!G:G)</f>
        <v>2026-w19</v>
      </c>
      <c r="K572">
        <f>IFERROR(_xlfn.XLOOKUP(B572,shipments!B:B,shipments!H:H),0)</f>
        <v>54.98</v>
      </c>
      <c r="L572">
        <f t="shared" si="25"/>
        <v>0.03</v>
      </c>
      <c r="M572" t="str">
        <f>_xlfn.XLOOKUP(B572,customer_orders!A:A,customer_orders!D:D)</f>
        <v>Amazon</v>
      </c>
      <c r="N572" t="str">
        <f>_xlfn.XLOOKUP(C572,inventory!B:B,inventory!C:C)</f>
        <v>South Jordan</v>
      </c>
      <c r="O572">
        <f>IF(_xlfn.XLOOKUP(C572,products!A:A,products!E:E)="NULL",0,_xlfn.XLOOKUP(C572,products!A:A,products!E:E))</f>
        <v>156.31</v>
      </c>
      <c r="P572">
        <f t="shared" si="26"/>
        <v>1896.23</v>
      </c>
      <c r="Q572" s="2" t="str">
        <f>_xlfn.XLOOKUP(I572,products!B:B,products!D:D)</f>
        <v>Toys</v>
      </c>
    </row>
    <row r="573" spans="1:17">
      <c r="A573">
        <v>572</v>
      </c>
      <c r="B573">
        <v>1236</v>
      </c>
      <c r="C573">
        <v>122</v>
      </c>
      <c r="D573">
        <v>4</v>
      </c>
      <c r="E573">
        <v>151.15</v>
      </c>
      <c r="F573">
        <v>0</v>
      </c>
      <c r="G573">
        <f t="shared" si="24"/>
        <v>604.6</v>
      </c>
      <c r="H573" t="str">
        <f>_xlfn.XLOOKUP(B573,customer_orders!A:A,customer_orders!F:F)</f>
        <v>2026-04</v>
      </c>
      <c r="I573" t="str">
        <f>_xlfn.XLOOKUP(C573,products!A:A,products!B:B)</f>
        <v>SKU-0122</v>
      </c>
      <c r="J573" t="str">
        <f>_xlfn.XLOOKUP(B573,customer_orders!A:A,customer_orders!G:G)</f>
        <v>2026-w15</v>
      </c>
      <c r="K573">
        <f>IFERROR(_xlfn.XLOOKUP(B573,shipments!B:B,shipments!H:H),0)</f>
        <v>108.77</v>
      </c>
      <c r="L573">
        <f t="shared" si="25"/>
        <v>0.18</v>
      </c>
      <c r="M573" t="str">
        <f>_xlfn.XLOOKUP(B573,customer_orders!A:A,customer_orders!D:D)</f>
        <v>Amazon</v>
      </c>
      <c r="N573" t="str">
        <f>_xlfn.XLOOKUP(C573,inventory!B:B,inventory!C:C)</f>
        <v>South Jordan</v>
      </c>
      <c r="O573">
        <f>IF(_xlfn.XLOOKUP(C573,products!A:A,products!E:E)="NULL",0,_xlfn.XLOOKUP(C573,products!A:A,products!E:E))</f>
        <v>169.69</v>
      </c>
      <c r="P573">
        <f t="shared" si="26"/>
        <v>434.91</v>
      </c>
      <c r="Q573" s="2" t="str">
        <f>_xlfn.XLOOKUP(I573,products!B:B,products!D:D)</f>
        <v>Electronics</v>
      </c>
    </row>
    <row r="574" spans="1:17">
      <c r="A574">
        <v>573</v>
      </c>
      <c r="B574">
        <v>1236</v>
      </c>
      <c r="C574">
        <v>93</v>
      </c>
      <c r="D574">
        <v>8</v>
      </c>
      <c r="E574">
        <v>277.07</v>
      </c>
      <c r="F574">
        <v>0</v>
      </c>
      <c r="G574">
        <f t="shared" si="24"/>
        <v>2216.56</v>
      </c>
      <c r="H574" t="str">
        <f>_xlfn.XLOOKUP(B574,customer_orders!A:A,customer_orders!F:F)</f>
        <v>2026-04</v>
      </c>
      <c r="I574" t="str">
        <f>_xlfn.XLOOKUP(C574,products!A:A,products!B:B)</f>
        <v>SKU-0093</v>
      </c>
      <c r="J574" t="str">
        <f>_xlfn.XLOOKUP(B574,customer_orders!A:A,customer_orders!G:G)</f>
        <v>2026-w15</v>
      </c>
      <c r="K574">
        <f>IFERROR(_xlfn.XLOOKUP(B574,shipments!B:B,shipments!H:H),0)</f>
        <v>108.77</v>
      </c>
      <c r="L574">
        <f t="shared" si="25"/>
        <v>0.05</v>
      </c>
      <c r="M574" t="str">
        <f>_xlfn.XLOOKUP(B574,customer_orders!A:A,customer_orders!D:D)</f>
        <v>Amazon</v>
      </c>
      <c r="N574" t="str">
        <f>_xlfn.XLOOKUP(C574,inventory!B:B,inventory!C:C)</f>
        <v>West Valley</v>
      </c>
      <c r="O574">
        <f>IF(_xlfn.XLOOKUP(C574,products!A:A,products!E:E)="NULL",0,_xlfn.XLOOKUP(C574,products!A:A,products!E:E))</f>
        <v>152.09</v>
      </c>
      <c r="P574">
        <f t="shared" si="26"/>
        <v>2064.4699999999998</v>
      </c>
      <c r="Q574" s="2" t="str">
        <f>_xlfn.XLOOKUP(I574,products!B:B,products!D:D)</f>
        <v>Office</v>
      </c>
    </row>
    <row r="575" spans="1:17">
      <c r="A575">
        <v>574</v>
      </c>
      <c r="B575">
        <v>1236</v>
      </c>
      <c r="C575">
        <v>6</v>
      </c>
      <c r="D575">
        <v>1</v>
      </c>
      <c r="E575">
        <v>256.54000000000002</v>
      </c>
      <c r="F575">
        <v>0</v>
      </c>
      <c r="G575">
        <f t="shared" si="24"/>
        <v>256.54000000000002</v>
      </c>
      <c r="H575" t="str">
        <f>_xlfn.XLOOKUP(B575,customer_orders!A:A,customer_orders!F:F)</f>
        <v>2026-04</v>
      </c>
      <c r="I575" t="str">
        <f>_xlfn.XLOOKUP(C575,products!A:A,products!B:B)</f>
        <v>SKU-0006</v>
      </c>
      <c r="J575" t="str">
        <f>_xlfn.XLOOKUP(B575,customer_orders!A:A,customer_orders!G:G)</f>
        <v>2026-w15</v>
      </c>
      <c r="K575">
        <f>IFERROR(_xlfn.XLOOKUP(B575,shipments!B:B,shipments!H:H),0)</f>
        <v>108.77</v>
      </c>
      <c r="L575">
        <f t="shared" si="25"/>
        <v>0.42</v>
      </c>
      <c r="M575" t="str">
        <f>_xlfn.XLOOKUP(B575,customer_orders!A:A,customer_orders!D:D)</f>
        <v>Amazon</v>
      </c>
      <c r="N575" t="str">
        <f>_xlfn.XLOOKUP(C575,inventory!B:B,inventory!C:C)</f>
        <v>South Jordan</v>
      </c>
      <c r="O575">
        <f>IF(_xlfn.XLOOKUP(C575,products!A:A,products!E:E)="NULL",0,_xlfn.XLOOKUP(C575,products!A:A,products!E:E))</f>
        <v>21.93</v>
      </c>
      <c r="P575">
        <f t="shared" si="26"/>
        <v>234.61</v>
      </c>
      <c r="Q575" s="2" t="str">
        <f>_xlfn.XLOOKUP(I575,products!B:B,products!D:D)</f>
        <v>Home</v>
      </c>
    </row>
    <row r="576" spans="1:17">
      <c r="A576">
        <v>575</v>
      </c>
      <c r="B576">
        <v>1236</v>
      </c>
      <c r="C576">
        <v>62</v>
      </c>
      <c r="D576">
        <v>5</v>
      </c>
      <c r="E576">
        <v>109.67</v>
      </c>
      <c r="F576">
        <v>0</v>
      </c>
      <c r="G576">
        <f t="shared" si="24"/>
        <v>548.35</v>
      </c>
      <c r="H576" t="str">
        <f>_xlfn.XLOOKUP(B576,customer_orders!A:A,customer_orders!F:F)</f>
        <v>2026-04</v>
      </c>
      <c r="I576" t="str">
        <f>_xlfn.XLOOKUP(C576,products!A:A,products!B:B)</f>
        <v>SKU-0062</v>
      </c>
      <c r="J576" t="str">
        <f>_xlfn.XLOOKUP(B576,customer_orders!A:A,customer_orders!G:G)</f>
        <v>2026-w15</v>
      </c>
      <c r="K576">
        <f>IFERROR(_xlfn.XLOOKUP(B576,shipments!B:B,shipments!H:H),0)</f>
        <v>108.77</v>
      </c>
      <c r="L576">
        <f t="shared" si="25"/>
        <v>0.2</v>
      </c>
      <c r="M576" t="str">
        <f>_xlfn.XLOOKUP(B576,customer_orders!A:A,customer_orders!D:D)</f>
        <v>Amazon</v>
      </c>
      <c r="N576" t="str">
        <f>_xlfn.XLOOKUP(C576,inventory!B:B,inventory!C:C)</f>
        <v>South Jordan</v>
      </c>
      <c r="O576">
        <f>IF(_xlfn.XLOOKUP(C576,products!A:A,products!E:E)="NULL",0,_xlfn.XLOOKUP(C576,products!A:A,products!E:E))</f>
        <v>133.9</v>
      </c>
      <c r="P576">
        <f t="shared" si="26"/>
        <v>414.45000000000005</v>
      </c>
      <c r="Q576" s="2" t="str">
        <f>_xlfn.XLOOKUP(I576,products!B:B,products!D:D)</f>
        <v>Electronics</v>
      </c>
    </row>
    <row r="577" spans="1:17">
      <c r="A577">
        <v>576</v>
      </c>
      <c r="B577">
        <v>1237</v>
      </c>
      <c r="C577">
        <v>24</v>
      </c>
      <c r="D577">
        <v>4</v>
      </c>
      <c r="E577">
        <v>20.55</v>
      </c>
      <c r="F577">
        <v>0</v>
      </c>
      <c r="G577">
        <f t="shared" si="24"/>
        <v>82.2</v>
      </c>
      <c r="H577" t="str">
        <f>_xlfn.XLOOKUP(B577,customer_orders!A:A,customer_orders!F:F)</f>
        <v>2026-04</v>
      </c>
      <c r="I577" t="str">
        <f>_xlfn.XLOOKUP(C577,products!A:A,products!B:B)</f>
        <v>SKU-0024</v>
      </c>
      <c r="J577" t="str">
        <f>_xlfn.XLOOKUP(B577,customer_orders!A:A,customer_orders!G:G)</f>
        <v>2026-w15</v>
      </c>
      <c r="K577">
        <f>IFERROR(_xlfn.XLOOKUP(B577,shipments!B:B,shipments!H:H),0)</f>
        <v>111.47</v>
      </c>
      <c r="L577">
        <f t="shared" si="25"/>
        <v>1.36</v>
      </c>
      <c r="M577" t="str">
        <f>_xlfn.XLOOKUP(B577,customer_orders!A:A,customer_orders!D:D)</f>
        <v>Walmart</v>
      </c>
      <c r="N577" t="str">
        <f>_xlfn.XLOOKUP(C577,inventory!B:B,inventory!C:C)</f>
        <v>Draper</v>
      </c>
      <c r="O577">
        <f>IF(_xlfn.XLOOKUP(C577,products!A:A,products!E:E)="NULL",0,_xlfn.XLOOKUP(C577,products!A:A,products!E:E))</f>
        <v>61.73</v>
      </c>
      <c r="P577">
        <f t="shared" si="26"/>
        <v>20.470000000000006</v>
      </c>
      <c r="Q577" s="2" t="str">
        <f>_xlfn.XLOOKUP(I577,products!B:B,products!D:D)</f>
        <v>Electronics</v>
      </c>
    </row>
    <row r="578" spans="1:17">
      <c r="A578">
        <v>577</v>
      </c>
      <c r="B578">
        <v>1237</v>
      </c>
      <c r="C578">
        <v>113</v>
      </c>
      <c r="D578">
        <v>6</v>
      </c>
      <c r="E578">
        <v>84.34</v>
      </c>
      <c r="F578">
        <v>13.31</v>
      </c>
      <c r="G578">
        <f t="shared" si="24"/>
        <v>492.73</v>
      </c>
      <c r="H578" t="str">
        <f>_xlfn.XLOOKUP(B578,customer_orders!A:A,customer_orders!F:F)</f>
        <v>2026-04</v>
      </c>
      <c r="I578" t="str">
        <f>_xlfn.XLOOKUP(C578,products!A:A,products!B:B)</f>
        <v>SKU-0113</v>
      </c>
      <c r="J578" t="str">
        <f>_xlfn.XLOOKUP(B578,customer_orders!A:A,customer_orders!G:G)</f>
        <v>2026-w15</v>
      </c>
      <c r="K578">
        <f>IFERROR(_xlfn.XLOOKUP(B578,shipments!B:B,shipments!H:H),0)</f>
        <v>111.47</v>
      </c>
      <c r="L578">
        <f t="shared" si="25"/>
        <v>0.23</v>
      </c>
      <c r="M578" t="str">
        <f>_xlfn.XLOOKUP(B578,customer_orders!A:A,customer_orders!D:D)</f>
        <v>Walmart</v>
      </c>
      <c r="N578" t="str">
        <f>_xlfn.XLOOKUP(C578,inventory!B:B,inventory!C:C)</f>
        <v>West Valley</v>
      </c>
      <c r="O578">
        <f>IF(_xlfn.XLOOKUP(C578,products!A:A,products!E:E)="NULL",0,_xlfn.XLOOKUP(C578,products!A:A,products!E:E))</f>
        <v>75.77</v>
      </c>
      <c r="P578">
        <f t="shared" si="26"/>
        <v>416.96000000000004</v>
      </c>
      <c r="Q578" s="2" t="str">
        <f>_xlfn.XLOOKUP(I578,products!B:B,products!D:D)</f>
        <v>Sports</v>
      </c>
    </row>
    <row r="579" spans="1:17">
      <c r="A579">
        <v>578</v>
      </c>
      <c r="B579">
        <v>1237</v>
      </c>
      <c r="C579">
        <v>9</v>
      </c>
      <c r="D579">
        <v>5</v>
      </c>
      <c r="E579">
        <v>235.32</v>
      </c>
      <c r="F579">
        <v>13.13</v>
      </c>
      <c r="G579">
        <f t="shared" ref="G579:G642" si="27">E579*D579-F579</f>
        <v>1163.4699999999998</v>
      </c>
      <c r="H579" t="str">
        <f>_xlfn.XLOOKUP(B579,customer_orders!A:A,customer_orders!F:F)</f>
        <v>2026-04</v>
      </c>
      <c r="I579" t="str">
        <f>_xlfn.XLOOKUP(C579,products!A:A,products!B:B)</f>
        <v>SKU-0009</v>
      </c>
      <c r="J579" t="str">
        <f>_xlfn.XLOOKUP(B579,customer_orders!A:A,customer_orders!G:G)</f>
        <v>2026-w15</v>
      </c>
      <c r="K579">
        <f>IFERROR(_xlfn.XLOOKUP(B579,shipments!B:B,shipments!H:H),0)</f>
        <v>111.47</v>
      </c>
      <c r="L579">
        <f t="shared" ref="L579:L642" si="28">ROUND(K579/G579,2)</f>
        <v>0.1</v>
      </c>
      <c r="M579" t="str">
        <f>_xlfn.XLOOKUP(B579,customer_orders!A:A,customer_orders!D:D)</f>
        <v>Walmart</v>
      </c>
      <c r="N579" t="str">
        <f>_xlfn.XLOOKUP(C579,inventory!B:B,inventory!C:C)</f>
        <v>Salt Lake City</v>
      </c>
      <c r="O579">
        <f>IF(_xlfn.XLOOKUP(C579,products!A:A,products!E:E)="NULL",0,_xlfn.XLOOKUP(C579,products!A:A,products!E:E))</f>
        <v>120.72</v>
      </c>
      <c r="P579">
        <f t="shared" ref="P579:P642" si="29">G579-O579</f>
        <v>1042.7499999999998</v>
      </c>
      <c r="Q579" s="2" t="str">
        <f>_xlfn.XLOOKUP(I579,products!B:B,products!D:D)</f>
        <v>Home</v>
      </c>
    </row>
    <row r="580" spans="1:17">
      <c r="A580">
        <v>579</v>
      </c>
      <c r="B580">
        <v>1238</v>
      </c>
      <c r="C580">
        <v>141</v>
      </c>
      <c r="D580">
        <v>6</v>
      </c>
      <c r="E580">
        <v>15.33</v>
      </c>
      <c r="F580">
        <v>0</v>
      </c>
      <c r="G580">
        <f t="shared" si="27"/>
        <v>91.98</v>
      </c>
      <c r="H580" t="str">
        <f>_xlfn.XLOOKUP(B580,customer_orders!A:A,customer_orders!F:F)</f>
        <v>2026-03</v>
      </c>
      <c r="I580" t="str">
        <f>_xlfn.XLOOKUP(C580,products!A:A,products!B:B)</f>
        <v>SKU-0141</v>
      </c>
      <c r="J580" t="str">
        <f>_xlfn.XLOOKUP(B580,customer_orders!A:A,customer_orders!G:G)</f>
        <v>2026-w11</v>
      </c>
      <c r="K580">
        <f>IFERROR(_xlfn.XLOOKUP(B580,shipments!B:B,shipments!H:H),0)</f>
        <v>102.25</v>
      </c>
      <c r="L580">
        <f t="shared" si="28"/>
        <v>1.1100000000000001</v>
      </c>
      <c r="M580" t="str">
        <f>_xlfn.XLOOKUP(B580,customer_orders!A:A,customer_orders!D:D)</f>
        <v>Amazon</v>
      </c>
      <c r="N580" t="str">
        <f>_xlfn.XLOOKUP(C580,inventory!B:B,inventory!C:C)</f>
        <v>Unknown</v>
      </c>
      <c r="O580">
        <f>IF(_xlfn.XLOOKUP(C580,products!A:A,products!E:E)="NULL",0,_xlfn.XLOOKUP(C580,products!A:A,products!E:E))</f>
        <v>149.36000000000001</v>
      </c>
      <c r="P580">
        <f t="shared" si="29"/>
        <v>-57.38000000000001</v>
      </c>
      <c r="Q580" s="2" t="str">
        <f>_xlfn.XLOOKUP(I580,products!B:B,products!D:D)</f>
        <v>Office</v>
      </c>
    </row>
    <row r="581" spans="1:17">
      <c r="A581">
        <v>580</v>
      </c>
      <c r="B581">
        <v>1238</v>
      </c>
      <c r="C581">
        <v>14</v>
      </c>
      <c r="D581">
        <v>3</v>
      </c>
      <c r="E581">
        <v>33.86</v>
      </c>
      <c r="F581">
        <v>0</v>
      </c>
      <c r="G581">
        <f t="shared" si="27"/>
        <v>101.58</v>
      </c>
      <c r="H581" t="str">
        <f>_xlfn.XLOOKUP(B581,customer_orders!A:A,customer_orders!F:F)</f>
        <v>2026-03</v>
      </c>
      <c r="I581" t="str">
        <f>_xlfn.XLOOKUP(C581,products!A:A,products!B:B)</f>
        <v>SKU-0014</v>
      </c>
      <c r="J581" t="str">
        <f>_xlfn.XLOOKUP(B581,customer_orders!A:A,customer_orders!G:G)</f>
        <v>2026-w11</v>
      </c>
      <c r="K581">
        <f>IFERROR(_xlfn.XLOOKUP(B581,shipments!B:B,shipments!H:H),0)</f>
        <v>102.25</v>
      </c>
      <c r="L581">
        <f t="shared" si="28"/>
        <v>1.01</v>
      </c>
      <c r="M581" t="str">
        <f>_xlfn.XLOOKUP(B581,customer_orders!A:A,customer_orders!D:D)</f>
        <v>Amazon</v>
      </c>
      <c r="N581" t="str">
        <f>_xlfn.XLOOKUP(C581,inventory!B:B,inventory!C:C)</f>
        <v>Lehi</v>
      </c>
      <c r="O581">
        <f>IF(_xlfn.XLOOKUP(C581,products!A:A,products!E:E)="NULL",0,_xlfn.XLOOKUP(C581,products!A:A,products!E:E))</f>
        <v>75.2</v>
      </c>
      <c r="P581">
        <f t="shared" si="29"/>
        <v>26.379999999999995</v>
      </c>
      <c r="Q581" s="2" t="str">
        <f>_xlfn.XLOOKUP(I581,products!B:B,products!D:D)</f>
        <v>Electronics</v>
      </c>
    </row>
    <row r="582" spans="1:17">
      <c r="A582">
        <v>581</v>
      </c>
      <c r="B582">
        <v>1238</v>
      </c>
      <c r="C582">
        <v>1</v>
      </c>
      <c r="D582">
        <v>7</v>
      </c>
      <c r="E582">
        <v>84.79</v>
      </c>
      <c r="F582">
        <v>0</v>
      </c>
      <c r="G582">
        <f t="shared" si="27"/>
        <v>593.53000000000009</v>
      </c>
      <c r="H582" t="str">
        <f>_xlfn.XLOOKUP(B582,customer_orders!A:A,customer_orders!F:F)</f>
        <v>2026-03</v>
      </c>
      <c r="I582" t="str">
        <f>_xlfn.XLOOKUP(C582,products!A:A,products!B:B)</f>
        <v>SKU-0001</v>
      </c>
      <c r="J582" t="str">
        <f>_xlfn.XLOOKUP(B582,customer_orders!A:A,customer_orders!G:G)</f>
        <v>2026-w11</v>
      </c>
      <c r="K582">
        <f>IFERROR(_xlfn.XLOOKUP(B582,shipments!B:B,shipments!H:H),0)</f>
        <v>102.25</v>
      </c>
      <c r="L582">
        <f t="shared" si="28"/>
        <v>0.17</v>
      </c>
      <c r="M582" t="str">
        <f>_xlfn.XLOOKUP(B582,customer_orders!A:A,customer_orders!D:D)</f>
        <v>Amazon</v>
      </c>
      <c r="N582" t="str">
        <f>_xlfn.XLOOKUP(C582,inventory!B:B,inventory!C:C)</f>
        <v>South Jordan</v>
      </c>
      <c r="O582">
        <f>IF(_xlfn.XLOOKUP(C582,products!A:A,products!E:E)="NULL",0,_xlfn.XLOOKUP(C582,products!A:A,products!E:E))</f>
        <v>134.77000000000001</v>
      </c>
      <c r="P582">
        <f t="shared" si="29"/>
        <v>458.7600000000001</v>
      </c>
      <c r="Q582" s="2" t="str">
        <f>_xlfn.XLOOKUP(I582,products!B:B,products!D:D)</f>
        <v>Home</v>
      </c>
    </row>
    <row r="583" spans="1:17">
      <c r="A583">
        <v>582</v>
      </c>
      <c r="B583">
        <v>1238</v>
      </c>
      <c r="C583">
        <v>81</v>
      </c>
      <c r="D583">
        <v>2</v>
      </c>
      <c r="E583">
        <v>244.17</v>
      </c>
      <c r="F583">
        <v>0</v>
      </c>
      <c r="G583">
        <f t="shared" si="27"/>
        <v>488.34</v>
      </c>
      <c r="H583" t="str">
        <f>_xlfn.XLOOKUP(B583,customer_orders!A:A,customer_orders!F:F)</f>
        <v>2026-03</v>
      </c>
      <c r="I583" t="str">
        <f>_xlfn.XLOOKUP(C583,products!A:A,products!B:B)</f>
        <v>SKU-0081</v>
      </c>
      <c r="J583" t="str">
        <f>_xlfn.XLOOKUP(B583,customer_orders!A:A,customer_orders!G:G)</f>
        <v>2026-w11</v>
      </c>
      <c r="K583">
        <f>IFERROR(_xlfn.XLOOKUP(B583,shipments!B:B,shipments!H:H),0)</f>
        <v>102.25</v>
      </c>
      <c r="L583">
        <f t="shared" si="28"/>
        <v>0.21</v>
      </c>
      <c r="M583" t="str">
        <f>_xlfn.XLOOKUP(B583,customer_orders!A:A,customer_orders!D:D)</f>
        <v>Amazon</v>
      </c>
      <c r="N583" t="str">
        <f>_xlfn.XLOOKUP(C583,inventory!B:B,inventory!C:C)</f>
        <v>Lehi</v>
      </c>
      <c r="O583">
        <f>IF(_xlfn.XLOOKUP(C583,products!A:A,products!E:E)="NULL",0,_xlfn.XLOOKUP(C583,products!A:A,products!E:E))</f>
        <v>43.3</v>
      </c>
      <c r="P583">
        <f t="shared" si="29"/>
        <v>445.03999999999996</v>
      </c>
      <c r="Q583" s="2" t="str">
        <f>_xlfn.XLOOKUP(I583,products!B:B,products!D:D)</f>
        <v>Home</v>
      </c>
    </row>
    <row r="584" spans="1:17">
      <c r="A584">
        <v>583</v>
      </c>
      <c r="B584">
        <v>1239</v>
      </c>
      <c r="C584">
        <v>73</v>
      </c>
      <c r="D584">
        <v>4</v>
      </c>
      <c r="E584">
        <v>134.83000000000001</v>
      </c>
      <c r="F584">
        <v>0</v>
      </c>
      <c r="G584">
        <f t="shared" si="27"/>
        <v>539.32000000000005</v>
      </c>
      <c r="H584" t="str">
        <f>_xlfn.XLOOKUP(B584,customer_orders!A:A,customer_orders!F:F)</f>
        <v>2026-02</v>
      </c>
      <c r="I584" t="str">
        <f>_xlfn.XLOOKUP(C584,products!A:A,products!B:B)</f>
        <v>SKU-0073</v>
      </c>
      <c r="J584" t="str">
        <f>_xlfn.XLOOKUP(B584,customer_orders!A:A,customer_orders!G:G)</f>
        <v>2026-w06</v>
      </c>
      <c r="K584">
        <f>IFERROR(_xlfn.XLOOKUP(B584,shipments!B:B,shipments!H:H),0)</f>
        <v>0</v>
      </c>
      <c r="L584">
        <f t="shared" si="28"/>
        <v>0</v>
      </c>
      <c r="M584" t="str">
        <f>_xlfn.XLOOKUP(B584,customer_orders!A:A,customer_orders!D:D)</f>
        <v>Shopify</v>
      </c>
      <c r="N584" t="str">
        <f>_xlfn.XLOOKUP(C584,inventory!B:B,inventory!C:C)</f>
        <v>Draper</v>
      </c>
      <c r="O584">
        <f>IF(_xlfn.XLOOKUP(C584,products!A:A,products!E:E)="NULL",0,_xlfn.XLOOKUP(C584,products!A:A,products!E:E))</f>
        <v>27.28</v>
      </c>
      <c r="P584">
        <f t="shared" si="29"/>
        <v>512.04000000000008</v>
      </c>
      <c r="Q584" s="2" t="str">
        <f>_xlfn.XLOOKUP(I584,products!B:B,products!D:D)</f>
        <v>Sports</v>
      </c>
    </row>
    <row r="585" spans="1:17">
      <c r="A585">
        <v>584</v>
      </c>
      <c r="B585">
        <v>1239</v>
      </c>
      <c r="C585">
        <v>47</v>
      </c>
      <c r="D585">
        <v>7</v>
      </c>
      <c r="E585">
        <v>100.5</v>
      </c>
      <c r="F585">
        <v>0</v>
      </c>
      <c r="G585">
        <f t="shared" si="27"/>
        <v>703.5</v>
      </c>
      <c r="H585" t="str">
        <f>_xlfn.XLOOKUP(B585,customer_orders!A:A,customer_orders!F:F)</f>
        <v>2026-02</v>
      </c>
      <c r="I585" t="str">
        <f>_xlfn.XLOOKUP(C585,products!A:A,products!B:B)</f>
        <v>SKU-0047</v>
      </c>
      <c r="J585" t="str">
        <f>_xlfn.XLOOKUP(B585,customer_orders!A:A,customer_orders!G:G)</f>
        <v>2026-w06</v>
      </c>
      <c r="K585">
        <f>IFERROR(_xlfn.XLOOKUP(B585,shipments!B:B,shipments!H:H),0)</f>
        <v>0</v>
      </c>
      <c r="L585">
        <f t="shared" si="28"/>
        <v>0</v>
      </c>
      <c r="M585" t="str">
        <f>_xlfn.XLOOKUP(B585,customer_orders!A:A,customer_orders!D:D)</f>
        <v>Shopify</v>
      </c>
      <c r="N585" t="str">
        <f>_xlfn.XLOOKUP(C585,inventory!B:B,inventory!C:C)</f>
        <v>Salt Lake City</v>
      </c>
      <c r="O585">
        <f>IF(_xlfn.XLOOKUP(C585,products!A:A,products!E:E)="NULL",0,_xlfn.XLOOKUP(C585,products!A:A,products!E:E))</f>
        <v>122.55</v>
      </c>
      <c r="P585">
        <f t="shared" si="29"/>
        <v>580.95000000000005</v>
      </c>
      <c r="Q585" s="2" t="str">
        <f>_xlfn.XLOOKUP(I585,products!B:B,products!D:D)</f>
        <v>Office</v>
      </c>
    </row>
    <row r="586" spans="1:17">
      <c r="A586">
        <v>585</v>
      </c>
      <c r="B586">
        <v>1239</v>
      </c>
      <c r="C586">
        <v>6</v>
      </c>
      <c r="D586">
        <v>1</v>
      </c>
      <c r="E586">
        <v>256.54000000000002</v>
      </c>
      <c r="F586">
        <v>0</v>
      </c>
      <c r="G586">
        <f t="shared" si="27"/>
        <v>256.54000000000002</v>
      </c>
      <c r="H586" t="str">
        <f>_xlfn.XLOOKUP(B586,customer_orders!A:A,customer_orders!F:F)</f>
        <v>2026-02</v>
      </c>
      <c r="I586" t="str">
        <f>_xlfn.XLOOKUP(C586,products!A:A,products!B:B)</f>
        <v>SKU-0006</v>
      </c>
      <c r="J586" t="str">
        <f>_xlfn.XLOOKUP(B586,customer_orders!A:A,customer_orders!G:G)</f>
        <v>2026-w06</v>
      </c>
      <c r="K586">
        <f>IFERROR(_xlfn.XLOOKUP(B586,shipments!B:B,shipments!H:H),0)</f>
        <v>0</v>
      </c>
      <c r="L586">
        <f t="shared" si="28"/>
        <v>0</v>
      </c>
      <c r="M586" t="str">
        <f>_xlfn.XLOOKUP(B586,customer_orders!A:A,customer_orders!D:D)</f>
        <v>Shopify</v>
      </c>
      <c r="N586" t="str">
        <f>_xlfn.XLOOKUP(C586,inventory!B:B,inventory!C:C)</f>
        <v>South Jordan</v>
      </c>
      <c r="O586">
        <f>IF(_xlfn.XLOOKUP(C586,products!A:A,products!E:E)="NULL",0,_xlfn.XLOOKUP(C586,products!A:A,products!E:E))</f>
        <v>21.93</v>
      </c>
      <c r="P586">
        <f t="shared" si="29"/>
        <v>234.61</v>
      </c>
      <c r="Q586" s="2" t="str">
        <f>_xlfn.XLOOKUP(I586,products!B:B,products!D:D)</f>
        <v>Home</v>
      </c>
    </row>
    <row r="587" spans="1:17">
      <c r="A587">
        <v>586</v>
      </c>
      <c r="B587">
        <v>1240</v>
      </c>
      <c r="C587">
        <v>13</v>
      </c>
      <c r="D587">
        <v>7</v>
      </c>
      <c r="E587">
        <v>236.16</v>
      </c>
      <c r="F587">
        <v>0</v>
      </c>
      <c r="G587">
        <f t="shared" si="27"/>
        <v>1653.12</v>
      </c>
      <c r="H587" t="str">
        <f>_xlfn.XLOOKUP(B587,customer_orders!A:A,customer_orders!F:F)</f>
        <v>2026-04</v>
      </c>
      <c r="I587" t="str">
        <f>_xlfn.XLOOKUP(C587,products!A:A,products!B:B)</f>
        <v>SKU-0013</v>
      </c>
      <c r="J587" t="str">
        <f>_xlfn.XLOOKUP(B587,customer_orders!A:A,customer_orders!G:G)</f>
        <v>2026-w18</v>
      </c>
      <c r="K587">
        <f>IFERROR(_xlfn.XLOOKUP(B587,shipments!B:B,shipments!H:H),0)</f>
        <v>87.36</v>
      </c>
      <c r="L587">
        <f t="shared" si="28"/>
        <v>0.05</v>
      </c>
      <c r="M587" t="str">
        <f>_xlfn.XLOOKUP(B587,customer_orders!A:A,customer_orders!D:D)</f>
        <v>Ebay</v>
      </c>
      <c r="N587" t="str">
        <f>_xlfn.XLOOKUP(C587,inventory!B:B,inventory!C:C)</f>
        <v>Draper</v>
      </c>
      <c r="O587">
        <f>IF(_xlfn.XLOOKUP(C587,products!A:A,products!E:E)="NULL",0,_xlfn.XLOOKUP(C587,products!A:A,products!E:E))</f>
        <v>152.5</v>
      </c>
      <c r="P587">
        <f t="shared" si="29"/>
        <v>1500.62</v>
      </c>
      <c r="Q587" s="2" t="str">
        <f>_xlfn.XLOOKUP(I587,products!B:B,products!D:D)</f>
        <v>Beauty</v>
      </c>
    </row>
    <row r="588" spans="1:17">
      <c r="A588">
        <v>587</v>
      </c>
      <c r="B588">
        <v>1240</v>
      </c>
      <c r="C588">
        <v>39</v>
      </c>
      <c r="D588">
        <v>2</v>
      </c>
      <c r="E588">
        <v>129.30000000000001</v>
      </c>
      <c r="F588">
        <v>0</v>
      </c>
      <c r="G588">
        <f t="shared" si="27"/>
        <v>258.60000000000002</v>
      </c>
      <c r="H588" t="str">
        <f>_xlfn.XLOOKUP(B588,customer_orders!A:A,customer_orders!F:F)</f>
        <v>2026-04</v>
      </c>
      <c r="I588" t="str">
        <f>_xlfn.XLOOKUP(C588,products!A:A,products!B:B)</f>
        <v>SKU-0039</v>
      </c>
      <c r="J588" t="str">
        <f>_xlfn.XLOOKUP(B588,customer_orders!A:A,customer_orders!G:G)</f>
        <v>2026-w18</v>
      </c>
      <c r="K588">
        <f>IFERROR(_xlfn.XLOOKUP(B588,shipments!B:B,shipments!H:H),0)</f>
        <v>87.36</v>
      </c>
      <c r="L588">
        <f t="shared" si="28"/>
        <v>0.34</v>
      </c>
      <c r="M588" t="str">
        <f>_xlfn.XLOOKUP(B588,customer_orders!A:A,customer_orders!D:D)</f>
        <v>Ebay</v>
      </c>
      <c r="N588" t="str">
        <f>_xlfn.XLOOKUP(C588,inventory!B:B,inventory!C:C)</f>
        <v>West Valley</v>
      </c>
      <c r="O588">
        <f>IF(_xlfn.XLOOKUP(C588,products!A:A,products!E:E)="NULL",0,_xlfn.XLOOKUP(C588,products!A:A,products!E:E))</f>
        <v>42.41</v>
      </c>
      <c r="P588">
        <f t="shared" si="29"/>
        <v>216.19000000000003</v>
      </c>
      <c r="Q588" s="2" t="str">
        <f>_xlfn.XLOOKUP(I588,products!B:B,products!D:D)</f>
        <v>Pet</v>
      </c>
    </row>
    <row r="589" spans="1:17">
      <c r="A589">
        <v>588</v>
      </c>
      <c r="B589">
        <v>1241</v>
      </c>
      <c r="C589">
        <v>74</v>
      </c>
      <c r="D589">
        <v>8</v>
      </c>
      <c r="E589">
        <v>130.72999999999999</v>
      </c>
      <c r="F589">
        <v>6.35</v>
      </c>
      <c r="G589">
        <f t="shared" si="27"/>
        <v>1039.49</v>
      </c>
      <c r="H589" t="str">
        <f>_xlfn.XLOOKUP(B589,customer_orders!A:A,customer_orders!F:F)</f>
        <v>2026-02</v>
      </c>
      <c r="I589" t="str">
        <f>_xlfn.XLOOKUP(C589,products!A:A,products!B:B)</f>
        <v>SKU0074</v>
      </c>
      <c r="J589" t="str">
        <f>_xlfn.XLOOKUP(B589,customer_orders!A:A,customer_orders!G:G)</f>
        <v>2026-w09</v>
      </c>
      <c r="K589">
        <f>IFERROR(_xlfn.XLOOKUP(B589,shipments!B:B,shipments!H:H),0)</f>
        <v>31.32</v>
      </c>
      <c r="L589">
        <f t="shared" si="28"/>
        <v>0.03</v>
      </c>
      <c r="M589" t="str">
        <f>_xlfn.XLOOKUP(B589,customer_orders!A:A,customer_orders!D:D)</f>
        <v>Shopify</v>
      </c>
      <c r="N589" t="str">
        <f>_xlfn.XLOOKUP(C589,inventory!B:B,inventory!C:C)</f>
        <v>Unknown</v>
      </c>
      <c r="O589">
        <f>IF(_xlfn.XLOOKUP(C589,products!A:A,products!E:E)="NULL",0,_xlfn.XLOOKUP(C589,products!A:A,products!E:E))</f>
        <v>104.59</v>
      </c>
      <c r="P589">
        <f t="shared" si="29"/>
        <v>934.9</v>
      </c>
      <c r="Q589" s="2" t="str">
        <f>_xlfn.XLOOKUP(I589,products!B:B,products!D:D)</f>
        <v>Toys</v>
      </c>
    </row>
    <row r="590" spans="1:17">
      <c r="A590">
        <v>589</v>
      </c>
      <c r="B590">
        <v>1241</v>
      </c>
      <c r="C590">
        <v>53</v>
      </c>
      <c r="D590">
        <v>4</v>
      </c>
      <c r="E590">
        <v>73.03</v>
      </c>
      <c r="F590">
        <v>0</v>
      </c>
      <c r="G590">
        <f t="shared" si="27"/>
        <v>292.12</v>
      </c>
      <c r="H590" t="str">
        <f>_xlfn.XLOOKUP(B590,customer_orders!A:A,customer_orders!F:F)</f>
        <v>2026-02</v>
      </c>
      <c r="I590" t="str">
        <f>_xlfn.XLOOKUP(C590,products!A:A,products!B:B)</f>
        <v>SKU-0053</v>
      </c>
      <c r="J590" t="str">
        <f>_xlfn.XLOOKUP(B590,customer_orders!A:A,customer_orders!G:G)</f>
        <v>2026-w09</v>
      </c>
      <c r="K590">
        <f>IFERROR(_xlfn.XLOOKUP(B590,shipments!B:B,shipments!H:H),0)</f>
        <v>31.32</v>
      </c>
      <c r="L590">
        <f t="shared" si="28"/>
        <v>0.11</v>
      </c>
      <c r="M590" t="str">
        <f>_xlfn.XLOOKUP(B590,customer_orders!A:A,customer_orders!D:D)</f>
        <v>Shopify</v>
      </c>
      <c r="N590" t="str">
        <f>_xlfn.XLOOKUP(C590,inventory!B:B,inventory!C:C)</f>
        <v>Unknown</v>
      </c>
      <c r="O590">
        <f>IF(_xlfn.XLOOKUP(C590,products!A:A,products!E:E)="NULL",0,_xlfn.XLOOKUP(C590,products!A:A,products!E:E))</f>
        <v>0</v>
      </c>
      <c r="P590">
        <f t="shared" si="29"/>
        <v>292.12</v>
      </c>
      <c r="Q590" s="2" t="str">
        <f>_xlfn.XLOOKUP(I590,products!B:B,products!D:D)</f>
        <v>Beauty</v>
      </c>
    </row>
    <row r="591" spans="1:17">
      <c r="A591">
        <v>590</v>
      </c>
      <c r="B591">
        <v>1241</v>
      </c>
      <c r="C591">
        <v>49</v>
      </c>
      <c r="D591">
        <v>7</v>
      </c>
      <c r="E591">
        <v>280.98</v>
      </c>
      <c r="F591">
        <v>0</v>
      </c>
      <c r="G591">
        <f t="shared" si="27"/>
        <v>1966.8600000000001</v>
      </c>
      <c r="H591" t="str">
        <f>_xlfn.XLOOKUP(B591,customer_orders!A:A,customer_orders!F:F)</f>
        <v>2026-02</v>
      </c>
      <c r="I591" t="str">
        <f>_xlfn.XLOOKUP(C591,products!A:A,products!B:B)</f>
        <v>SKU-0049</v>
      </c>
      <c r="J591" t="str">
        <f>_xlfn.XLOOKUP(B591,customer_orders!A:A,customer_orders!G:G)</f>
        <v>2026-w09</v>
      </c>
      <c r="K591">
        <f>IFERROR(_xlfn.XLOOKUP(B591,shipments!B:B,shipments!H:H),0)</f>
        <v>31.32</v>
      </c>
      <c r="L591">
        <f t="shared" si="28"/>
        <v>0.02</v>
      </c>
      <c r="M591" t="str">
        <f>_xlfn.XLOOKUP(B591,customer_orders!A:A,customer_orders!D:D)</f>
        <v>Shopify</v>
      </c>
      <c r="N591" t="str">
        <f>_xlfn.XLOOKUP(C591,inventory!B:B,inventory!C:C)</f>
        <v>Salt Lake City</v>
      </c>
      <c r="O591">
        <f>IF(_xlfn.XLOOKUP(C591,products!A:A,products!E:E)="NULL",0,_xlfn.XLOOKUP(C591,products!A:A,products!E:E))</f>
        <v>51.41</v>
      </c>
      <c r="P591">
        <f t="shared" si="29"/>
        <v>1915.45</v>
      </c>
      <c r="Q591" s="2" t="str">
        <f>_xlfn.XLOOKUP(I591,products!B:B,products!D:D)</f>
        <v>Beauty</v>
      </c>
    </row>
    <row r="592" spans="1:17">
      <c r="A592">
        <v>591</v>
      </c>
      <c r="B592">
        <v>1242</v>
      </c>
      <c r="C592">
        <v>83</v>
      </c>
      <c r="D592">
        <v>7</v>
      </c>
      <c r="E592">
        <v>269.23</v>
      </c>
      <c r="F592">
        <v>10.62</v>
      </c>
      <c r="G592">
        <f t="shared" si="27"/>
        <v>1873.9900000000002</v>
      </c>
      <c r="H592" t="str">
        <f>_xlfn.XLOOKUP(B592,customer_orders!A:A,customer_orders!F:F)</f>
        <v>2026-04</v>
      </c>
      <c r="I592" t="str">
        <f>_xlfn.XLOOKUP(C592,products!A:A,products!B:B)</f>
        <v>SKU-0083</v>
      </c>
      <c r="J592" t="str">
        <f>_xlfn.XLOOKUP(B592,customer_orders!A:A,customer_orders!G:G)</f>
        <v>2026-w18</v>
      </c>
      <c r="K592">
        <f>IFERROR(_xlfn.XLOOKUP(B592,shipments!B:B,shipments!H:H),0)</f>
        <v>58.63</v>
      </c>
      <c r="L592">
        <f t="shared" si="28"/>
        <v>0.03</v>
      </c>
      <c r="M592" t="str">
        <f>_xlfn.XLOOKUP(B592,customer_orders!A:A,customer_orders!D:D)</f>
        <v>Amazon</v>
      </c>
      <c r="N592" t="str">
        <f>_xlfn.XLOOKUP(C592,inventory!B:B,inventory!C:C)</f>
        <v>Salt Lake City</v>
      </c>
      <c r="O592">
        <f>IF(_xlfn.XLOOKUP(C592,products!A:A,products!E:E)="NULL",0,_xlfn.XLOOKUP(C592,products!A:A,products!E:E))</f>
        <v>147.63</v>
      </c>
      <c r="P592">
        <f t="shared" si="29"/>
        <v>1726.3600000000001</v>
      </c>
      <c r="Q592" s="2" t="str">
        <f>_xlfn.XLOOKUP(I592,products!B:B,products!D:D)</f>
        <v>Pet</v>
      </c>
    </row>
    <row r="593" spans="1:17">
      <c r="A593">
        <v>592</v>
      </c>
      <c r="B593">
        <v>1242</v>
      </c>
      <c r="C593">
        <v>109</v>
      </c>
      <c r="D593">
        <v>5</v>
      </c>
      <c r="E593">
        <v>257.52</v>
      </c>
      <c r="F593">
        <v>0</v>
      </c>
      <c r="G593">
        <f t="shared" si="27"/>
        <v>1287.5999999999999</v>
      </c>
      <c r="H593" t="str">
        <f>_xlfn.XLOOKUP(B593,customer_orders!A:A,customer_orders!F:F)</f>
        <v>2026-04</v>
      </c>
      <c r="I593" t="str">
        <f>_xlfn.XLOOKUP(C593,products!A:A,products!B:B)</f>
        <v>SKU-0109</v>
      </c>
      <c r="J593" t="str">
        <f>_xlfn.XLOOKUP(B593,customer_orders!A:A,customer_orders!G:G)</f>
        <v>2026-w18</v>
      </c>
      <c r="K593">
        <f>IFERROR(_xlfn.XLOOKUP(B593,shipments!B:B,shipments!H:H),0)</f>
        <v>58.63</v>
      </c>
      <c r="L593">
        <f t="shared" si="28"/>
        <v>0.05</v>
      </c>
      <c r="M593" t="str">
        <f>_xlfn.XLOOKUP(B593,customer_orders!A:A,customer_orders!D:D)</f>
        <v>Amazon</v>
      </c>
      <c r="N593" t="str">
        <f>_xlfn.XLOOKUP(C593,inventory!B:B,inventory!C:C)</f>
        <v>Draper</v>
      </c>
      <c r="O593">
        <f>IF(_xlfn.XLOOKUP(C593,products!A:A,products!E:E)="NULL",0,_xlfn.XLOOKUP(C593,products!A:A,products!E:E))</f>
        <v>10.02</v>
      </c>
      <c r="P593">
        <f t="shared" si="29"/>
        <v>1277.58</v>
      </c>
      <c r="Q593" s="2" t="str">
        <f>_xlfn.XLOOKUP(I593,products!B:B,products!D:D)</f>
        <v>Office</v>
      </c>
    </row>
    <row r="594" spans="1:17">
      <c r="A594">
        <v>593</v>
      </c>
      <c r="B594">
        <v>1243</v>
      </c>
      <c r="C594">
        <v>102</v>
      </c>
      <c r="D594">
        <v>6</v>
      </c>
      <c r="E594">
        <v>71.52</v>
      </c>
      <c r="F594">
        <v>0</v>
      </c>
      <c r="G594">
        <f t="shared" si="27"/>
        <v>429.12</v>
      </c>
      <c r="H594" t="str">
        <f>_xlfn.XLOOKUP(B594,customer_orders!A:A,customer_orders!F:F)</f>
        <v>2026-03</v>
      </c>
      <c r="I594" t="str">
        <f>_xlfn.XLOOKUP(C594,products!A:A,products!B:B)</f>
        <v>SKU-0102</v>
      </c>
      <c r="J594" t="str">
        <f>_xlfn.XLOOKUP(B594,customer_orders!A:A,customer_orders!G:G)</f>
        <v>2026-w10</v>
      </c>
      <c r="K594">
        <f>IFERROR(_xlfn.XLOOKUP(B594,shipments!B:B,shipments!H:H),0)</f>
        <v>34.21</v>
      </c>
      <c r="L594">
        <f t="shared" si="28"/>
        <v>0.08</v>
      </c>
      <c r="M594" t="str">
        <f>_xlfn.XLOOKUP(B594,customer_orders!A:A,customer_orders!D:D)</f>
        <v>Amazon</v>
      </c>
      <c r="N594" t="str">
        <f>_xlfn.XLOOKUP(C594,inventory!B:B,inventory!C:C)</f>
        <v>West Valley</v>
      </c>
      <c r="O594">
        <f>IF(_xlfn.XLOOKUP(C594,products!A:A,products!E:E)="NULL",0,_xlfn.XLOOKUP(C594,products!A:A,products!E:E))</f>
        <v>169.76</v>
      </c>
      <c r="P594">
        <f t="shared" si="29"/>
        <v>259.36</v>
      </c>
      <c r="Q594" s="2" t="str">
        <f>_xlfn.XLOOKUP(I594,products!B:B,products!D:D)</f>
        <v>Office</v>
      </c>
    </row>
    <row r="595" spans="1:17">
      <c r="A595">
        <v>594</v>
      </c>
      <c r="B595">
        <v>1243</v>
      </c>
      <c r="C595">
        <v>149</v>
      </c>
      <c r="D595">
        <v>3</v>
      </c>
      <c r="E595">
        <v>258.51</v>
      </c>
      <c r="F595">
        <v>4.6399999999999997</v>
      </c>
      <c r="G595">
        <f t="shared" si="27"/>
        <v>770.89</v>
      </c>
      <c r="H595" t="str">
        <f>_xlfn.XLOOKUP(B595,customer_orders!A:A,customer_orders!F:F)</f>
        <v>2026-03</v>
      </c>
      <c r="I595" t="str">
        <f>_xlfn.XLOOKUP(C595,products!A:A,products!B:B)</f>
        <v>SKU-0149</v>
      </c>
      <c r="J595" t="str">
        <f>_xlfn.XLOOKUP(B595,customer_orders!A:A,customer_orders!G:G)</f>
        <v>2026-w10</v>
      </c>
      <c r="K595">
        <f>IFERROR(_xlfn.XLOOKUP(B595,shipments!B:B,shipments!H:H),0)</f>
        <v>34.21</v>
      </c>
      <c r="L595">
        <f t="shared" si="28"/>
        <v>0.04</v>
      </c>
      <c r="M595" t="str">
        <f>_xlfn.XLOOKUP(B595,customer_orders!A:A,customer_orders!D:D)</f>
        <v>Amazon</v>
      </c>
      <c r="N595" t="str">
        <f>_xlfn.XLOOKUP(C595,inventory!B:B,inventory!C:C)</f>
        <v>South Jordan</v>
      </c>
      <c r="O595">
        <f>IF(_xlfn.XLOOKUP(C595,products!A:A,products!E:E)="NULL",0,_xlfn.XLOOKUP(C595,products!A:A,products!E:E))</f>
        <v>140.22</v>
      </c>
      <c r="P595">
        <f t="shared" si="29"/>
        <v>630.66999999999996</v>
      </c>
      <c r="Q595" s="2" t="str">
        <f>_xlfn.XLOOKUP(I595,products!B:B,products!D:D)</f>
        <v>Home</v>
      </c>
    </row>
    <row r="596" spans="1:17">
      <c r="A596">
        <v>595</v>
      </c>
      <c r="B596">
        <v>1243</v>
      </c>
      <c r="C596">
        <v>87</v>
      </c>
      <c r="D596">
        <v>8</v>
      </c>
      <c r="E596">
        <v>124.17</v>
      </c>
      <c r="F596">
        <v>0</v>
      </c>
      <c r="G596">
        <f t="shared" si="27"/>
        <v>993.36</v>
      </c>
      <c r="H596" t="str">
        <f>_xlfn.XLOOKUP(B596,customer_orders!A:A,customer_orders!F:F)</f>
        <v>2026-03</v>
      </c>
      <c r="I596" t="str">
        <f>_xlfn.XLOOKUP(C596,products!A:A,products!B:B)</f>
        <v>SKU-0087</v>
      </c>
      <c r="J596" t="str">
        <f>_xlfn.XLOOKUP(B596,customer_orders!A:A,customer_orders!G:G)</f>
        <v>2026-w10</v>
      </c>
      <c r="K596">
        <f>IFERROR(_xlfn.XLOOKUP(B596,shipments!B:B,shipments!H:H),0)</f>
        <v>34.21</v>
      </c>
      <c r="L596">
        <f t="shared" si="28"/>
        <v>0.03</v>
      </c>
      <c r="M596" t="str">
        <f>_xlfn.XLOOKUP(B596,customer_orders!A:A,customer_orders!D:D)</f>
        <v>Amazon</v>
      </c>
      <c r="N596" t="str">
        <f>_xlfn.XLOOKUP(C596,inventory!B:B,inventory!C:C)</f>
        <v>Unknown</v>
      </c>
      <c r="O596">
        <f>IF(_xlfn.XLOOKUP(C596,products!A:A,products!E:E)="NULL",0,_xlfn.XLOOKUP(C596,products!A:A,products!E:E))</f>
        <v>31.4</v>
      </c>
      <c r="P596">
        <f t="shared" si="29"/>
        <v>961.96</v>
      </c>
      <c r="Q596" s="2" t="str">
        <f>_xlfn.XLOOKUP(I596,products!B:B,products!D:D)</f>
        <v>Home</v>
      </c>
    </row>
    <row r="597" spans="1:17">
      <c r="A597">
        <v>596</v>
      </c>
      <c r="B597">
        <v>1244</v>
      </c>
      <c r="C597">
        <v>133</v>
      </c>
      <c r="D597">
        <v>6</v>
      </c>
      <c r="E597">
        <v>214.42</v>
      </c>
      <c r="F597">
        <v>0</v>
      </c>
      <c r="G597">
        <f t="shared" si="27"/>
        <v>1286.52</v>
      </c>
      <c r="H597" t="str">
        <f>_xlfn.XLOOKUP(B597,customer_orders!A:A,customer_orders!F:F)</f>
        <v>2026-04</v>
      </c>
      <c r="I597" t="str">
        <f>_xlfn.XLOOKUP(C597,products!A:A,products!B:B)</f>
        <v>SKU-0133</v>
      </c>
      <c r="J597" t="str">
        <f>_xlfn.XLOOKUP(B597,customer_orders!A:A,customer_orders!G:G)</f>
        <v>2026-w14</v>
      </c>
      <c r="K597">
        <f>IFERROR(_xlfn.XLOOKUP(B597,shipments!B:B,shipments!H:H),0)</f>
        <v>8.16</v>
      </c>
      <c r="L597">
        <f t="shared" si="28"/>
        <v>0.01</v>
      </c>
      <c r="M597" t="str">
        <f>_xlfn.XLOOKUP(B597,customer_orders!A:A,customer_orders!D:D)</f>
        <v>Ebay</v>
      </c>
      <c r="N597" t="str">
        <f>_xlfn.XLOOKUP(C597,inventory!B:B,inventory!C:C)</f>
        <v>Unknown</v>
      </c>
      <c r="O597">
        <f>IF(_xlfn.XLOOKUP(C597,products!A:A,products!E:E)="NULL",0,_xlfn.XLOOKUP(C597,products!A:A,products!E:E))</f>
        <v>125.52</v>
      </c>
      <c r="P597">
        <f t="shared" si="29"/>
        <v>1161</v>
      </c>
      <c r="Q597" s="2" t="str">
        <f>_xlfn.XLOOKUP(I597,products!B:B,products!D:D)</f>
        <v>Home</v>
      </c>
    </row>
    <row r="598" spans="1:17">
      <c r="A598">
        <v>597</v>
      </c>
      <c r="B598">
        <v>1244</v>
      </c>
      <c r="C598">
        <v>81</v>
      </c>
      <c r="D598">
        <v>8</v>
      </c>
      <c r="E598">
        <v>244.17</v>
      </c>
      <c r="F598">
        <v>0</v>
      </c>
      <c r="G598">
        <f t="shared" si="27"/>
        <v>1953.36</v>
      </c>
      <c r="H598" t="str">
        <f>_xlfn.XLOOKUP(B598,customer_orders!A:A,customer_orders!F:F)</f>
        <v>2026-04</v>
      </c>
      <c r="I598" t="str">
        <f>_xlfn.XLOOKUP(C598,products!A:A,products!B:B)</f>
        <v>SKU-0081</v>
      </c>
      <c r="J598" t="str">
        <f>_xlfn.XLOOKUP(B598,customer_orders!A:A,customer_orders!G:G)</f>
        <v>2026-w14</v>
      </c>
      <c r="K598">
        <f>IFERROR(_xlfn.XLOOKUP(B598,shipments!B:B,shipments!H:H),0)</f>
        <v>8.16</v>
      </c>
      <c r="L598">
        <f t="shared" si="28"/>
        <v>0</v>
      </c>
      <c r="M598" t="str">
        <f>_xlfn.XLOOKUP(B598,customer_orders!A:A,customer_orders!D:D)</f>
        <v>Ebay</v>
      </c>
      <c r="N598" t="str">
        <f>_xlfn.XLOOKUP(C598,inventory!B:B,inventory!C:C)</f>
        <v>Lehi</v>
      </c>
      <c r="O598">
        <f>IF(_xlfn.XLOOKUP(C598,products!A:A,products!E:E)="NULL",0,_xlfn.XLOOKUP(C598,products!A:A,products!E:E))</f>
        <v>43.3</v>
      </c>
      <c r="P598">
        <f t="shared" si="29"/>
        <v>1910.06</v>
      </c>
      <c r="Q598" s="2" t="str">
        <f>_xlfn.XLOOKUP(I598,products!B:B,products!D:D)</f>
        <v>Home</v>
      </c>
    </row>
    <row r="599" spans="1:17">
      <c r="A599">
        <v>598</v>
      </c>
      <c r="B599">
        <v>1244</v>
      </c>
      <c r="C599">
        <v>143</v>
      </c>
      <c r="D599">
        <v>8</v>
      </c>
      <c r="E599">
        <v>171.53</v>
      </c>
      <c r="F599">
        <v>0</v>
      </c>
      <c r="G599">
        <f t="shared" si="27"/>
        <v>1372.24</v>
      </c>
      <c r="H599" t="str">
        <f>_xlfn.XLOOKUP(B599,customer_orders!A:A,customer_orders!F:F)</f>
        <v>2026-04</v>
      </c>
      <c r="I599" t="str">
        <f>_xlfn.XLOOKUP(C599,products!A:A,products!B:B)</f>
        <v>SKU-0143</v>
      </c>
      <c r="J599" t="str">
        <f>_xlfn.XLOOKUP(B599,customer_orders!A:A,customer_orders!G:G)</f>
        <v>2026-w14</v>
      </c>
      <c r="K599">
        <f>IFERROR(_xlfn.XLOOKUP(B599,shipments!B:B,shipments!H:H),0)</f>
        <v>8.16</v>
      </c>
      <c r="L599">
        <f t="shared" si="28"/>
        <v>0.01</v>
      </c>
      <c r="M599" t="str">
        <f>_xlfn.XLOOKUP(B599,customer_orders!A:A,customer_orders!D:D)</f>
        <v>Ebay</v>
      </c>
      <c r="N599" t="str">
        <f>_xlfn.XLOOKUP(C599,inventory!B:B,inventory!C:C)</f>
        <v>South Jordan</v>
      </c>
      <c r="O599">
        <f>IF(_xlfn.XLOOKUP(C599,products!A:A,products!E:E)="NULL",0,_xlfn.XLOOKUP(C599,products!A:A,products!E:E))</f>
        <v>40.619999999999997</v>
      </c>
      <c r="P599">
        <f t="shared" si="29"/>
        <v>1331.6200000000001</v>
      </c>
      <c r="Q599" s="2" t="str">
        <f>_xlfn.XLOOKUP(I599,products!B:B,products!D:D)</f>
        <v>Pet</v>
      </c>
    </row>
    <row r="600" spans="1:17">
      <c r="A600">
        <v>599</v>
      </c>
      <c r="B600">
        <v>1245</v>
      </c>
      <c r="C600">
        <v>144</v>
      </c>
      <c r="D600">
        <v>8</v>
      </c>
      <c r="E600">
        <v>194.56</v>
      </c>
      <c r="F600">
        <v>0</v>
      </c>
      <c r="G600">
        <f t="shared" si="27"/>
        <v>1556.48</v>
      </c>
      <c r="H600" t="str">
        <f>_xlfn.XLOOKUP(B600,customer_orders!A:A,customer_orders!F:F)</f>
        <v>2026-01</v>
      </c>
      <c r="I600" t="str">
        <f>_xlfn.XLOOKUP(C600,products!A:A,products!B:B)</f>
        <v>SKU-0144</v>
      </c>
      <c r="J600" t="str">
        <f>_xlfn.XLOOKUP(B600,customer_orders!A:A,customer_orders!G:G)</f>
        <v>2026-w05</v>
      </c>
      <c r="K600">
        <f>IFERROR(_xlfn.XLOOKUP(B600,shipments!B:B,shipments!H:H),0)</f>
        <v>28.64</v>
      </c>
      <c r="L600">
        <f t="shared" si="28"/>
        <v>0.02</v>
      </c>
      <c r="M600" t="str">
        <f>_xlfn.XLOOKUP(B600,customer_orders!A:A,customer_orders!D:D)</f>
        <v>Amazon</v>
      </c>
      <c r="N600" t="str">
        <f>_xlfn.XLOOKUP(C600,inventory!B:B,inventory!C:C)</f>
        <v>South Jordan</v>
      </c>
      <c r="O600">
        <f>IF(_xlfn.XLOOKUP(C600,products!A:A,products!E:E)="NULL",0,_xlfn.XLOOKUP(C600,products!A:A,products!E:E))</f>
        <v>10.050000000000001</v>
      </c>
      <c r="P600">
        <f t="shared" si="29"/>
        <v>1546.43</v>
      </c>
      <c r="Q600" s="2" t="str">
        <f>_xlfn.XLOOKUP(I600,products!B:B,products!D:D)</f>
        <v>Pet</v>
      </c>
    </row>
    <row r="601" spans="1:17">
      <c r="A601">
        <v>600</v>
      </c>
      <c r="B601">
        <v>1245</v>
      </c>
      <c r="C601">
        <v>38</v>
      </c>
      <c r="D601">
        <v>2</v>
      </c>
      <c r="E601">
        <v>256.88</v>
      </c>
      <c r="F601">
        <v>0</v>
      </c>
      <c r="G601">
        <f t="shared" si="27"/>
        <v>513.76</v>
      </c>
      <c r="H601" t="str">
        <f>_xlfn.XLOOKUP(B601,customer_orders!A:A,customer_orders!F:F)</f>
        <v>2026-01</v>
      </c>
      <c r="I601" t="str">
        <f>_xlfn.XLOOKUP(C601,products!A:A,products!B:B)</f>
        <v>SKU-0038</v>
      </c>
      <c r="J601" t="str">
        <f>_xlfn.XLOOKUP(B601,customer_orders!A:A,customer_orders!G:G)</f>
        <v>2026-w05</v>
      </c>
      <c r="K601">
        <f>IFERROR(_xlfn.XLOOKUP(B601,shipments!B:B,shipments!H:H),0)</f>
        <v>28.64</v>
      </c>
      <c r="L601">
        <f t="shared" si="28"/>
        <v>0.06</v>
      </c>
      <c r="M601" t="str">
        <f>_xlfn.XLOOKUP(B601,customer_orders!A:A,customer_orders!D:D)</f>
        <v>Amazon</v>
      </c>
      <c r="N601" t="str">
        <f>_xlfn.XLOOKUP(C601,inventory!B:B,inventory!C:C)</f>
        <v>Unknown</v>
      </c>
      <c r="O601">
        <f>IF(_xlfn.XLOOKUP(C601,products!A:A,products!E:E)="NULL",0,_xlfn.XLOOKUP(C601,products!A:A,products!E:E))</f>
        <v>167.11</v>
      </c>
      <c r="P601">
        <f t="shared" si="29"/>
        <v>346.65</v>
      </c>
      <c r="Q601" s="2" t="str">
        <f>_xlfn.XLOOKUP(I601,products!B:B,products!D:D)</f>
        <v>Electronics</v>
      </c>
    </row>
    <row r="602" spans="1:17">
      <c r="A602">
        <v>601</v>
      </c>
      <c r="B602">
        <v>1245</v>
      </c>
      <c r="C602">
        <v>73</v>
      </c>
      <c r="D602">
        <v>3</v>
      </c>
      <c r="E602">
        <v>134.83000000000001</v>
      </c>
      <c r="F602">
        <v>0</v>
      </c>
      <c r="G602">
        <f t="shared" si="27"/>
        <v>404.49</v>
      </c>
      <c r="H602" t="str">
        <f>_xlfn.XLOOKUP(B602,customer_orders!A:A,customer_orders!F:F)</f>
        <v>2026-01</v>
      </c>
      <c r="I602" t="str">
        <f>_xlfn.XLOOKUP(C602,products!A:A,products!B:B)</f>
        <v>SKU-0073</v>
      </c>
      <c r="J602" t="str">
        <f>_xlfn.XLOOKUP(B602,customer_orders!A:A,customer_orders!G:G)</f>
        <v>2026-w05</v>
      </c>
      <c r="K602">
        <f>IFERROR(_xlfn.XLOOKUP(B602,shipments!B:B,shipments!H:H),0)</f>
        <v>28.64</v>
      </c>
      <c r="L602">
        <f t="shared" si="28"/>
        <v>7.0000000000000007E-2</v>
      </c>
      <c r="M602" t="str">
        <f>_xlfn.XLOOKUP(B602,customer_orders!A:A,customer_orders!D:D)</f>
        <v>Amazon</v>
      </c>
      <c r="N602" t="str">
        <f>_xlfn.XLOOKUP(C602,inventory!B:B,inventory!C:C)</f>
        <v>Draper</v>
      </c>
      <c r="O602">
        <f>IF(_xlfn.XLOOKUP(C602,products!A:A,products!E:E)="NULL",0,_xlfn.XLOOKUP(C602,products!A:A,products!E:E))</f>
        <v>27.28</v>
      </c>
      <c r="P602">
        <f t="shared" si="29"/>
        <v>377.21000000000004</v>
      </c>
      <c r="Q602" s="2" t="str">
        <f>_xlfn.XLOOKUP(I602,products!B:B,products!D:D)</f>
        <v>Sports</v>
      </c>
    </row>
    <row r="603" spans="1:17">
      <c r="A603">
        <v>602</v>
      </c>
      <c r="B603">
        <v>1246</v>
      </c>
      <c r="C603">
        <v>85</v>
      </c>
      <c r="D603">
        <v>1</v>
      </c>
      <c r="E603">
        <v>163.57</v>
      </c>
      <c r="F603">
        <v>0</v>
      </c>
      <c r="G603">
        <f t="shared" si="27"/>
        <v>163.57</v>
      </c>
      <c r="H603" t="str">
        <f>_xlfn.XLOOKUP(B603,customer_orders!A:A,customer_orders!F:F)</f>
        <v>2026-01</v>
      </c>
      <c r="I603" t="str">
        <f>_xlfn.XLOOKUP(C603,products!A:A,products!B:B)</f>
        <v>SKU-0085</v>
      </c>
      <c r="J603" t="str">
        <f>_xlfn.XLOOKUP(B603,customer_orders!A:A,customer_orders!G:G)</f>
        <v>2026-w04</v>
      </c>
      <c r="K603">
        <f>IFERROR(_xlfn.XLOOKUP(B603,shipments!B:B,shipments!H:H),0)</f>
        <v>111.78</v>
      </c>
      <c r="L603">
        <f t="shared" si="28"/>
        <v>0.68</v>
      </c>
      <c r="M603" t="str">
        <f>_xlfn.XLOOKUP(B603,customer_orders!A:A,customer_orders!D:D)</f>
        <v>Walmart</v>
      </c>
      <c r="N603" t="str">
        <f>_xlfn.XLOOKUP(C603,inventory!B:B,inventory!C:C)</f>
        <v>Draper</v>
      </c>
      <c r="O603">
        <f>IF(_xlfn.XLOOKUP(C603,products!A:A,products!E:E)="NULL",0,_xlfn.XLOOKUP(C603,products!A:A,products!E:E))</f>
        <v>139.02000000000001</v>
      </c>
      <c r="P603">
        <f t="shared" si="29"/>
        <v>24.549999999999983</v>
      </c>
      <c r="Q603" s="2" t="str">
        <f>_xlfn.XLOOKUP(I603,products!B:B,products!D:D)</f>
        <v>Beauty</v>
      </c>
    </row>
    <row r="604" spans="1:17">
      <c r="A604">
        <v>603</v>
      </c>
      <c r="B604">
        <v>1247</v>
      </c>
      <c r="C604">
        <v>117</v>
      </c>
      <c r="D604">
        <v>5</v>
      </c>
      <c r="E604">
        <v>293.33</v>
      </c>
      <c r="F604">
        <v>0</v>
      </c>
      <c r="G604">
        <f t="shared" si="27"/>
        <v>1466.6499999999999</v>
      </c>
      <c r="H604" t="str">
        <f>_xlfn.XLOOKUP(B604,customer_orders!A:A,customer_orders!F:F)</f>
        <v>2026-01</v>
      </c>
      <c r="I604" t="str">
        <f>_xlfn.XLOOKUP(C604,products!A:A,products!B:B)</f>
        <v>SKU-0117</v>
      </c>
      <c r="J604" t="str">
        <f>_xlfn.XLOOKUP(B604,customer_orders!A:A,customer_orders!G:G)</f>
        <v>2026-w04</v>
      </c>
      <c r="K604">
        <f>IFERROR(_xlfn.XLOOKUP(B604,shipments!B:B,shipments!H:H),0)</f>
        <v>14.74</v>
      </c>
      <c r="L604">
        <f t="shared" si="28"/>
        <v>0.01</v>
      </c>
      <c r="M604" t="str">
        <f>_xlfn.XLOOKUP(B604,customer_orders!A:A,customer_orders!D:D)</f>
        <v>Shopify</v>
      </c>
      <c r="N604" t="str">
        <f>_xlfn.XLOOKUP(C604,inventory!B:B,inventory!C:C)</f>
        <v>Draper</v>
      </c>
      <c r="O604">
        <f>IF(_xlfn.XLOOKUP(C604,products!A:A,products!E:E)="NULL",0,_xlfn.XLOOKUP(C604,products!A:A,products!E:E))</f>
        <v>131.80000000000001</v>
      </c>
      <c r="P604">
        <f t="shared" si="29"/>
        <v>1334.85</v>
      </c>
      <c r="Q604" s="2" t="str">
        <f>_xlfn.XLOOKUP(I604,products!B:B,products!D:D)</f>
        <v>Pet</v>
      </c>
    </row>
    <row r="605" spans="1:17">
      <c r="A605">
        <v>604</v>
      </c>
      <c r="B605">
        <v>1247</v>
      </c>
      <c r="C605">
        <v>85</v>
      </c>
      <c r="D605">
        <v>1</v>
      </c>
      <c r="E605">
        <v>163.57</v>
      </c>
      <c r="F605">
        <v>10.19</v>
      </c>
      <c r="G605">
        <f t="shared" si="27"/>
        <v>153.38</v>
      </c>
      <c r="H605" t="str">
        <f>_xlfn.XLOOKUP(B605,customer_orders!A:A,customer_orders!F:F)</f>
        <v>2026-01</v>
      </c>
      <c r="I605" t="str">
        <f>_xlfn.XLOOKUP(C605,products!A:A,products!B:B)</f>
        <v>SKU-0085</v>
      </c>
      <c r="J605" t="str">
        <f>_xlfn.XLOOKUP(B605,customer_orders!A:A,customer_orders!G:G)</f>
        <v>2026-w04</v>
      </c>
      <c r="K605">
        <f>IFERROR(_xlfn.XLOOKUP(B605,shipments!B:B,shipments!H:H),0)</f>
        <v>14.74</v>
      </c>
      <c r="L605">
        <f t="shared" si="28"/>
        <v>0.1</v>
      </c>
      <c r="M605" t="str">
        <f>_xlfn.XLOOKUP(B605,customer_orders!A:A,customer_orders!D:D)</f>
        <v>Shopify</v>
      </c>
      <c r="N605" t="str">
        <f>_xlfn.XLOOKUP(C605,inventory!B:B,inventory!C:C)</f>
        <v>Draper</v>
      </c>
      <c r="O605">
        <f>IF(_xlfn.XLOOKUP(C605,products!A:A,products!E:E)="NULL",0,_xlfn.XLOOKUP(C605,products!A:A,products!E:E))</f>
        <v>139.02000000000001</v>
      </c>
      <c r="P605">
        <f t="shared" si="29"/>
        <v>14.359999999999985</v>
      </c>
      <c r="Q605" s="2" t="str">
        <f>_xlfn.XLOOKUP(I605,products!B:B,products!D:D)</f>
        <v>Beauty</v>
      </c>
    </row>
    <row r="606" spans="1:17">
      <c r="A606">
        <v>605</v>
      </c>
      <c r="B606">
        <v>1247</v>
      </c>
      <c r="C606">
        <v>84</v>
      </c>
      <c r="D606">
        <v>3</v>
      </c>
      <c r="E606">
        <v>150.28</v>
      </c>
      <c r="F606">
        <v>0</v>
      </c>
      <c r="G606">
        <f t="shared" si="27"/>
        <v>450.84000000000003</v>
      </c>
      <c r="H606" t="str">
        <f>_xlfn.XLOOKUP(B606,customer_orders!A:A,customer_orders!F:F)</f>
        <v>2026-01</v>
      </c>
      <c r="I606" t="str">
        <f>_xlfn.XLOOKUP(C606,products!A:A,products!B:B)</f>
        <v>SKU-0084</v>
      </c>
      <c r="J606" t="str">
        <f>_xlfn.XLOOKUP(B606,customer_orders!A:A,customer_orders!G:G)</f>
        <v>2026-w04</v>
      </c>
      <c r="K606">
        <f>IFERROR(_xlfn.XLOOKUP(B606,shipments!B:B,shipments!H:H),0)</f>
        <v>14.74</v>
      </c>
      <c r="L606">
        <f t="shared" si="28"/>
        <v>0.03</v>
      </c>
      <c r="M606" t="str">
        <f>_xlfn.XLOOKUP(B606,customer_orders!A:A,customer_orders!D:D)</f>
        <v>Shopify</v>
      </c>
      <c r="N606" t="str">
        <f>_xlfn.XLOOKUP(C606,inventory!B:B,inventory!C:C)</f>
        <v>Draper</v>
      </c>
      <c r="O606">
        <f>IF(_xlfn.XLOOKUP(C606,products!A:A,products!E:E)="NULL",0,_xlfn.XLOOKUP(C606,products!A:A,products!E:E))</f>
        <v>135.13999999999999</v>
      </c>
      <c r="P606">
        <f t="shared" si="29"/>
        <v>315.70000000000005</v>
      </c>
      <c r="Q606" s="2" t="str">
        <f>_xlfn.XLOOKUP(I606,products!B:B,products!D:D)</f>
        <v>Pet</v>
      </c>
    </row>
    <row r="607" spans="1:17">
      <c r="A607">
        <v>606</v>
      </c>
      <c r="B607">
        <v>1247</v>
      </c>
      <c r="C607">
        <v>73</v>
      </c>
      <c r="D607">
        <v>6</v>
      </c>
      <c r="E607">
        <v>134.83000000000001</v>
      </c>
      <c r="F607">
        <v>0</v>
      </c>
      <c r="G607">
        <f t="shared" si="27"/>
        <v>808.98</v>
      </c>
      <c r="H607" t="str">
        <f>_xlfn.XLOOKUP(B607,customer_orders!A:A,customer_orders!F:F)</f>
        <v>2026-01</v>
      </c>
      <c r="I607" t="str">
        <f>_xlfn.XLOOKUP(C607,products!A:A,products!B:B)</f>
        <v>SKU-0073</v>
      </c>
      <c r="J607" t="str">
        <f>_xlfn.XLOOKUP(B607,customer_orders!A:A,customer_orders!G:G)</f>
        <v>2026-w04</v>
      </c>
      <c r="K607">
        <f>IFERROR(_xlfn.XLOOKUP(B607,shipments!B:B,shipments!H:H),0)</f>
        <v>14.74</v>
      </c>
      <c r="L607">
        <f t="shared" si="28"/>
        <v>0.02</v>
      </c>
      <c r="M607" t="str">
        <f>_xlfn.XLOOKUP(B607,customer_orders!A:A,customer_orders!D:D)</f>
        <v>Shopify</v>
      </c>
      <c r="N607" t="str">
        <f>_xlfn.XLOOKUP(C607,inventory!B:B,inventory!C:C)</f>
        <v>Draper</v>
      </c>
      <c r="O607">
        <f>IF(_xlfn.XLOOKUP(C607,products!A:A,products!E:E)="NULL",0,_xlfn.XLOOKUP(C607,products!A:A,products!E:E))</f>
        <v>27.28</v>
      </c>
      <c r="P607">
        <f t="shared" si="29"/>
        <v>781.7</v>
      </c>
      <c r="Q607" s="2" t="str">
        <f>_xlfn.XLOOKUP(I607,products!B:B,products!D:D)</f>
        <v>Sports</v>
      </c>
    </row>
    <row r="608" spans="1:17">
      <c r="A608">
        <v>607</v>
      </c>
      <c r="B608">
        <v>1248</v>
      </c>
      <c r="C608">
        <v>73</v>
      </c>
      <c r="D608">
        <v>3</v>
      </c>
      <c r="E608">
        <v>134.83000000000001</v>
      </c>
      <c r="F608">
        <v>2.69</v>
      </c>
      <c r="G608">
        <f t="shared" si="27"/>
        <v>401.8</v>
      </c>
      <c r="H608" t="str">
        <f>_xlfn.XLOOKUP(B608,customer_orders!A:A,customer_orders!F:F)</f>
        <v>2026-01</v>
      </c>
      <c r="I608" t="str">
        <f>_xlfn.XLOOKUP(C608,products!A:A,products!B:B)</f>
        <v>SKU-0073</v>
      </c>
      <c r="J608" t="str">
        <f>_xlfn.XLOOKUP(B608,customer_orders!A:A,customer_orders!G:G)</f>
        <v>2026-w02</v>
      </c>
      <c r="K608">
        <f>IFERROR(_xlfn.XLOOKUP(B608,shipments!B:B,shipments!H:H),0)</f>
        <v>53.08</v>
      </c>
      <c r="L608">
        <f t="shared" si="28"/>
        <v>0.13</v>
      </c>
      <c r="M608" t="str">
        <f>_xlfn.XLOOKUP(B608,customer_orders!A:A,customer_orders!D:D)</f>
        <v>Shopify</v>
      </c>
      <c r="N608" t="str">
        <f>_xlfn.XLOOKUP(C608,inventory!B:B,inventory!C:C)</f>
        <v>Draper</v>
      </c>
      <c r="O608">
        <f>IF(_xlfn.XLOOKUP(C608,products!A:A,products!E:E)="NULL",0,_xlfn.XLOOKUP(C608,products!A:A,products!E:E))</f>
        <v>27.28</v>
      </c>
      <c r="P608">
        <f t="shared" si="29"/>
        <v>374.52</v>
      </c>
      <c r="Q608" s="2" t="str">
        <f>_xlfn.XLOOKUP(I608,products!B:B,products!D:D)</f>
        <v>Sports</v>
      </c>
    </row>
    <row r="609" spans="1:17">
      <c r="A609">
        <v>608</v>
      </c>
      <c r="B609">
        <v>1248</v>
      </c>
      <c r="C609">
        <v>111</v>
      </c>
      <c r="D609">
        <v>5</v>
      </c>
      <c r="E609">
        <v>39.4</v>
      </c>
      <c r="F609">
        <v>0</v>
      </c>
      <c r="G609">
        <f t="shared" si="27"/>
        <v>197</v>
      </c>
      <c r="H609" t="str">
        <f>_xlfn.XLOOKUP(B609,customer_orders!A:A,customer_orders!F:F)</f>
        <v>2026-01</v>
      </c>
      <c r="I609" t="str">
        <f>_xlfn.XLOOKUP(C609,products!A:A,products!B:B)</f>
        <v>SKU0111</v>
      </c>
      <c r="J609" t="str">
        <f>_xlfn.XLOOKUP(B609,customer_orders!A:A,customer_orders!G:G)</f>
        <v>2026-w02</v>
      </c>
      <c r="K609">
        <f>IFERROR(_xlfn.XLOOKUP(B609,shipments!B:B,shipments!H:H),0)</f>
        <v>53.08</v>
      </c>
      <c r="L609">
        <f t="shared" si="28"/>
        <v>0.27</v>
      </c>
      <c r="M609" t="str">
        <f>_xlfn.XLOOKUP(B609,customer_orders!A:A,customer_orders!D:D)</f>
        <v>Shopify</v>
      </c>
      <c r="N609" t="str">
        <f>_xlfn.XLOOKUP(C609,inventory!B:B,inventory!C:C)</f>
        <v>West Valley</v>
      </c>
      <c r="O609">
        <f>IF(_xlfn.XLOOKUP(C609,products!A:A,products!E:E)="NULL",0,_xlfn.XLOOKUP(C609,products!A:A,products!E:E))</f>
        <v>170.91</v>
      </c>
      <c r="P609">
        <f t="shared" si="29"/>
        <v>26.090000000000003</v>
      </c>
      <c r="Q609" s="2" t="str">
        <f>_xlfn.XLOOKUP(I609,products!B:B,products!D:D)</f>
        <v>Electronics</v>
      </c>
    </row>
    <row r="610" spans="1:17">
      <c r="A610">
        <v>609</v>
      </c>
      <c r="B610">
        <v>1248</v>
      </c>
      <c r="C610">
        <v>92</v>
      </c>
      <c r="D610">
        <v>2</v>
      </c>
      <c r="E610">
        <v>23.27</v>
      </c>
      <c r="F610">
        <v>0</v>
      </c>
      <c r="G610">
        <f t="shared" si="27"/>
        <v>46.54</v>
      </c>
      <c r="H610" t="str">
        <f>_xlfn.XLOOKUP(B610,customer_orders!A:A,customer_orders!F:F)</f>
        <v>2026-01</v>
      </c>
      <c r="I610" t="str">
        <f>_xlfn.XLOOKUP(C610,products!A:A,products!B:B)</f>
        <v>SKU-0092</v>
      </c>
      <c r="J610" t="str">
        <f>_xlfn.XLOOKUP(B610,customer_orders!A:A,customer_orders!G:G)</f>
        <v>2026-w02</v>
      </c>
      <c r="K610">
        <f>IFERROR(_xlfn.XLOOKUP(B610,shipments!B:B,shipments!H:H),0)</f>
        <v>53.08</v>
      </c>
      <c r="L610">
        <f t="shared" si="28"/>
        <v>1.1399999999999999</v>
      </c>
      <c r="M610" t="str">
        <f>_xlfn.XLOOKUP(B610,customer_orders!A:A,customer_orders!D:D)</f>
        <v>Shopify</v>
      </c>
      <c r="N610" t="str">
        <f>_xlfn.XLOOKUP(C610,inventory!B:B,inventory!C:C)</f>
        <v>Salt Lake City</v>
      </c>
      <c r="O610">
        <f>IF(_xlfn.XLOOKUP(C610,products!A:A,products!E:E)="NULL",0,_xlfn.XLOOKUP(C610,products!A:A,products!E:E))</f>
        <v>81.27</v>
      </c>
      <c r="P610">
        <f t="shared" si="29"/>
        <v>-34.729999999999997</v>
      </c>
      <c r="Q610" s="2" t="str">
        <f>_xlfn.XLOOKUP(I610,products!B:B,products!D:D)</f>
        <v>Beauty</v>
      </c>
    </row>
    <row r="611" spans="1:17">
      <c r="A611">
        <v>610</v>
      </c>
      <c r="B611">
        <v>1248</v>
      </c>
      <c r="C611">
        <v>126</v>
      </c>
      <c r="D611">
        <v>8</v>
      </c>
      <c r="E611">
        <v>32.17</v>
      </c>
      <c r="F611">
        <v>13.4</v>
      </c>
      <c r="G611">
        <f t="shared" si="27"/>
        <v>243.96</v>
      </c>
      <c r="H611" t="str">
        <f>_xlfn.XLOOKUP(B611,customer_orders!A:A,customer_orders!F:F)</f>
        <v>2026-01</v>
      </c>
      <c r="I611" t="str">
        <f>_xlfn.XLOOKUP(C611,products!A:A,products!B:B)</f>
        <v>SKU-0126</v>
      </c>
      <c r="J611" t="str">
        <f>_xlfn.XLOOKUP(B611,customer_orders!A:A,customer_orders!G:G)</f>
        <v>2026-w02</v>
      </c>
      <c r="K611">
        <f>IFERROR(_xlfn.XLOOKUP(B611,shipments!B:B,shipments!H:H),0)</f>
        <v>53.08</v>
      </c>
      <c r="L611">
        <f t="shared" si="28"/>
        <v>0.22</v>
      </c>
      <c r="M611" t="str">
        <f>_xlfn.XLOOKUP(B611,customer_orders!A:A,customer_orders!D:D)</f>
        <v>Shopify</v>
      </c>
      <c r="N611" t="str">
        <f>_xlfn.XLOOKUP(C611,inventory!B:B,inventory!C:C)</f>
        <v>South Jordan</v>
      </c>
      <c r="O611">
        <f>IF(_xlfn.XLOOKUP(C611,products!A:A,products!E:E)="NULL",0,_xlfn.XLOOKUP(C611,products!A:A,products!E:E))</f>
        <v>104.51</v>
      </c>
      <c r="P611">
        <f t="shared" si="29"/>
        <v>139.44999999999999</v>
      </c>
      <c r="Q611" s="2" t="str">
        <f>_xlfn.XLOOKUP(I611,products!B:B,products!D:D)</f>
        <v>Office</v>
      </c>
    </row>
    <row r="612" spans="1:17">
      <c r="A612">
        <v>611</v>
      </c>
      <c r="B612">
        <v>1249</v>
      </c>
      <c r="C612">
        <v>119</v>
      </c>
      <c r="D612">
        <v>4</v>
      </c>
      <c r="E612">
        <v>27.97</v>
      </c>
      <c r="F612">
        <v>0</v>
      </c>
      <c r="G612">
        <f t="shared" si="27"/>
        <v>111.88</v>
      </c>
      <c r="H612" t="str">
        <f>_xlfn.XLOOKUP(B612,customer_orders!A:A,customer_orders!F:F)</f>
        <v>2026-04</v>
      </c>
      <c r="I612" t="str">
        <f>_xlfn.XLOOKUP(C612,products!A:A,products!B:B)</f>
        <v>SKU-0119</v>
      </c>
      <c r="J612" t="str">
        <f>_xlfn.XLOOKUP(B612,customer_orders!A:A,customer_orders!G:G)</f>
        <v>2026-w17</v>
      </c>
      <c r="K612">
        <f>IFERROR(_xlfn.XLOOKUP(B612,shipments!B:B,shipments!H:H),0)</f>
        <v>64.680000000000007</v>
      </c>
      <c r="L612">
        <f t="shared" si="28"/>
        <v>0.57999999999999996</v>
      </c>
      <c r="M612" t="str">
        <f>_xlfn.XLOOKUP(B612,customer_orders!A:A,customer_orders!D:D)</f>
        <v>Amazon</v>
      </c>
      <c r="N612" t="str">
        <f>_xlfn.XLOOKUP(C612,inventory!B:B,inventory!C:C)</f>
        <v>Lehi</v>
      </c>
      <c r="O612">
        <f>IF(_xlfn.XLOOKUP(C612,products!A:A,products!E:E)="NULL",0,_xlfn.XLOOKUP(C612,products!A:A,products!E:E))</f>
        <v>27.15</v>
      </c>
      <c r="P612">
        <f t="shared" si="29"/>
        <v>84.72999999999999</v>
      </c>
      <c r="Q612" s="2" t="str">
        <f>_xlfn.XLOOKUP(I612,products!B:B,products!D:D)</f>
        <v>Electronics</v>
      </c>
    </row>
    <row r="613" spans="1:17">
      <c r="A613">
        <v>612</v>
      </c>
      <c r="B613">
        <v>1249</v>
      </c>
      <c r="C613">
        <v>127</v>
      </c>
      <c r="D613">
        <v>2</v>
      </c>
      <c r="E613">
        <v>38.14</v>
      </c>
      <c r="F613">
        <v>5.07</v>
      </c>
      <c r="G613">
        <f t="shared" si="27"/>
        <v>71.210000000000008</v>
      </c>
      <c r="H613" t="str">
        <f>_xlfn.XLOOKUP(B613,customer_orders!A:A,customer_orders!F:F)</f>
        <v>2026-04</v>
      </c>
      <c r="I613" t="str">
        <f>_xlfn.XLOOKUP(C613,products!A:A,products!B:B)</f>
        <v>SKU-0127</v>
      </c>
      <c r="J613" t="str">
        <f>_xlfn.XLOOKUP(B613,customer_orders!A:A,customer_orders!G:G)</f>
        <v>2026-w17</v>
      </c>
      <c r="K613">
        <f>IFERROR(_xlfn.XLOOKUP(B613,shipments!B:B,shipments!H:H),0)</f>
        <v>64.680000000000007</v>
      </c>
      <c r="L613">
        <f t="shared" si="28"/>
        <v>0.91</v>
      </c>
      <c r="M613" t="str">
        <f>_xlfn.XLOOKUP(B613,customer_orders!A:A,customer_orders!D:D)</f>
        <v>Amazon</v>
      </c>
      <c r="N613" t="str">
        <f>_xlfn.XLOOKUP(C613,inventory!B:B,inventory!C:C)</f>
        <v>South Jordan</v>
      </c>
      <c r="O613">
        <f>IF(_xlfn.XLOOKUP(C613,products!A:A,products!E:E)="NULL",0,_xlfn.XLOOKUP(C613,products!A:A,products!E:E))</f>
        <v>51.31</v>
      </c>
      <c r="P613">
        <f t="shared" si="29"/>
        <v>19.900000000000006</v>
      </c>
      <c r="Q613" s="2" t="str">
        <f>_xlfn.XLOOKUP(I613,products!B:B,products!D:D)</f>
        <v>Beauty</v>
      </c>
    </row>
    <row r="614" spans="1:17">
      <c r="A614">
        <v>613</v>
      </c>
      <c r="B614">
        <v>1249</v>
      </c>
      <c r="C614">
        <v>21</v>
      </c>
      <c r="D614">
        <v>8</v>
      </c>
      <c r="E614">
        <v>60.07</v>
      </c>
      <c r="F614">
        <v>0</v>
      </c>
      <c r="G614">
        <f t="shared" si="27"/>
        <v>480.56</v>
      </c>
      <c r="H614" t="str">
        <f>_xlfn.XLOOKUP(B614,customer_orders!A:A,customer_orders!F:F)</f>
        <v>2026-04</v>
      </c>
      <c r="I614" t="str">
        <f>_xlfn.XLOOKUP(C614,products!A:A,products!B:B)</f>
        <v>SKU-0021</v>
      </c>
      <c r="J614" t="str">
        <f>_xlfn.XLOOKUP(B614,customer_orders!A:A,customer_orders!G:G)</f>
        <v>2026-w17</v>
      </c>
      <c r="K614">
        <f>IFERROR(_xlfn.XLOOKUP(B614,shipments!B:B,shipments!H:H),0)</f>
        <v>64.680000000000007</v>
      </c>
      <c r="L614">
        <f t="shared" si="28"/>
        <v>0.13</v>
      </c>
      <c r="M614" t="str">
        <f>_xlfn.XLOOKUP(B614,customer_orders!A:A,customer_orders!D:D)</f>
        <v>Amazon</v>
      </c>
      <c r="N614" t="str">
        <f>_xlfn.XLOOKUP(C614,inventory!B:B,inventory!C:C)</f>
        <v>Salt Lake City</v>
      </c>
      <c r="O614">
        <f>IF(_xlfn.XLOOKUP(C614,products!A:A,products!E:E)="NULL",0,_xlfn.XLOOKUP(C614,products!A:A,products!E:E))</f>
        <v>56.36</v>
      </c>
      <c r="P614">
        <f t="shared" si="29"/>
        <v>424.2</v>
      </c>
      <c r="Q614" s="2" t="str">
        <f>_xlfn.XLOOKUP(I614,products!B:B,products!D:D)</f>
        <v>Kitchen</v>
      </c>
    </row>
    <row r="615" spans="1:17">
      <c r="A615">
        <v>614</v>
      </c>
      <c r="B615">
        <v>1250</v>
      </c>
      <c r="C615">
        <v>119</v>
      </c>
      <c r="D615">
        <v>5</v>
      </c>
      <c r="E615">
        <v>27.97</v>
      </c>
      <c r="F615">
        <v>0</v>
      </c>
      <c r="G615">
        <f t="shared" si="27"/>
        <v>139.85</v>
      </c>
      <c r="H615" t="str">
        <f>_xlfn.XLOOKUP(B615,customer_orders!A:A,customer_orders!F:F)</f>
        <v>2026-01</v>
      </c>
      <c r="I615" t="str">
        <f>_xlfn.XLOOKUP(C615,products!A:A,products!B:B)</f>
        <v>SKU-0119</v>
      </c>
      <c r="J615" t="str">
        <f>_xlfn.XLOOKUP(B615,customer_orders!A:A,customer_orders!G:G)</f>
        <v>2026-w05</v>
      </c>
      <c r="K615">
        <f>IFERROR(_xlfn.XLOOKUP(B615,shipments!B:B,shipments!H:H),0)</f>
        <v>89.9</v>
      </c>
      <c r="L615">
        <f t="shared" si="28"/>
        <v>0.64</v>
      </c>
      <c r="M615" t="str">
        <f>_xlfn.XLOOKUP(B615,customer_orders!A:A,customer_orders!D:D)</f>
        <v>Walmart</v>
      </c>
      <c r="N615" t="str">
        <f>_xlfn.XLOOKUP(C615,inventory!B:B,inventory!C:C)</f>
        <v>Lehi</v>
      </c>
      <c r="O615">
        <f>IF(_xlfn.XLOOKUP(C615,products!A:A,products!E:E)="NULL",0,_xlfn.XLOOKUP(C615,products!A:A,products!E:E))</f>
        <v>27.15</v>
      </c>
      <c r="P615">
        <f t="shared" si="29"/>
        <v>112.69999999999999</v>
      </c>
      <c r="Q615" s="2" t="str">
        <f>_xlfn.XLOOKUP(I615,products!B:B,products!D:D)</f>
        <v>Electronics</v>
      </c>
    </row>
    <row r="616" spans="1:17">
      <c r="A616">
        <v>615</v>
      </c>
      <c r="B616">
        <v>1251</v>
      </c>
      <c r="C616">
        <v>117</v>
      </c>
      <c r="D616">
        <v>8</v>
      </c>
      <c r="E616">
        <v>293.33</v>
      </c>
      <c r="F616">
        <v>0</v>
      </c>
      <c r="G616">
        <f t="shared" si="27"/>
        <v>2346.64</v>
      </c>
      <c r="H616" t="str">
        <f>_xlfn.XLOOKUP(B616,customer_orders!A:A,customer_orders!F:F)</f>
        <v>2026-01</v>
      </c>
      <c r="I616" t="str">
        <f>_xlfn.XLOOKUP(C616,products!A:A,products!B:B)</f>
        <v>SKU-0117</v>
      </c>
      <c r="J616" t="str">
        <f>_xlfn.XLOOKUP(B616,customer_orders!A:A,customer_orders!G:G)</f>
        <v>2026-w04</v>
      </c>
      <c r="K616">
        <f>IFERROR(_xlfn.XLOOKUP(B616,shipments!B:B,shipments!H:H),0)</f>
        <v>5.54</v>
      </c>
      <c r="L616">
        <f t="shared" si="28"/>
        <v>0</v>
      </c>
      <c r="M616" t="str">
        <f>_xlfn.XLOOKUP(B616,customer_orders!A:A,customer_orders!D:D)</f>
        <v>Shopify</v>
      </c>
      <c r="N616" t="str">
        <f>_xlfn.XLOOKUP(C616,inventory!B:B,inventory!C:C)</f>
        <v>Draper</v>
      </c>
      <c r="O616">
        <f>IF(_xlfn.XLOOKUP(C616,products!A:A,products!E:E)="NULL",0,_xlfn.XLOOKUP(C616,products!A:A,products!E:E))</f>
        <v>131.80000000000001</v>
      </c>
      <c r="P616">
        <f t="shared" si="29"/>
        <v>2214.8399999999997</v>
      </c>
      <c r="Q616" s="2" t="str">
        <f>_xlfn.XLOOKUP(I616,products!B:B,products!D:D)</f>
        <v>Pet</v>
      </c>
    </row>
    <row r="617" spans="1:17">
      <c r="A617">
        <v>616</v>
      </c>
      <c r="B617">
        <v>1251</v>
      </c>
      <c r="C617">
        <v>88</v>
      </c>
      <c r="D617">
        <v>3</v>
      </c>
      <c r="E617">
        <v>109.3</v>
      </c>
      <c r="F617">
        <v>0</v>
      </c>
      <c r="G617">
        <f t="shared" si="27"/>
        <v>327.9</v>
      </c>
      <c r="H617" t="str">
        <f>_xlfn.XLOOKUP(B617,customer_orders!A:A,customer_orders!F:F)</f>
        <v>2026-01</v>
      </c>
      <c r="I617" t="str">
        <f>_xlfn.XLOOKUP(C617,products!A:A,products!B:B)</f>
        <v>SKU-0088</v>
      </c>
      <c r="J617" t="str">
        <f>_xlfn.XLOOKUP(B617,customer_orders!A:A,customer_orders!G:G)</f>
        <v>2026-w04</v>
      </c>
      <c r="K617">
        <f>IFERROR(_xlfn.XLOOKUP(B617,shipments!B:B,shipments!H:H),0)</f>
        <v>5.54</v>
      </c>
      <c r="L617">
        <f t="shared" si="28"/>
        <v>0.02</v>
      </c>
      <c r="M617" t="str">
        <f>_xlfn.XLOOKUP(B617,customer_orders!A:A,customer_orders!D:D)</f>
        <v>Shopify</v>
      </c>
      <c r="N617" t="str">
        <f>_xlfn.XLOOKUP(C617,inventory!B:B,inventory!C:C)</f>
        <v>Salt Lake City</v>
      </c>
      <c r="O617">
        <f>IF(_xlfn.XLOOKUP(C617,products!A:A,products!E:E)="NULL",0,_xlfn.XLOOKUP(C617,products!A:A,products!E:E))</f>
        <v>77.599999999999994</v>
      </c>
      <c r="P617">
        <f t="shared" si="29"/>
        <v>250.29999999999998</v>
      </c>
      <c r="Q617" s="2" t="str">
        <f>_xlfn.XLOOKUP(I617,products!B:B,products!D:D)</f>
        <v>Beauty</v>
      </c>
    </row>
    <row r="618" spans="1:17">
      <c r="A618">
        <v>617</v>
      </c>
      <c r="B618">
        <v>1251</v>
      </c>
      <c r="C618">
        <v>67</v>
      </c>
      <c r="D618">
        <v>2</v>
      </c>
      <c r="E618">
        <v>291.56</v>
      </c>
      <c r="F618">
        <v>0</v>
      </c>
      <c r="G618">
        <f t="shared" si="27"/>
        <v>583.12</v>
      </c>
      <c r="H618" t="str">
        <f>_xlfn.XLOOKUP(B618,customer_orders!A:A,customer_orders!F:F)</f>
        <v>2026-01</v>
      </c>
      <c r="I618" t="str">
        <f>_xlfn.XLOOKUP(C618,products!A:A,products!B:B)</f>
        <v>SKU-0067</v>
      </c>
      <c r="J618" t="str">
        <f>_xlfn.XLOOKUP(B618,customer_orders!A:A,customer_orders!G:G)</f>
        <v>2026-w04</v>
      </c>
      <c r="K618">
        <f>IFERROR(_xlfn.XLOOKUP(B618,shipments!B:B,shipments!H:H),0)</f>
        <v>5.54</v>
      </c>
      <c r="L618">
        <f t="shared" si="28"/>
        <v>0.01</v>
      </c>
      <c r="M618" t="str">
        <f>_xlfn.XLOOKUP(B618,customer_orders!A:A,customer_orders!D:D)</f>
        <v>Shopify</v>
      </c>
      <c r="N618" t="str">
        <f>_xlfn.XLOOKUP(C618,inventory!B:B,inventory!C:C)</f>
        <v>West Valley</v>
      </c>
      <c r="O618">
        <f>IF(_xlfn.XLOOKUP(C618,products!A:A,products!E:E)="NULL",0,_xlfn.XLOOKUP(C618,products!A:A,products!E:E))</f>
        <v>25.18</v>
      </c>
      <c r="P618">
        <f t="shared" si="29"/>
        <v>557.94000000000005</v>
      </c>
      <c r="Q618" s="2" t="str">
        <f>_xlfn.XLOOKUP(I618,products!B:B,products!D:D)</f>
        <v>Kitchen</v>
      </c>
    </row>
    <row r="619" spans="1:17">
      <c r="A619">
        <v>618</v>
      </c>
      <c r="B619">
        <v>1252</v>
      </c>
      <c r="C619">
        <v>102</v>
      </c>
      <c r="D619">
        <v>5</v>
      </c>
      <c r="E619">
        <v>71.52</v>
      </c>
      <c r="F619">
        <v>0</v>
      </c>
      <c r="G619">
        <f t="shared" si="27"/>
        <v>357.59999999999997</v>
      </c>
      <c r="H619" t="str">
        <f>_xlfn.XLOOKUP(B619,customer_orders!A:A,customer_orders!F:F)</f>
        <v>2026-05</v>
      </c>
      <c r="I619" t="str">
        <f>_xlfn.XLOOKUP(C619,products!A:A,products!B:B)</f>
        <v>SKU-0102</v>
      </c>
      <c r="J619" t="str">
        <f>_xlfn.XLOOKUP(B619,customer_orders!A:A,customer_orders!G:G)</f>
        <v>2026-w19</v>
      </c>
      <c r="K619">
        <f>IFERROR(_xlfn.XLOOKUP(B619,shipments!B:B,shipments!H:H),0)</f>
        <v>0</v>
      </c>
      <c r="L619">
        <f t="shared" si="28"/>
        <v>0</v>
      </c>
      <c r="M619" t="str">
        <f>_xlfn.XLOOKUP(B619,customer_orders!A:A,customer_orders!D:D)</f>
        <v>Amazon</v>
      </c>
      <c r="N619" t="str">
        <f>_xlfn.XLOOKUP(C619,inventory!B:B,inventory!C:C)</f>
        <v>West Valley</v>
      </c>
      <c r="O619">
        <f>IF(_xlfn.XLOOKUP(C619,products!A:A,products!E:E)="NULL",0,_xlfn.XLOOKUP(C619,products!A:A,products!E:E))</f>
        <v>169.76</v>
      </c>
      <c r="P619">
        <f t="shared" si="29"/>
        <v>187.83999999999997</v>
      </c>
      <c r="Q619" s="2" t="str">
        <f>_xlfn.XLOOKUP(I619,products!B:B,products!D:D)</f>
        <v>Office</v>
      </c>
    </row>
    <row r="620" spans="1:17">
      <c r="A620">
        <v>619</v>
      </c>
      <c r="B620">
        <v>1252</v>
      </c>
      <c r="C620">
        <v>4</v>
      </c>
      <c r="D620">
        <v>4</v>
      </c>
      <c r="E620">
        <v>94.28</v>
      </c>
      <c r="F620">
        <v>0</v>
      </c>
      <c r="G620">
        <f t="shared" si="27"/>
        <v>377.12</v>
      </c>
      <c r="H620" t="str">
        <f>_xlfn.XLOOKUP(B620,customer_orders!A:A,customer_orders!F:F)</f>
        <v>2026-05</v>
      </c>
      <c r="I620" t="str">
        <f>_xlfn.XLOOKUP(C620,products!A:A,products!B:B)</f>
        <v>SKU-0004</v>
      </c>
      <c r="J620" t="str">
        <f>_xlfn.XLOOKUP(B620,customer_orders!A:A,customer_orders!G:G)</f>
        <v>2026-w19</v>
      </c>
      <c r="K620">
        <f>IFERROR(_xlfn.XLOOKUP(B620,shipments!B:B,shipments!H:H),0)</f>
        <v>0</v>
      </c>
      <c r="L620">
        <f t="shared" si="28"/>
        <v>0</v>
      </c>
      <c r="M620" t="str">
        <f>_xlfn.XLOOKUP(B620,customer_orders!A:A,customer_orders!D:D)</f>
        <v>Amazon</v>
      </c>
      <c r="N620" t="str">
        <f>_xlfn.XLOOKUP(C620,inventory!B:B,inventory!C:C)</f>
        <v>Draper</v>
      </c>
      <c r="O620">
        <f>IF(_xlfn.XLOOKUP(C620,products!A:A,products!E:E)="NULL",0,_xlfn.XLOOKUP(C620,products!A:A,products!E:E))</f>
        <v>83.61</v>
      </c>
      <c r="P620">
        <f t="shared" si="29"/>
        <v>293.51</v>
      </c>
      <c r="Q620" s="2" t="str">
        <f>_xlfn.XLOOKUP(I620,products!B:B,products!D:D)</f>
        <v>Office</v>
      </c>
    </row>
    <row r="621" spans="1:17">
      <c r="A621">
        <v>620</v>
      </c>
      <c r="B621">
        <v>1252</v>
      </c>
      <c r="C621">
        <v>49</v>
      </c>
      <c r="D621">
        <v>1</v>
      </c>
      <c r="E621">
        <v>280.98</v>
      </c>
      <c r="F621">
        <v>0</v>
      </c>
      <c r="G621">
        <f t="shared" si="27"/>
        <v>280.98</v>
      </c>
      <c r="H621" t="str">
        <f>_xlfn.XLOOKUP(B621,customer_orders!A:A,customer_orders!F:F)</f>
        <v>2026-05</v>
      </c>
      <c r="I621" t="str">
        <f>_xlfn.XLOOKUP(C621,products!A:A,products!B:B)</f>
        <v>SKU-0049</v>
      </c>
      <c r="J621" t="str">
        <f>_xlfn.XLOOKUP(B621,customer_orders!A:A,customer_orders!G:G)</f>
        <v>2026-w19</v>
      </c>
      <c r="K621">
        <f>IFERROR(_xlfn.XLOOKUP(B621,shipments!B:B,shipments!H:H),0)</f>
        <v>0</v>
      </c>
      <c r="L621">
        <f t="shared" si="28"/>
        <v>0</v>
      </c>
      <c r="M621" t="str">
        <f>_xlfn.XLOOKUP(B621,customer_orders!A:A,customer_orders!D:D)</f>
        <v>Amazon</v>
      </c>
      <c r="N621" t="str">
        <f>_xlfn.XLOOKUP(C621,inventory!B:B,inventory!C:C)</f>
        <v>Salt Lake City</v>
      </c>
      <c r="O621">
        <f>IF(_xlfn.XLOOKUP(C621,products!A:A,products!E:E)="NULL",0,_xlfn.XLOOKUP(C621,products!A:A,products!E:E))</f>
        <v>51.41</v>
      </c>
      <c r="P621">
        <f t="shared" si="29"/>
        <v>229.57000000000002</v>
      </c>
      <c r="Q621" s="2" t="str">
        <f>_xlfn.XLOOKUP(I621,products!B:B,products!D:D)</f>
        <v>Beauty</v>
      </c>
    </row>
    <row r="622" spans="1:17">
      <c r="A622">
        <v>621</v>
      </c>
      <c r="B622">
        <v>1253</v>
      </c>
      <c r="C622">
        <v>78</v>
      </c>
      <c r="D622">
        <v>8</v>
      </c>
      <c r="E622">
        <v>71.75</v>
      </c>
      <c r="F622">
        <v>3.07</v>
      </c>
      <c r="G622">
        <f t="shared" si="27"/>
        <v>570.92999999999995</v>
      </c>
      <c r="H622" t="str">
        <f>_xlfn.XLOOKUP(B622,customer_orders!A:A,customer_orders!F:F)</f>
        <v>2026-04</v>
      </c>
      <c r="I622" t="str">
        <f>_xlfn.XLOOKUP(C622,products!A:A,products!B:B)</f>
        <v>SKU-0078</v>
      </c>
      <c r="J622" t="str">
        <f>_xlfn.XLOOKUP(B622,customer_orders!A:A,customer_orders!G:G)</f>
        <v>2026-w17</v>
      </c>
      <c r="K622">
        <f>IFERROR(_xlfn.XLOOKUP(B622,shipments!B:B,shipments!H:H),0)</f>
        <v>108.68</v>
      </c>
      <c r="L622">
        <f t="shared" si="28"/>
        <v>0.19</v>
      </c>
      <c r="M622" t="str">
        <f>_xlfn.XLOOKUP(B622,customer_orders!A:A,customer_orders!D:D)</f>
        <v>Amazon</v>
      </c>
      <c r="N622" t="str">
        <f>_xlfn.XLOOKUP(C622,inventory!B:B,inventory!C:C)</f>
        <v>Draper</v>
      </c>
      <c r="O622">
        <f>IF(_xlfn.XLOOKUP(C622,products!A:A,products!E:E)="NULL",0,_xlfn.XLOOKUP(C622,products!A:A,products!E:E))</f>
        <v>44.31</v>
      </c>
      <c r="P622">
        <f t="shared" si="29"/>
        <v>526.61999999999989</v>
      </c>
      <c r="Q622" s="2" t="str">
        <f>_xlfn.XLOOKUP(I622,products!B:B,products!D:D)</f>
        <v>Beauty</v>
      </c>
    </row>
    <row r="623" spans="1:17">
      <c r="A623">
        <v>622</v>
      </c>
      <c r="B623">
        <v>1254</v>
      </c>
      <c r="C623">
        <v>76</v>
      </c>
      <c r="D623">
        <v>7</v>
      </c>
      <c r="E623">
        <v>160.68</v>
      </c>
      <c r="F623">
        <v>0</v>
      </c>
      <c r="G623">
        <f t="shared" si="27"/>
        <v>1124.76</v>
      </c>
      <c r="H623" t="str">
        <f>_xlfn.XLOOKUP(B623,customer_orders!A:A,customer_orders!F:F)</f>
        <v>2026-01</v>
      </c>
      <c r="I623" t="str">
        <f>_xlfn.XLOOKUP(C623,products!A:A,products!B:B)</f>
        <v>SKU-0076</v>
      </c>
      <c r="J623" t="str">
        <f>_xlfn.XLOOKUP(B623,customer_orders!A:A,customer_orders!G:G)</f>
        <v>2026-w02</v>
      </c>
      <c r="K623">
        <f>IFERROR(_xlfn.XLOOKUP(B623,shipments!B:B,shipments!H:H),0)</f>
        <v>119.89</v>
      </c>
      <c r="L623">
        <f t="shared" si="28"/>
        <v>0.11</v>
      </c>
      <c r="M623" t="str">
        <f>_xlfn.XLOOKUP(B623,customer_orders!A:A,customer_orders!D:D)</f>
        <v>Amazon</v>
      </c>
      <c r="N623" t="str">
        <f>_xlfn.XLOOKUP(C623,inventory!B:B,inventory!C:C)</f>
        <v>South Jordan</v>
      </c>
      <c r="O623">
        <f>IF(_xlfn.XLOOKUP(C623,products!A:A,products!E:E)="NULL",0,_xlfn.XLOOKUP(C623,products!A:A,products!E:E))</f>
        <v>123.23</v>
      </c>
      <c r="P623">
        <f t="shared" si="29"/>
        <v>1001.53</v>
      </c>
      <c r="Q623" s="2" t="str">
        <f>_xlfn.XLOOKUP(I623,products!B:B,products!D:D)</f>
        <v>Pet</v>
      </c>
    </row>
    <row r="624" spans="1:17">
      <c r="A624">
        <v>623</v>
      </c>
      <c r="B624">
        <v>1254</v>
      </c>
      <c r="C624">
        <v>27</v>
      </c>
      <c r="D624">
        <v>7</v>
      </c>
      <c r="E624">
        <v>165.39</v>
      </c>
      <c r="F624">
        <v>14.71</v>
      </c>
      <c r="G624">
        <f t="shared" si="27"/>
        <v>1143.02</v>
      </c>
      <c r="H624" t="str">
        <f>_xlfn.XLOOKUP(B624,customer_orders!A:A,customer_orders!F:F)</f>
        <v>2026-01</v>
      </c>
      <c r="I624" t="str">
        <f>_xlfn.XLOOKUP(C624,products!A:A,products!B:B)</f>
        <v>SKU-0027</v>
      </c>
      <c r="J624" t="str">
        <f>_xlfn.XLOOKUP(B624,customer_orders!A:A,customer_orders!G:G)</f>
        <v>2026-w02</v>
      </c>
      <c r="K624">
        <f>IFERROR(_xlfn.XLOOKUP(B624,shipments!B:B,shipments!H:H),0)</f>
        <v>119.89</v>
      </c>
      <c r="L624">
        <f t="shared" si="28"/>
        <v>0.1</v>
      </c>
      <c r="M624" t="str">
        <f>_xlfn.XLOOKUP(B624,customer_orders!A:A,customer_orders!D:D)</f>
        <v>Amazon</v>
      </c>
      <c r="N624" t="str">
        <f>_xlfn.XLOOKUP(C624,inventory!B:B,inventory!C:C)</f>
        <v>Salt Lake City</v>
      </c>
      <c r="O624">
        <f>IF(_xlfn.XLOOKUP(C624,products!A:A,products!E:E)="NULL",0,_xlfn.XLOOKUP(C624,products!A:A,products!E:E))</f>
        <v>33.9</v>
      </c>
      <c r="P624">
        <f t="shared" si="29"/>
        <v>1109.1199999999999</v>
      </c>
      <c r="Q624" s="2" t="str">
        <f>_xlfn.XLOOKUP(I624,products!B:B,products!D:D)</f>
        <v>Pet</v>
      </c>
    </row>
    <row r="625" spans="1:17">
      <c r="A625">
        <v>624</v>
      </c>
      <c r="B625">
        <v>1255</v>
      </c>
      <c r="C625">
        <v>109</v>
      </c>
      <c r="D625">
        <v>6</v>
      </c>
      <c r="E625">
        <v>257.52</v>
      </c>
      <c r="F625">
        <v>0</v>
      </c>
      <c r="G625">
        <f t="shared" si="27"/>
        <v>1545.12</v>
      </c>
      <c r="H625" t="str">
        <f>_xlfn.XLOOKUP(B625,customer_orders!A:A,customer_orders!F:F)</f>
        <v>2026-05</v>
      </c>
      <c r="I625" t="str">
        <f>_xlfn.XLOOKUP(C625,products!A:A,products!B:B)</f>
        <v>SKU-0109</v>
      </c>
      <c r="J625" t="str">
        <f>_xlfn.XLOOKUP(B625,customer_orders!A:A,customer_orders!G:G)</f>
        <v>2026-w19</v>
      </c>
      <c r="K625">
        <f>IFERROR(_xlfn.XLOOKUP(B625,shipments!B:B,shipments!H:H),0)</f>
        <v>17.57</v>
      </c>
      <c r="L625">
        <f t="shared" si="28"/>
        <v>0.01</v>
      </c>
      <c r="M625" t="str">
        <f>_xlfn.XLOOKUP(B625,customer_orders!A:A,customer_orders!D:D)</f>
        <v>Shopify</v>
      </c>
      <c r="N625" t="str">
        <f>_xlfn.XLOOKUP(C625,inventory!B:B,inventory!C:C)</f>
        <v>Draper</v>
      </c>
      <c r="O625">
        <f>IF(_xlfn.XLOOKUP(C625,products!A:A,products!E:E)="NULL",0,_xlfn.XLOOKUP(C625,products!A:A,products!E:E))</f>
        <v>10.02</v>
      </c>
      <c r="P625">
        <f t="shared" si="29"/>
        <v>1535.1</v>
      </c>
      <c r="Q625" s="2" t="str">
        <f>_xlfn.XLOOKUP(I625,products!B:B,products!D:D)</f>
        <v>Office</v>
      </c>
    </row>
    <row r="626" spans="1:17">
      <c r="A626">
        <v>625</v>
      </c>
      <c r="B626">
        <v>1256</v>
      </c>
      <c r="C626">
        <v>121</v>
      </c>
      <c r="D626">
        <v>6</v>
      </c>
      <c r="E626">
        <v>151.43</v>
      </c>
      <c r="F626">
        <v>0</v>
      </c>
      <c r="G626">
        <f t="shared" si="27"/>
        <v>908.58</v>
      </c>
      <c r="H626" t="str">
        <f>_xlfn.XLOOKUP(B626,customer_orders!A:A,customer_orders!F:F)</f>
        <v>2026-04</v>
      </c>
      <c r="I626" t="str">
        <f>_xlfn.XLOOKUP(C626,products!A:A,products!B:B)</f>
        <v>SKU-0121</v>
      </c>
      <c r="J626" t="str">
        <f>_xlfn.XLOOKUP(B626,customer_orders!A:A,customer_orders!G:G)</f>
        <v>2026-w17</v>
      </c>
      <c r="K626">
        <f>IFERROR(_xlfn.XLOOKUP(B626,shipments!B:B,shipments!H:H),0)</f>
        <v>96.33</v>
      </c>
      <c r="L626">
        <f t="shared" si="28"/>
        <v>0.11</v>
      </c>
      <c r="M626" t="str">
        <f>_xlfn.XLOOKUP(B626,customer_orders!A:A,customer_orders!D:D)</f>
        <v>Shopify</v>
      </c>
      <c r="N626" t="str">
        <f>_xlfn.XLOOKUP(C626,inventory!B:B,inventory!C:C)</f>
        <v>South Jordan</v>
      </c>
      <c r="O626">
        <f>IF(_xlfn.XLOOKUP(C626,products!A:A,products!E:E)="NULL",0,_xlfn.XLOOKUP(C626,products!A:A,products!E:E))</f>
        <v>54.76</v>
      </c>
      <c r="P626">
        <f t="shared" si="29"/>
        <v>853.82</v>
      </c>
      <c r="Q626" s="2" t="str">
        <f>_xlfn.XLOOKUP(I626,products!B:B,products!D:D)</f>
        <v>Electronics</v>
      </c>
    </row>
    <row r="627" spans="1:17">
      <c r="A627">
        <v>626</v>
      </c>
      <c r="B627">
        <v>1256</v>
      </c>
      <c r="C627">
        <v>87</v>
      </c>
      <c r="D627">
        <v>8</v>
      </c>
      <c r="E627">
        <v>124.17</v>
      </c>
      <c r="F627">
        <v>0</v>
      </c>
      <c r="G627">
        <f t="shared" si="27"/>
        <v>993.36</v>
      </c>
      <c r="H627" t="str">
        <f>_xlfn.XLOOKUP(B627,customer_orders!A:A,customer_orders!F:F)</f>
        <v>2026-04</v>
      </c>
      <c r="I627" t="str">
        <f>_xlfn.XLOOKUP(C627,products!A:A,products!B:B)</f>
        <v>SKU-0087</v>
      </c>
      <c r="J627" t="str">
        <f>_xlfn.XLOOKUP(B627,customer_orders!A:A,customer_orders!G:G)</f>
        <v>2026-w17</v>
      </c>
      <c r="K627">
        <f>IFERROR(_xlfn.XLOOKUP(B627,shipments!B:B,shipments!H:H),0)</f>
        <v>96.33</v>
      </c>
      <c r="L627">
        <f t="shared" si="28"/>
        <v>0.1</v>
      </c>
      <c r="M627" t="str">
        <f>_xlfn.XLOOKUP(B627,customer_orders!A:A,customer_orders!D:D)</f>
        <v>Shopify</v>
      </c>
      <c r="N627" t="str">
        <f>_xlfn.XLOOKUP(C627,inventory!B:B,inventory!C:C)</f>
        <v>Unknown</v>
      </c>
      <c r="O627">
        <f>IF(_xlfn.XLOOKUP(C627,products!A:A,products!E:E)="NULL",0,_xlfn.XLOOKUP(C627,products!A:A,products!E:E))</f>
        <v>31.4</v>
      </c>
      <c r="P627">
        <f t="shared" si="29"/>
        <v>961.96</v>
      </c>
      <c r="Q627" s="2" t="str">
        <f>_xlfn.XLOOKUP(I627,products!B:B,products!D:D)</f>
        <v>Home</v>
      </c>
    </row>
    <row r="628" spans="1:17">
      <c r="A628">
        <v>627</v>
      </c>
      <c r="B628">
        <v>1257</v>
      </c>
      <c r="C628">
        <v>52</v>
      </c>
      <c r="D628">
        <v>3</v>
      </c>
      <c r="E628">
        <v>59.3</v>
      </c>
      <c r="F628">
        <v>0</v>
      </c>
      <c r="G628">
        <f t="shared" si="27"/>
        <v>177.89999999999998</v>
      </c>
      <c r="H628" t="str">
        <f>_xlfn.XLOOKUP(B628,customer_orders!A:A,customer_orders!F:F)</f>
        <v>2026-01</v>
      </c>
      <c r="I628" t="str">
        <f>_xlfn.XLOOKUP(C628,products!A:A,products!B:B)</f>
        <v>SKU-0052</v>
      </c>
      <c r="J628" t="str">
        <f>_xlfn.XLOOKUP(B628,customer_orders!A:A,customer_orders!G:G)</f>
        <v>2026-w04</v>
      </c>
      <c r="K628">
        <f>IFERROR(_xlfn.XLOOKUP(B628,shipments!B:B,shipments!H:H),0)</f>
        <v>45.62</v>
      </c>
      <c r="L628">
        <f t="shared" si="28"/>
        <v>0.26</v>
      </c>
      <c r="M628" t="str">
        <f>_xlfn.XLOOKUP(B628,customer_orders!A:A,customer_orders!D:D)</f>
        <v>Walmart</v>
      </c>
      <c r="N628" t="str">
        <f>_xlfn.XLOOKUP(C628,inventory!B:B,inventory!C:C)</f>
        <v>Lehi</v>
      </c>
      <c r="O628">
        <f>IF(_xlfn.XLOOKUP(C628,products!A:A,products!E:E)="NULL",0,_xlfn.XLOOKUP(C628,products!A:A,products!E:E))</f>
        <v>134.91999999999999</v>
      </c>
      <c r="P628">
        <f t="shared" si="29"/>
        <v>42.97999999999999</v>
      </c>
      <c r="Q628" s="2" t="str">
        <f>_xlfn.XLOOKUP(I628,products!B:B,products!D:D)</f>
        <v>Home</v>
      </c>
    </row>
    <row r="629" spans="1:17">
      <c r="A629">
        <v>628</v>
      </c>
      <c r="B629">
        <v>1257</v>
      </c>
      <c r="C629">
        <v>107</v>
      </c>
      <c r="D629">
        <v>8</v>
      </c>
      <c r="E629">
        <v>223.34</v>
      </c>
      <c r="F629">
        <v>0</v>
      </c>
      <c r="G629">
        <f t="shared" si="27"/>
        <v>1786.72</v>
      </c>
      <c r="H629" t="str">
        <f>_xlfn.XLOOKUP(B629,customer_orders!A:A,customer_orders!F:F)</f>
        <v>2026-01</v>
      </c>
      <c r="I629" t="str">
        <f>_xlfn.XLOOKUP(C629,products!A:A,products!B:B)</f>
        <v>SKU-0107</v>
      </c>
      <c r="J629" t="str">
        <f>_xlfn.XLOOKUP(B629,customer_orders!A:A,customer_orders!G:G)</f>
        <v>2026-w04</v>
      </c>
      <c r="K629">
        <f>IFERROR(_xlfn.XLOOKUP(B629,shipments!B:B,shipments!H:H),0)</f>
        <v>45.62</v>
      </c>
      <c r="L629">
        <f t="shared" si="28"/>
        <v>0.03</v>
      </c>
      <c r="M629" t="str">
        <f>_xlfn.XLOOKUP(B629,customer_orders!A:A,customer_orders!D:D)</f>
        <v>Walmart</v>
      </c>
      <c r="N629" t="str">
        <f>_xlfn.XLOOKUP(C629,inventory!B:B,inventory!C:C)</f>
        <v>South Jordan</v>
      </c>
      <c r="O629">
        <f>IF(_xlfn.XLOOKUP(C629,products!A:A,products!E:E)="NULL",0,_xlfn.XLOOKUP(C629,products!A:A,products!E:E))</f>
        <v>81.23</v>
      </c>
      <c r="P629">
        <f t="shared" si="29"/>
        <v>1705.49</v>
      </c>
      <c r="Q629" s="2" t="str">
        <f>_xlfn.XLOOKUP(I629,products!B:B,products!D:D)</f>
        <v>Pet</v>
      </c>
    </row>
    <row r="630" spans="1:17">
      <c r="A630">
        <v>629</v>
      </c>
      <c r="B630">
        <v>1258</v>
      </c>
      <c r="C630">
        <v>30</v>
      </c>
      <c r="D630">
        <v>4</v>
      </c>
      <c r="E630">
        <v>35.229999999999997</v>
      </c>
      <c r="F630">
        <v>0</v>
      </c>
      <c r="G630">
        <f t="shared" si="27"/>
        <v>140.91999999999999</v>
      </c>
      <c r="H630" t="str">
        <f>_xlfn.XLOOKUP(B630,customer_orders!A:A,customer_orders!F:F)</f>
        <v>2026-05</v>
      </c>
      <c r="I630" t="str">
        <f>_xlfn.XLOOKUP(C630,products!A:A,products!B:B)</f>
        <v>SKU-0030</v>
      </c>
      <c r="J630" t="str">
        <f>_xlfn.XLOOKUP(B630,customer_orders!A:A,customer_orders!G:G)</f>
        <v>2026-w19</v>
      </c>
      <c r="K630">
        <f>IFERROR(_xlfn.XLOOKUP(B630,shipments!B:B,shipments!H:H),0)</f>
        <v>94.73</v>
      </c>
      <c r="L630">
        <f t="shared" si="28"/>
        <v>0.67</v>
      </c>
      <c r="M630" t="str">
        <f>_xlfn.XLOOKUP(B630,customer_orders!A:A,customer_orders!D:D)</f>
        <v>Amazon</v>
      </c>
      <c r="N630" t="str">
        <f>_xlfn.XLOOKUP(C630,inventory!B:B,inventory!C:C)</f>
        <v>Draper</v>
      </c>
      <c r="O630">
        <f>IF(_xlfn.XLOOKUP(C630,products!A:A,products!E:E)="NULL",0,_xlfn.XLOOKUP(C630,products!A:A,products!E:E))</f>
        <v>43.54</v>
      </c>
      <c r="P630">
        <f t="shared" si="29"/>
        <v>97.38</v>
      </c>
      <c r="Q630" s="2" t="str">
        <f>_xlfn.XLOOKUP(I630,products!B:B,products!D:D)</f>
        <v>Beauty</v>
      </c>
    </row>
    <row r="631" spans="1:17">
      <c r="A631">
        <v>630</v>
      </c>
      <c r="B631">
        <v>1258</v>
      </c>
      <c r="C631">
        <v>125</v>
      </c>
      <c r="D631">
        <v>5</v>
      </c>
      <c r="E631">
        <v>273.92</v>
      </c>
      <c r="F631">
        <v>0</v>
      </c>
      <c r="G631">
        <f t="shared" si="27"/>
        <v>1369.6000000000001</v>
      </c>
      <c r="H631" t="str">
        <f>_xlfn.XLOOKUP(B631,customer_orders!A:A,customer_orders!F:F)</f>
        <v>2026-05</v>
      </c>
      <c r="I631" t="str">
        <f>_xlfn.XLOOKUP(C631,products!A:A,products!B:B)</f>
        <v>SKU-0125</v>
      </c>
      <c r="J631" t="str">
        <f>_xlfn.XLOOKUP(B631,customer_orders!A:A,customer_orders!G:G)</f>
        <v>2026-w19</v>
      </c>
      <c r="K631">
        <f>IFERROR(_xlfn.XLOOKUP(B631,shipments!B:B,shipments!H:H),0)</f>
        <v>94.73</v>
      </c>
      <c r="L631">
        <f t="shared" si="28"/>
        <v>7.0000000000000007E-2</v>
      </c>
      <c r="M631" t="str">
        <f>_xlfn.XLOOKUP(B631,customer_orders!A:A,customer_orders!D:D)</f>
        <v>Amazon</v>
      </c>
      <c r="N631" t="str">
        <f>_xlfn.XLOOKUP(C631,inventory!B:B,inventory!C:C)</f>
        <v>Draper</v>
      </c>
      <c r="O631">
        <f>IF(_xlfn.XLOOKUP(C631,products!A:A,products!E:E)="NULL",0,_xlfn.XLOOKUP(C631,products!A:A,products!E:E))</f>
        <v>71.569999999999993</v>
      </c>
      <c r="P631">
        <f t="shared" si="29"/>
        <v>1298.0300000000002</v>
      </c>
      <c r="Q631" s="2" t="str">
        <f>_xlfn.XLOOKUP(I631,products!B:B,products!D:D)</f>
        <v>Beauty</v>
      </c>
    </row>
    <row r="632" spans="1:17">
      <c r="A632">
        <v>631</v>
      </c>
      <c r="B632">
        <v>1258</v>
      </c>
      <c r="C632">
        <v>12</v>
      </c>
      <c r="D632">
        <v>5</v>
      </c>
      <c r="E632">
        <v>61.57</v>
      </c>
      <c r="F632">
        <v>0</v>
      </c>
      <c r="G632">
        <f t="shared" si="27"/>
        <v>307.85000000000002</v>
      </c>
      <c r="H632" t="str">
        <f>_xlfn.XLOOKUP(B632,customer_orders!A:A,customer_orders!F:F)</f>
        <v>2026-05</v>
      </c>
      <c r="I632" t="str">
        <f>_xlfn.XLOOKUP(C632,products!A:A,products!B:B)</f>
        <v>SKU-0012</v>
      </c>
      <c r="J632" t="str">
        <f>_xlfn.XLOOKUP(B632,customer_orders!A:A,customer_orders!G:G)</f>
        <v>2026-w19</v>
      </c>
      <c r="K632">
        <f>IFERROR(_xlfn.XLOOKUP(B632,shipments!B:B,shipments!H:H),0)</f>
        <v>94.73</v>
      </c>
      <c r="L632">
        <f t="shared" si="28"/>
        <v>0.31</v>
      </c>
      <c r="M632" t="str">
        <f>_xlfn.XLOOKUP(B632,customer_orders!A:A,customer_orders!D:D)</f>
        <v>Amazon</v>
      </c>
      <c r="N632" t="str">
        <f>_xlfn.XLOOKUP(C632,inventory!B:B,inventory!C:C)</f>
        <v>Unknown</v>
      </c>
      <c r="O632">
        <f>IF(_xlfn.XLOOKUP(C632,products!A:A,products!E:E)="NULL",0,_xlfn.XLOOKUP(C632,products!A:A,products!E:E))</f>
        <v>132.6</v>
      </c>
      <c r="P632">
        <f t="shared" si="29"/>
        <v>175.25000000000003</v>
      </c>
      <c r="Q632" s="2" t="str">
        <f>_xlfn.XLOOKUP(I632,products!B:B,products!D:D)</f>
        <v>Toys</v>
      </c>
    </row>
    <row r="633" spans="1:17">
      <c r="A633">
        <v>632</v>
      </c>
      <c r="B633">
        <v>1258</v>
      </c>
      <c r="C633">
        <v>13</v>
      </c>
      <c r="D633">
        <v>8</v>
      </c>
      <c r="E633">
        <v>236.16</v>
      </c>
      <c r="F633">
        <v>0</v>
      </c>
      <c r="G633">
        <f t="shared" si="27"/>
        <v>1889.28</v>
      </c>
      <c r="H633" t="str">
        <f>_xlfn.XLOOKUP(B633,customer_orders!A:A,customer_orders!F:F)</f>
        <v>2026-05</v>
      </c>
      <c r="I633" t="str">
        <f>_xlfn.XLOOKUP(C633,products!A:A,products!B:B)</f>
        <v>SKU-0013</v>
      </c>
      <c r="J633" t="str">
        <f>_xlfn.XLOOKUP(B633,customer_orders!A:A,customer_orders!G:G)</f>
        <v>2026-w19</v>
      </c>
      <c r="K633">
        <f>IFERROR(_xlfn.XLOOKUP(B633,shipments!B:B,shipments!H:H),0)</f>
        <v>94.73</v>
      </c>
      <c r="L633">
        <f t="shared" si="28"/>
        <v>0.05</v>
      </c>
      <c r="M633" t="str">
        <f>_xlfn.XLOOKUP(B633,customer_orders!A:A,customer_orders!D:D)</f>
        <v>Amazon</v>
      </c>
      <c r="N633" t="str">
        <f>_xlfn.XLOOKUP(C633,inventory!B:B,inventory!C:C)</f>
        <v>Draper</v>
      </c>
      <c r="O633">
        <f>IF(_xlfn.XLOOKUP(C633,products!A:A,products!E:E)="NULL",0,_xlfn.XLOOKUP(C633,products!A:A,products!E:E))</f>
        <v>152.5</v>
      </c>
      <c r="P633">
        <f t="shared" si="29"/>
        <v>1736.78</v>
      </c>
      <c r="Q633" s="2" t="str">
        <f>_xlfn.XLOOKUP(I633,products!B:B,products!D:D)</f>
        <v>Beauty</v>
      </c>
    </row>
    <row r="634" spans="1:17">
      <c r="A634">
        <v>633</v>
      </c>
      <c r="B634">
        <v>1259</v>
      </c>
      <c r="C634">
        <v>93</v>
      </c>
      <c r="D634">
        <v>3</v>
      </c>
      <c r="E634">
        <v>277.07</v>
      </c>
      <c r="F634">
        <v>11.2</v>
      </c>
      <c r="G634">
        <f t="shared" si="27"/>
        <v>820.01</v>
      </c>
      <c r="H634" t="str">
        <f>_xlfn.XLOOKUP(B634,customer_orders!A:A,customer_orders!F:F)</f>
        <v>2026-01</v>
      </c>
      <c r="I634" t="str">
        <f>_xlfn.XLOOKUP(C634,products!A:A,products!B:B)</f>
        <v>SKU-0093</v>
      </c>
      <c r="J634" t="str">
        <f>_xlfn.XLOOKUP(B634,customer_orders!A:A,customer_orders!G:G)</f>
        <v>2026-w05</v>
      </c>
      <c r="K634">
        <f>IFERROR(_xlfn.XLOOKUP(B634,shipments!B:B,shipments!H:H),0)</f>
        <v>42.81</v>
      </c>
      <c r="L634">
        <f t="shared" si="28"/>
        <v>0.05</v>
      </c>
      <c r="M634" t="str">
        <f>_xlfn.XLOOKUP(B634,customer_orders!A:A,customer_orders!D:D)</f>
        <v>Shopify</v>
      </c>
      <c r="N634" t="str">
        <f>_xlfn.XLOOKUP(C634,inventory!B:B,inventory!C:C)</f>
        <v>West Valley</v>
      </c>
      <c r="O634">
        <f>IF(_xlfn.XLOOKUP(C634,products!A:A,products!E:E)="NULL",0,_xlfn.XLOOKUP(C634,products!A:A,products!E:E))</f>
        <v>152.09</v>
      </c>
      <c r="P634">
        <f t="shared" si="29"/>
        <v>667.92</v>
      </c>
      <c r="Q634" s="2" t="str">
        <f>_xlfn.XLOOKUP(I634,products!B:B,products!D:D)</f>
        <v>Office</v>
      </c>
    </row>
    <row r="635" spans="1:17">
      <c r="A635">
        <v>634</v>
      </c>
      <c r="B635">
        <v>1259</v>
      </c>
      <c r="C635">
        <v>130</v>
      </c>
      <c r="D635">
        <v>8</v>
      </c>
      <c r="E635">
        <v>193.14</v>
      </c>
      <c r="F635">
        <v>0</v>
      </c>
      <c r="G635">
        <f t="shared" si="27"/>
        <v>1545.12</v>
      </c>
      <c r="H635" t="str">
        <f>_xlfn.XLOOKUP(B635,customer_orders!A:A,customer_orders!F:F)</f>
        <v>2026-01</v>
      </c>
      <c r="I635" t="str">
        <f>_xlfn.XLOOKUP(C635,products!A:A,products!B:B)</f>
        <v>SKU-0130</v>
      </c>
      <c r="J635" t="str">
        <f>_xlfn.XLOOKUP(B635,customer_orders!A:A,customer_orders!G:G)</f>
        <v>2026-w05</v>
      </c>
      <c r="K635">
        <f>IFERROR(_xlfn.XLOOKUP(B635,shipments!B:B,shipments!H:H),0)</f>
        <v>42.81</v>
      </c>
      <c r="L635">
        <f t="shared" si="28"/>
        <v>0.03</v>
      </c>
      <c r="M635" t="str">
        <f>_xlfn.XLOOKUP(B635,customer_orders!A:A,customer_orders!D:D)</f>
        <v>Shopify</v>
      </c>
      <c r="N635" t="str">
        <f>_xlfn.XLOOKUP(C635,inventory!B:B,inventory!C:C)</f>
        <v>South Jordan</v>
      </c>
      <c r="O635">
        <f>IF(_xlfn.XLOOKUP(C635,products!A:A,products!E:E)="NULL",0,_xlfn.XLOOKUP(C635,products!A:A,products!E:E))</f>
        <v>142.87</v>
      </c>
      <c r="P635">
        <f t="shared" si="29"/>
        <v>1402.25</v>
      </c>
      <c r="Q635" s="2" t="str">
        <f>_xlfn.XLOOKUP(I635,products!B:B,products!D:D)</f>
        <v>Beauty</v>
      </c>
    </row>
    <row r="636" spans="1:17">
      <c r="A636">
        <v>635</v>
      </c>
      <c r="B636">
        <v>1260</v>
      </c>
      <c r="C636">
        <v>130</v>
      </c>
      <c r="D636">
        <v>3</v>
      </c>
      <c r="E636">
        <v>193.14</v>
      </c>
      <c r="F636">
        <v>0</v>
      </c>
      <c r="G636">
        <f t="shared" si="27"/>
        <v>579.41999999999996</v>
      </c>
      <c r="H636" t="str">
        <f>_xlfn.XLOOKUP(B636,customer_orders!A:A,customer_orders!F:F)</f>
        <v>2026-01</v>
      </c>
      <c r="I636" t="str">
        <f>_xlfn.XLOOKUP(C636,products!A:A,products!B:B)</f>
        <v>SKU-0130</v>
      </c>
      <c r="J636" t="str">
        <f>_xlfn.XLOOKUP(B636,customer_orders!A:A,customer_orders!G:G)</f>
        <v>2026-w01</v>
      </c>
      <c r="K636">
        <f>IFERROR(_xlfn.XLOOKUP(B636,shipments!B:B,shipments!H:H),0)</f>
        <v>108.18</v>
      </c>
      <c r="L636">
        <f t="shared" si="28"/>
        <v>0.19</v>
      </c>
      <c r="M636" t="str">
        <f>_xlfn.XLOOKUP(B636,customer_orders!A:A,customer_orders!D:D)</f>
        <v>Walmart</v>
      </c>
      <c r="N636" t="str">
        <f>_xlfn.XLOOKUP(C636,inventory!B:B,inventory!C:C)</f>
        <v>South Jordan</v>
      </c>
      <c r="O636">
        <f>IF(_xlfn.XLOOKUP(C636,products!A:A,products!E:E)="NULL",0,_xlfn.XLOOKUP(C636,products!A:A,products!E:E))</f>
        <v>142.87</v>
      </c>
      <c r="P636">
        <f t="shared" si="29"/>
        <v>436.54999999999995</v>
      </c>
      <c r="Q636" s="2" t="str">
        <f>_xlfn.XLOOKUP(I636,products!B:B,products!D:D)</f>
        <v>Beauty</v>
      </c>
    </row>
    <row r="637" spans="1:17">
      <c r="A637">
        <v>636</v>
      </c>
      <c r="B637">
        <v>1260</v>
      </c>
      <c r="C637">
        <v>107</v>
      </c>
      <c r="D637">
        <v>6</v>
      </c>
      <c r="E637">
        <v>223.34</v>
      </c>
      <c r="F637">
        <v>0</v>
      </c>
      <c r="G637">
        <f t="shared" si="27"/>
        <v>1340.04</v>
      </c>
      <c r="H637" t="str">
        <f>_xlfn.XLOOKUP(B637,customer_orders!A:A,customer_orders!F:F)</f>
        <v>2026-01</v>
      </c>
      <c r="I637" t="str">
        <f>_xlfn.XLOOKUP(C637,products!A:A,products!B:B)</f>
        <v>SKU-0107</v>
      </c>
      <c r="J637" t="str">
        <f>_xlfn.XLOOKUP(B637,customer_orders!A:A,customer_orders!G:G)</f>
        <v>2026-w01</v>
      </c>
      <c r="K637">
        <f>IFERROR(_xlfn.XLOOKUP(B637,shipments!B:B,shipments!H:H),0)</f>
        <v>108.18</v>
      </c>
      <c r="L637">
        <f t="shared" si="28"/>
        <v>0.08</v>
      </c>
      <c r="M637" t="str">
        <f>_xlfn.XLOOKUP(B637,customer_orders!A:A,customer_orders!D:D)</f>
        <v>Walmart</v>
      </c>
      <c r="N637" t="str">
        <f>_xlfn.XLOOKUP(C637,inventory!B:B,inventory!C:C)</f>
        <v>South Jordan</v>
      </c>
      <c r="O637">
        <f>IF(_xlfn.XLOOKUP(C637,products!A:A,products!E:E)="NULL",0,_xlfn.XLOOKUP(C637,products!A:A,products!E:E))</f>
        <v>81.23</v>
      </c>
      <c r="P637">
        <f t="shared" si="29"/>
        <v>1258.81</v>
      </c>
      <c r="Q637" s="2" t="str">
        <f>_xlfn.XLOOKUP(I637,products!B:B,products!D:D)</f>
        <v>Pet</v>
      </c>
    </row>
    <row r="638" spans="1:17">
      <c r="A638">
        <v>637</v>
      </c>
      <c r="B638">
        <v>1260</v>
      </c>
      <c r="C638">
        <v>39</v>
      </c>
      <c r="D638">
        <v>7</v>
      </c>
      <c r="E638">
        <v>129.30000000000001</v>
      </c>
      <c r="F638">
        <v>0</v>
      </c>
      <c r="G638">
        <f t="shared" si="27"/>
        <v>905.10000000000014</v>
      </c>
      <c r="H638" t="str">
        <f>_xlfn.XLOOKUP(B638,customer_orders!A:A,customer_orders!F:F)</f>
        <v>2026-01</v>
      </c>
      <c r="I638" t="str">
        <f>_xlfn.XLOOKUP(C638,products!A:A,products!B:B)</f>
        <v>SKU-0039</v>
      </c>
      <c r="J638" t="str">
        <f>_xlfn.XLOOKUP(B638,customer_orders!A:A,customer_orders!G:G)</f>
        <v>2026-w01</v>
      </c>
      <c r="K638">
        <f>IFERROR(_xlfn.XLOOKUP(B638,shipments!B:B,shipments!H:H),0)</f>
        <v>108.18</v>
      </c>
      <c r="L638">
        <f t="shared" si="28"/>
        <v>0.12</v>
      </c>
      <c r="M638" t="str">
        <f>_xlfn.XLOOKUP(B638,customer_orders!A:A,customer_orders!D:D)</f>
        <v>Walmart</v>
      </c>
      <c r="N638" t="str">
        <f>_xlfn.XLOOKUP(C638,inventory!B:B,inventory!C:C)</f>
        <v>West Valley</v>
      </c>
      <c r="O638">
        <f>IF(_xlfn.XLOOKUP(C638,products!A:A,products!E:E)="NULL",0,_xlfn.XLOOKUP(C638,products!A:A,products!E:E))</f>
        <v>42.41</v>
      </c>
      <c r="P638">
        <f t="shared" si="29"/>
        <v>862.69000000000017</v>
      </c>
      <c r="Q638" s="2" t="str">
        <f>_xlfn.XLOOKUP(I638,products!B:B,products!D:D)</f>
        <v>Pet</v>
      </c>
    </row>
    <row r="639" spans="1:17">
      <c r="A639">
        <v>638</v>
      </c>
      <c r="B639">
        <v>1261</v>
      </c>
      <c r="C639">
        <v>22</v>
      </c>
      <c r="D639">
        <v>6</v>
      </c>
      <c r="E639">
        <v>159.69</v>
      </c>
      <c r="F639">
        <v>0</v>
      </c>
      <c r="G639">
        <f t="shared" si="27"/>
        <v>958.14</v>
      </c>
      <c r="H639" t="str">
        <f>_xlfn.XLOOKUP(B639,customer_orders!A:A,customer_orders!F:F)</f>
        <v>2026-04</v>
      </c>
      <c r="I639" t="str">
        <f>_xlfn.XLOOKUP(C639,products!A:A,products!B:B)</f>
        <v>SKU-0022</v>
      </c>
      <c r="J639" t="str">
        <f>_xlfn.XLOOKUP(B639,customer_orders!A:A,customer_orders!G:G)</f>
        <v>2026-w17</v>
      </c>
      <c r="K639">
        <f>IFERROR(_xlfn.XLOOKUP(B639,shipments!B:B,shipments!H:H),0)</f>
        <v>92.07</v>
      </c>
      <c r="L639">
        <f t="shared" si="28"/>
        <v>0.1</v>
      </c>
      <c r="M639" t="str">
        <f>_xlfn.XLOOKUP(B639,customer_orders!A:A,customer_orders!D:D)</f>
        <v>Amazon</v>
      </c>
      <c r="N639" t="str">
        <f>_xlfn.XLOOKUP(C639,inventory!B:B,inventory!C:C)</f>
        <v>Lehi</v>
      </c>
      <c r="O639">
        <f>IF(_xlfn.XLOOKUP(C639,products!A:A,products!E:E)="NULL",0,_xlfn.XLOOKUP(C639,products!A:A,products!E:E))</f>
        <v>138.34</v>
      </c>
      <c r="P639">
        <f t="shared" si="29"/>
        <v>819.8</v>
      </c>
      <c r="Q639" s="2" t="str">
        <f>_xlfn.XLOOKUP(I639,products!B:B,products!D:D)</f>
        <v>Sports</v>
      </c>
    </row>
    <row r="640" spans="1:17">
      <c r="A640">
        <v>639</v>
      </c>
      <c r="B640">
        <v>1262</v>
      </c>
      <c r="C640">
        <v>108</v>
      </c>
      <c r="D640">
        <v>7</v>
      </c>
      <c r="E640">
        <v>143.47999999999999</v>
      </c>
      <c r="F640">
        <v>0</v>
      </c>
      <c r="G640">
        <f t="shared" si="27"/>
        <v>1004.3599999999999</v>
      </c>
      <c r="H640" t="str">
        <f>_xlfn.XLOOKUP(B640,customer_orders!A:A,customer_orders!F:F)</f>
        <v>2026-01</v>
      </c>
      <c r="I640" t="str">
        <f>_xlfn.XLOOKUP(C640,products!A:A,products!B:B)</f>
        <v>SKU-0108</v>
      </c>
      <c r="J640" t="str">
        <f>_xlfn.XLOOKUP(B640,customer_orders!A:A,customer_orders!G:G)</f>
        <v>2026-w03</v>
      </c>
      <c r="K640">
        <f>IFERROR(_xlfn.XLOOKUP(B640,shipments!B:B,shipments!H:H),0)</f>
        <v>76.430000000000007</v>
      </c>
      <c r="L640">
        <f t="shared" si="28"/>
        <v>0.08</v>
      </c>
      <c r="M640" t="str">
        <f>_xlfn.XLOOKUP(B640,customer_orders!A:A,customer_orders!D:D)</f>
        <v>Shopify</v>
      </c>
      <c r="N640" t="str">
        <f>_xlfn.XLOOKUP(C640,inventory!B:B,inventory!C:C)</f>
        <v>South Jordan</v>
      </c>
      <c r="O640">
        <f>IF(_xlfn.XLOOKUP(C640,products!A:A,products!E:E)="NULL",0,_xlfn.XLOOKUP(C640,products!A:A,products!E:E))</f>
        <v>53.81</v>
      </c>
      <c r="P640">
        <f t="shared" si="29"/>
        <v>950.55</v>
      </c>
      <c r="Q640" s="2" t="str">
        <f>_xlfn.XLOOKUP(I640,products!B:B,products!D:D)</f>
        <v>Beauty</v>
      </c>
    </row>
    <row r="641" spans="1:17">
      <c r="A641">
        <v>640</v>
      </c>
      <c r="B641">
        <v>1262</v>
      </c>
      <c r="C641">
        <v>81</v>
      </c>
      <c r="D641">
        <v>6</v>
      </c>
      <c r="E641">
        <v>244.17</v>
      </c>
      <c r="F641">
        <v>0</v>
      </c>
      <c r="G641">
        <f t="shared" si="27"/>
        <v>1465.02</v>
      </c>
      <c r="H641" t="str">
        <f>_xlfn.XLOOKUP(B641,customer_orders!A:A,customer_orders!F:F)</f>
        <v>2026-01</v>
      </c>
      <c r="I641" t="str">
        <f>_xlfn.XLOOKUP(C641,products!A:A,products!B:B)</f>
        <v>SKU-0081</v>
      </c>
      <c r="J641" t="str">
        <f>_xlfn.XLOOKUP(B641,customer_orders!A:A,customer_orders!G:G)</f>
        <v>2026-w03</v>
      </c>
      <c r="K641">
        <f>IFERROR(_xlfn.XLOOKUP(B641,shipments!B:B,shipments!H:H),0)</f>
        <v>76.430000000000007</v>
      </c>
      <c r="L641">
        <f t="shared" si="28"/>
        <v>0.05</v>
      </c>
      <c r="M641" t="str">
        <f>_xlfn.XLOOKUP(B641,customer_orders!A:A,customer_orders!D:D)</f>
        <v>Shopify</v>
      </c>
      <c r="N641" t="str">
        <f>_xlfn.XLOOKUP(C641,inventory!B:B,inventory!C:C)</f>
        <v>Lehi</v>
      </c>
      <c r="O641">
        <f>IF(_xlfn.XLOOKUP(C641,products!A:A,products!E:E)="NULL",0,_xlfn.XLOOKUP(C641,products!A:A,products!E:E))</f>
        <v>43.3</v>
      </c>
      <c r="P641">
        <f t="shared" si="29"/>
        <v>1421.72</v>
      </c>
      <c r="Q641" s="2" t="str">
        <f>_xlfn.XLOOKUP(I641,products!B:B,products!D:D)</f>
        <v>Home</v>
      </c>
    </row>
    <row r="642" spans="1:17">
      <c r="A642">
        <v>641</v>
      </c>
      <c r="B642">
        <v>1262</v>
      </c>
      <c r="C642">
        <v>136</v>
      </c>
      <c r="D642">
        <v>3</v>
      </c>
      <c r="E642">
        <v>230.54</v>
      </c>
      <c r="F642">
        <v>10.8</v>
      </c>
      <c r="G642">
        <f t="shared" si="27"/>
        <v>680.82</v>
      </c>
      <c r="H642" t="str">
        <f>_xlfn.XLOOKUP(B642,customer_orders!A:A,customer_orders!F:F)</f>
        <v>2026-01</v>
      </c>
      <c r="I642" t="str">
        <f>_xlfn.XLOOKUP(C642,products!A:A,products!B:B)</f>
        <v>SKU-0136</v>
      </c>
      <c r="J642" t="str">
        <f>_xlfn.XLOOKUP(B642,customer_orders!A:A,customer_orders!G:G)</f>
        <v>2026-w03</v>
      </c>
      <c r="K642">
        <f>IFERROR(_xlfn.XLOOKUP(B642,shipments!B:B,shipments!H:H),0)</f>
        <v>76.430000000000007</v>
      </c>
      <c r="L642">
        <f t="shared" si="28"/>
        <v>0.11</v>
      </c>
      <c r="M642" t="str">
        <f>_xlfn.XLOOKUP(B642,customer_orders!A:A,customer_orders!D:D)</f>
        <v>Shopify</v>
      </c>
      <c r="N642" t="str">
        <f>_xlfn.XLOOKUP(C642,inventory!B:B,inventory!C:C)</f>
        <v>South Jordan</v>
      </c>
      <c r="O642">
        <f>IF(_xlfn.XLOOKUP(C642,products!A:A,products!E:E)="NULL",0,_xlfn.XLOOKUP(C642,products!A:A,products!E:E))</f>
        <v>12.04</v>
      </c>
      <c r="P642">
        <f t="shared" si="29"/>
        <v>668.78000000000009</v>
      </c>
      <c r="Q642" s="2" t="str">
        <f>_xlfn.XLOOKUP(I642,products!B:B,products!D:D)</f>
        <v>Sports</v>
      </c>
    </row>
    <row r="643" spans="1:17">
      <c r="A643">
        <v>642</v>
      </c>
      <c r="B643">
        <v>1263</v>
      </c>
      <c r="C643">
        <v>100</v>
      </c>
      <c r="D643">
        <v>3</v>
      </c>
      <c r="E643">
        <v>233.57</v>
      </c>
      <c r="F643">
        <v>0</v>
      </c>
      <c r="G643">
        <f t="shared" ref="G643:G706" si="30">E643*D643-F643</f>
        <v>700.71</v>
      </c>
      <c r="H643" t="str">
        <f>_xlfn.XLOOKUP(B643,customer_orders!A:A,customer_orders!F:F)</f>
        <v>2026-02</v>
      </c>
      <c r="I643" t="str">
        <f>_xlfn.XLOOKUP(C643,products!A:A,products!B:B)</f>
        <v>SKU-0100</v>
      </c>
      <c r="J643" t="str">
        <f>_xlfn.XLOOKUP(B643,customer_orders!A:A,customer_orders!G:G)</f>
        <v>2026-w08</v>
      </c>
      <c r="K643">
        <f>IFERROR(_xlfn.XLOOKUP(B643,shipments!B:B,shipments!H:H),0)</f>
        <v>32</v>
      </c>
      <c r="L643">
        <f t="shared" ref="L643:L706" si="31">ROUND(K643/G643,2)</f>
        <v>0.05</v>
      </c>
      <c r="M643" t="str">
        <f>_xlfn.XLOOKUP(B643,customer_orders!A:A,customer_orders!D:D)</f>
        <v>Amazon</v>
      </c>
      <c r="N643" t="str">
        <f>_xlfn.XLOOKUP(C643,inventory!B:B,inventory!C:C)</f>
        <v>Lehi</v>
      </c>
      <c r="O643">
        <f>IF(_xlfn.XLOOKUP(C643,products!A:A,products!E:E)="NULL",0,_xlfn.XLOOKUP(C643,products!A:A,products!E:E))</f>
        <v>127.41</v>
      </c>
      <c r="P643">
        <f t="shared" ref="P643:P706" si="32">G643-O643</f>
        <v>573.30000000000007</v>
      </c>
      <c r="Q643" s="2" t="str">
        <f>_xlfn.XLOOKUP(I643,products!B:B,products!D:D)</f>
        <v>Beauty</v>
      </c>
    </row>
    <row r="644" spans="1:17">
      <c r="A644">
        <v>643</v>
      </c>
      <c r="B644">
        <v>1263</v>
      </c>
      <c r="C644">
        <v>55</v>
      </c>
      <c r="D644">
        <v>2</v>
      </c>
      <c r="E644">
        <v>110.06</v>
      </c>
      <c r="F644">
        <v>0</v>
      </c>
      <c r="G644">
        <f t="shared" si="30"/>
        <v>220.12</v>
      </c>
      <c r="H644" t="str">
        <f>_xlfn.XLOOKUP(B644,customer_orders!A:A,customer_orders!F:F)</f>
        <v>2026-02</v>
      </c>
      <c r="I644" t="str">
        <f>_xlfn.XLOOKUP(C644,products!A:A,products!B:B)</f>
        <v>SKU-0055</v>
      </c>
      <c r="J644" t="str">
        <f>_xlfn.XLOOKUP(B644,customer_orders!A:A,customer_orders!G:G)</f>
        <v>2026-w08</v>
      </c>
      <c r="K644">
        <f>IFERROR(_xlfn.XLOOKUP(B644,shipments!B:B,shipments!H:H),0)</f>
        <v>32</v>
      </c>
      <c r="L644">
        <f t="shared" si="31"/>
        <v>0.15</v>
      </c>
      <c r="M644" t="str">
        <f>_xlfn.XLOOKUP(B644,customer_orders!A:A,customer_orders!D:D)</f>
        <v>Amazon</v>
      </c>
      <c r="N644" t="str">
        <f>_xlfn.XLOOKUP(C644,inventory!B:B,inventory!C:C)</f>
        <v>South Jordan</v>
      </c>
      <c r="O644">
        <f>IF(_xlfn.XLOOKUP(C644,products!A:A,products!E:E)="NULL",0,_xlfn.XLOOKUP(C644,products!A:A,products!E:E))</f>
        <v>12.72</v>
      </c>
      <c r="P644">
        <f t="shared" si="32"/>
        <v>207.4</v>
      </c>
      <c r="Q644" s="2" t="str">
        <f>_xlfn.XLOOKUP(I644,products!B:B,products!D:D)</f>
        <v>Office</v>
      </c>
    </row>
    <row r="645" spans="1:17">
      <c r="A645">
        <v>644</v>
      </c>
      <c r="B645">
        <v>1263</v>
      </c>
      <c r="C645">
        <v>134</v>
      </c>
      <c r="D645">
        <v>6</v>
      </c>
      <c r="E645">
        <v>26.36</v>
      </c>
      <c r="F645">
        <v>0</v>
      </c>
      <c r="G645">
        <f t="shared" si="30"/>
        <v>158.16</v>
      </c>
      <c r="H645" t="str">
        <f>_xlfn.XLOOKUP(B645,customer_orders!A:A,customer_orders!F:F)</f>
        <v>2026-02</v>
      </c>
      <c r="I645" t="str">
        <f>_xlfn.XLOOKUP(C645,products!A:A,products!B:B)</f>
        <v>SKU-0134</v>
      </c>
      <c r="J645" t="str">
        <f>_xlfn.XLOOKUP(B645,customer_orders!A:A,customer_orders!G:G)</f>
        <v>2026-w08</v>
      </c>
      <c r="K645">
        <f>IFERROR(_xlfn.XLOOKUP(B645,shipments!B:B,shipments!H:H),0)</f>
        <v>32</v>
      </c>
      <c r="L645">
        <f t="shared" si="31"/>
        <v>0.2</v>
      </c>
      <c r="M645" t="str">
        <f>_xlfn.XLOOKUP(B645,customer_orders!A:A,customer_orders!D:D)</f>
        <v>Amazon</v>
      </c>
      <c r="N645" t="str">
        <f>_xlfn.XLOOKUP(C645,inventory!B:B,inventory!C:C)</f>
        <v>Draper</v>
      </c>
      <c r="O645">
        <f>IF(_xlfn.XLOOKUP(C645,products!A:A,products!E:E)="NULL",0,_xlfn.XLOOKUP(C645,products!A:A,products!E:E))</f>
        <v>19.079999999999998</v>
      </c>
      <c r="P645">
        <f t="shared" si="32"/>
        <v>139.07999999999998</v>
      </c>
      <c r="Q645" s="2" t="str">
        <f>_xlfn.XLOOKUP(I645,products!B:B,products!D:D)</f>
        <v>Pet</v>
      </c>
    </row>
    <row r="646" spans="1:17">
      <c r="A646">
        <v>645</v>
      </c>
      <c r="B646">
        <v>1264</v>
      </c>
      <c r="C646">
        <v>130</v>
      </c>
      <c r="D646">
        <v>6</v>
      </c>
      <c r="E646">
        <v>193.14</v>
      </c>
      <c r="F646">
        <v>0</v>
      </c>
      <c r="G646">
        <f t="shared" si="30"/>
        <v>1158.8399999999999</v>
      </c>
      <c r="H646" t="str">
        <f>_xlfn.XLOOKUP(B646,customer_orders!A:A,customer_orders!F:F)</f>
        <v>2026-01</v>
      </c>
      <c r="I646" t="str">
        <f>_xlfn.XLOOKUP(C646,products!A:A,products!B:B)</f>
        <v>SKU-0130</v>
      </c>
      <c r="J646" t="str">
        <f>_xlfn.XLOOKUP(B646,customer_orders!A:A,customer_orders!G:G)</f>
        <v>2026-w05</v>
      </c>
      <c r="K646">
        <f>IFERROR(_xlfn.XLOOKUP(B646,shipments!B:B,shipments!H:H),0)</f>
        <v>81.36</v>
      </c>
      <c r="L646">
        <f t="shared" si="31"/>
        <v>7.0000000000000007E-2</v>
      </c>
      <c r="M646" t="str">
        <f>_xlfn.XLOOKUP(B646,customer_orders!A:A,customer_orders!D:D)</f>
        <v>Amazon</v>
      </c>
      <c r="N646" t="str">
        <f>_xlfn.XLOOKUP(C646,inventory!B:B,inventory!C:C)</f>
        <v>South Jordan</v>
      </c>
      <c r="O646">
        <f>IF(_xlfn.XLOOKUP(C646,products!A:A,products!E:E)="NULL",0,_xlfn.XLOOKUP(C646,products!A:A,products!E:E))</f>
        <v>142.87</v>
      </c>
      <c r="P646">
        <f t="shared" si="32"/>
        <v>1015.9699999999999</v>
      </c>
      <c r="Q646" s="2" t="str">
        <f>_xlfn.XLOOKUP(I646,products!B:B,products!D:D)</f>
        <v>Beauty</v>
      </c>
    </row>
    <row r="647" spans="1:17">
      <c r="A647">
        <v>646</v>
      </c>
      <c r="B647">
        <v>1264</v>
      </c>
      <c r="C647">
        <v>115</v>
      </c>
      <c r="D647">
        <v>5</v>
      </c>
      <c r="E647">
        <v>80.7</v>
      </c>
      <c r="F647">
        <v>0</v>
      </c>
      <c r="G647">
        <f t="shared" si="30"/>
        <v>403.5</v>
      </c>
      <c r="H647" t="str">
        <f>_xlfn.XLOOKUP(B647,customer_orders!A:A,customer_orders!F:F)</f>
        <v>2026-01</v>
      </c>
      <c r="I647" t="str">
        <f>_xlfn.XLOOKUP(C647,products!A:A,products!B:B)</f>
        <v>SKU-0115</v>
      </c>
      <c r="J647" t="str">
        <f>_xlfn.XLOOKUP(B647,customer_orders!A:A,customer_orders!G:G)</f>
        <v>2026-w05</v>
      </c>
      <c r="K647">
        <f>IFERROR(_xlfn.XLOOKUP(B647,shipments!B:B,shipments!H:H),0)</f>
        <v>81.36</v>
      </c>
      <c r="L647">
        <f t="shared" si="31"/>
        <v>0.2</v>
      </c>
      <c r="M647" t="str">
        <f>_xlfn.XLOOKUP(B647,customer_orders!A:A,customer_orders!D:D)</f>
        <v>Amazon</v>
      </c>
      <c r="N647" t="str">
        <f>_xlfn.XLOOKUP(C647,inventory!B:B,inventory!C:C)</f>
        <v>West Valley</v>
      </c>
      <c r="O647">
        <f>IF(_xlfn.XLOOKUP(C647,products!A:A,products!E:E)="NULL",0,_xlfn.XLOOKUP(C647,products!A:A,products!E:E))</f>
        <v>58.66</v>
      </c>
      <c r="P647">
        <f t="shared" si="32"/>
        <v>344.84000000000003</v>
      </c>
      <c r="Q647" s="2" t="str">
        <f>_xlfn.XLOOKUP(I647,products!B:B,products!D:D)</f>
        <v>Pet</v>
      </c>
    </row>
    <row r="648" spans="1:17">
      <c r="A648">
        <v>647</v>
      </c>
      <c r="B648">
        <v>1264</v>
      </c>
      <c r="C648">
        <v>117</v>
      </c>
      <c r="D648">
        <v>6</v>
      </c>
      <c r="E648">
        <v>293.33</v>
      </c>
      <c r="F648">
        <v>0</v>
      </c>
      <c r="G648">
        <f t="shared" si="30"/>
        <v>1759.98</v>
      </c>
      <c r="H648" t="str">
        <f>_xlfn.XLOOKUP(B648,customer_orders!A:A,customer_orders!F:F)</f>
        <v>2026-01</v>
      </c>
      <c r="I648" t="str">
        <f>_xlfn.XLOOKUP(C648,products!A:A,products!B:B)</f>
        <v>SKU-0117</v>
      </c>
      <c r="J648" t="str">
        <f>_xlfn.XLOOKUP(B648,customer_orders!A:A,customer_orders!G:G)</f>
        <v>2026-w05</v>
      </c>
      <c r="K648">
        <f>IFERROR(_xlfn.XLOOKUP(B648,shipments!B:B,shipments!H:H),0)</f>
        <v>81.36</v>
      </c>
      <c r="L648">
        <f t="shared" si="31"/>
        <v>0.05</v>
      </c>
      <c r="M648" t="str">
        <f>_xlfn.XLOOKUP(B648,customer_orders!A:A,customer_orders!D:D)</f>
        <v>Amazon</v>
      </c>
      <c r="N648" t="str">
        <f>_xlfn.XLOOKUP(C648,inventory!B:B,inventory!C:C)</f>
        <v>Draper</v>
      </c>
      <c r="O648">
        <f>IF(_xlfn.XLOOKUP(C648,products!A:A,products!E:E)="NULL",0,_xlfn.XLOOKUP(C648,products!A:A,products!E:E))</f>
        <v>131.80000000000001</v>
      </c>
      <c r="P648">
        <f t="shared" si="32"/>
        <v>1628.18</v>
      </c>
      <c r="Q648" s="2" t="str">
        <f>_xlfn.XLOOKUP(I648,products!B:B,products!D:D)</f>
        <v>Pet</v>
      </c>
    </row>
    <row r="649" spans="1:17">
      <c r="A649">
        <v>648</v>
      </c>
      <c r="B649">
        <v>1265</v>
      </c>
      <c r="C649">
        <v>93</v>
      </c>
      <c r="D649">
        <v>8</v>
      </c>
      <c r="E649">
        <v>277.07</v>
      </c>
      <c r="F649">
        <v>2.37</v>
      </c>
      <c r="G649">
        <f t="shared" si="30"/>
        <v>2214.19</v>
      </c>
      <c r="H649" t="str">
        <f>_xlfn.XLOOKUP(B649,customer_orders!A:A,customer_orders!F:F)</f>
        <v>2026-03</v>
      </c>
      <c r="I649" t="str">
        <f>_xlfn.XLOOKUP(C649,products!A:A,products!B:B)</f>
        <v>SKU-0093</v>
      </c>
      <c r="J649" t="str">
        <f>_xlfn.XLOOKUP(B649,customer_orders!A:A,customer_orders!G:G)</f>
        <v>2026-w10</v>
      </c>
      <c r="K649">
        <f>IFERROR(_xlfn.XLOOKUP(B649,shipments!B:B,shipments!H:H),0)</f>
        <v>55.76</v>
      </c>
      <c r="L649">
        <f t="shared" si="31"/>
        <v>0.03</v>
      </c>
      <c r="M649" t="str">
        <f>_xlfn.XLOOKUP(B649,customer_orders!A:A,customer_orders!D:D)</f>
        <v>Ebay</v>
      </c>
      <c r="N649" t="str">
        <f>_xlfn.XLOOKUP(C649,inventory!B:B,inventory!C:C)</f>
        <v>West Valley</v>
      </c>
      <c r="O649">
        <f>IF(_xlfn.XLOOKUP(C649,products!A:A,products!E:E)="NULL",0,_xlfn.XLOOKUP(C649,products!A:A,products!E:E))</f>
        <v>152.09</v>
      </c>
      <c r="P649">
        <f t="shared" si="32"/>
        <v>2062.1</v>
      </c>
      <c r="Q649" s="2" t="str">
        <f>_xlfn.XLOOKUP(I649,products!B:B,products!D:D)</f>
        <v>Office</v>
      </c>
    </row>
    <row r="650" spans="1:17">
      <c r="A650">
        <v>649</v>
      </c>
      <c r="B650">
        <v>1265</v>
      </c>
      <c r="C650">
        <v>106</v>
      </c>
      <c r="D650">
        <v>2</v>
      </c>
      <c r="E650">
        <v>65.2</v>
      </c>
      <c r="F650">
        <v>2.29</v>
      </c>
      <c r="G650">
        <f t="shared" si="30"/>
        <v>128.11000000000001</v>
      </c>
      <c r="H650" t="str">
        <f>_xlfn.XLOOKUP(B650,customer_orders!A:A,customer_orders!F:F)</f>
        <v>2026-03</v>
      </c>
      <c r="I650" t="str">
        <f>_xlfn.XLOOKUP(C650,products!A:A,products!B:B)</f>
        <v>SKU-0106</v>
      </c>
      <c r="J650" t="str">
        <f>_xlfn.XLOOKUP(B650,customer_orders!A:A,customer_orders!G:G)</f>
        <v>2026-w10</v>
      </c>
      <c r="K650">
        <f>IFERROR(_xlfn.XLOOKUP(B650,shipments!B:B,shipments!H:H),0)</f>
        <v>55.76</v>
      </c>
      <c r="L650">
        <f t="shared" si="31"/>
        <v>0.44</v>
      </c>
      <c r="M650" t="str">
        <f>_xlfn.XLOOKUP(B650,customer_orders!A:A,customer_orders!D:D)</f>
        <v>Ebay</v>
      </c>
      <c r="N650" t="str">
        <f>_xlfn.XLOOKUP(C650,inventory!B:B,inventory!C:C)</f>
        <v>Lehi</v>
      </c>
      <c r="O650">
        <f>IF(_xlfn.XLOOKUP(C650,products!A:A,products!E:E)="NULL",0,_xlfn.XLOOKUP(C650,products!A:A,products!E:E))</f>
        <v>0</v>
      </c>
      <c r="P650">
        <f t="shared" si="32"/>
        <v>128.11000000000001</v>
      </c>
      <c r="Q650" s="2" t="str">
        <f>_xlfn.XLOOKUP(I650,products!B:B,products!D:D)</f>
        <v>Toys</v>
      </c>
    </row>
    <row r="651" spans="1:17">
      <c r="A651">
        <v>650</v>
      </c>
      <c r="B651">
        <v>1266</v>
      </c>
      <c r="C651">
        <v>113</v>
      </c>
      <c r="D651">
        <v>8</v>
      </c>
      <c r="E651">
        <v>84.34</v>
      </c>
      <c r="F651">
        <v>11.24</v>
      </c>
      <c r="G651">
        <f t="shared" si="30"/>
        <v>663.48</v>
      </c>
      <c r="H651" t="str">
        <f>_xlfn.XLOOKUP(B651,customer_orders!A:A,customer_orders!F:F)</f>
        <v>2026-04</v>
      </c>
      <c r="I651" t="str">
        <f>_xlfn.XLOOKUP(C651,products!A:A,products!B:B)</f>
        <v>SKU-0113</v>
      </c>
      <c r="J651" t="str">
        <f>_xlfn.XLOOKUP(B651,customer_orders!A:A,customer_orders!G:G)</f>
        <v>2026-w16</v>
      </c>
      <c r="K651">
        <f>IFERROR(_xlfn.XLOOKUP(B651,shipments!B:B,shipments!H:H),0)</f>
        <v>0</v>
      </c>
      <c r="L651">
        <f t="shared" si="31"/>
        <v>0</v>
      </c>
      <c r="M651" t="str">
        <f>_xlfn.XLOOKUP(B651,customer_orders!A:A,customer_orders!D:D)</f>
        <v>Amazon</v>
      </c>
      <c r="N651" t="str">
        <f>_xlfn.XLOOKUP(C651,inventory!B:B,inventory!C:C)</f>
        <v>West Valley</v>
      </c>
      <c r="O651">
        <f>IF(_xlfn.XLOOKUP(C651,products!A:A,products!E:E)="NULL",0,_xlfn.XLOOKUP(C651,products!A:A,products!E:E))</f>
        <v>75.77</v>
      </c>
      <c r="P651">
        <f t="shared" si="32"/>
        <v>587.71</v>
      </c>
      <c r="Q651" s="2" t="str">
        <f>_xlfn.XLOOKUP(I651,products!B:B,products!D:D)</f>
        <v>Sports</v>
      </c>
    </row>
    <row r="652" spans="1:17">
      <c r="A652">
        <v>651</v>
      </c>
      <c r="B652">
        <v>1266</v>
      </c>
      <c r="C652">
        <v>42</v>
      </c>
      <c r="D652">
        <v>3</v>
      </c>
      <c r="E652">
        <v>169.53</v>
      </c>
      <c r="F652">
        <v>8.08</v>
      </c>
      <c r="G652">
        <f t="shared" si="30"/>
        <v>500.51000000000005</v>
      </c>
      <c r="H652" t="str">
        <f>_xlfn.XLOOKUP(B652,customer_orders!A:A,customer_orders!F:F)</f>
        <v>2026-04</v>
      </c>
      <c r="I652" t="str">
        <f>_xlfn.XLOOKUP(C652,products!A:A,products!B:B)</f>
        <v>SKU-0042</v>
      </c>
      <c r="J652" t="str">
        <f>_xlfn.XLOOKUP(B652,customer_orders!A:A,customer_orders!G:G)</f>
        <v>2026-w16</v>
      </c>
      <c r="K652">
        <f>IFERROR(_xlfn.XLOOKUP(B652,shipments!B:B,shipments!H:H),0)</f>
        <v>0</v>
      </c>
      <c r="L652">
        <f t="shared" si="31"/>
        <v>0</v>
      </c>
      <c r="M652" t="str">
        <f>_xlfn.XLOOKUP(B652,customer_orders!A:A,customer_orders!D:D)</f>
        <v>Amazon</v>
      </c>
      <c r="N652" t="str">
        <f>_xlfn.XLOOKUP(C652,inventory!B:B,inventory!C:C)</f>
        <v>South Jordan</v>
      </c>
      <c r="O652">
        <f>IF(_xlfn.XLOOKUP(C652,products!A:A,products!E:E)="NULL",0,_xlfn.XLOOKUP(C652,products!A:A,products!E:E))</f>
        <v>106.36</v>
      </c>
      <c r="P652">
        <f t="shared" si="32"/>
        <v>394.15000000000003</v>
      </c>
      <c r="Q652" s="2" t="str">
        <f>_xlfn.XLOOKUP(I652,products!B:B,products!D:D)</f>
        <v>Beauty</v>
      </c>
    </row>
    <row r="653" spans="1:17">
      <c r="A653">
        <v>652</v>
      </c>
      <c r="B653">
        <v>1266</v>
      </c>
      <c r="C653">
        <v>118</v>
      </c>
      <c r="D653">
        <v>3</v>
      </c>
      <c r="E653">
        <v>242.65</v>
      </c>
      <c r="F653">
        <v>0</v>
      </c>
      <c r="G653">
        <f t="shared" si="30"/>
        <v>727.95</v>
      </c>
      <c r="H653" t="str">
        <f>_xlfn.XLOOKUP(B653,customer_orders!A:A,customer_orders!F:F)</f>
        <v>2026-04</v>
      </c>
      <c r="I653" t="str">
        <f>_xlfn.XLOOKUP(C653,products!A:A,products!B:B)</f>
        <v>SKU-0118</v>
      </c>
      <c r="J653" t="str">
        <f>_xlfn.XLOOKUP(B653,customer_orders!A:A,customer_orders!G:G)</f>
        <v>2026-w16</v>
      </c>
      <c r="K653">
        <f>IFERROR(_xlfn.XLOOKUP(B653,shipments!B:B,shipments!H:H),0)</f>
        <v>0</v>
      </c>
      <c r="L653">
        <f t="shared" si="31"/>
        <v>0</v>
      </c>
      <c r="M653" t="str">
        <f>_xlfn.XLOOKUP(B653,customer_orders!A:A,customer_orders!D:D)</f>
        <v>Amazon</v>
      </c>
      <c r="N653" t="str">
        <f>_xlfn.XLOOKUP(C653,inventory!B:B,inventory!C:C)</f>
        <v>Salt Lake City</v>
      </c>
      <c r="O653">
        <f>IF(_xlfn.XLOOKUP(C653,products!A:A,products!E:E)="NULL",0,_xlfn.XLOOKUP(C653,products!A:A,products!E:E))</f>
        <v>44.81</v>
      </c>
      <c r="P653">
        <f t="shared" si="32"/>
        <v>683.1400000000001</v>
      </c>
      <c r="Q653" s="2" t="str">
        <f>_xlfn.XLOOKUP(I653,products!B:B,products!D:D)</f>
        <v>Beauty</v>
      </c>
    </row>
    <row r="654" spans="1:17">
      <c r="A654">
        <v>653</v>
      </c>
      <c r="B654">
        <v>1266</v>
      </c>
      <c r="C654">
        <v>55</v>
      </c>
      <c r="D654">
        <v>8</v>
      </c>
      <c r="E654">
        <v>110.06</v>
      </c>
      <c r="F654">
        <v>0</v>
      </c>
      <c r="G654">
        <f t="shared" si="30"/>
        <v>880.48</v>
      </c>
      <c r="H654" t="str">
        <f>_xlfn.XLOOKUP(B654,customer_orders!A:A,customer_orders!F:F)</f>
        <v>2026-04</v>
      </c>
      <c r="I654" t="str">
        <f>_xlfn.XLOOKUP(C654,products!A:A,products!B:B)</f>
        <v>SKU-0055</v>
      </c>
      <c r="J654" t="str">
        <f>_xlfn.XLOOKUP(B654,customer_orders!A:A,customer_orders!G:G)</f>
        <v>2026-w16</v>
      </c>
      <c r="K654">
        <f>IFERROR(_xlfn.XLOOKUP(B654,shipments!B:B,shipments!H:H),0)</f>
        <v>0</v>
      </c>
      <c r="L654">
        <f t="shared" si="31"/>
        <v>0</v>
      </c>
      <c r="M654" t="str">
        <f>_xlfn.XLOOKUP(B654,customer_orders!A:A,customer_orders!D:D)</f>
        <v>Amazon</v>
      </c>
      <c r="N654" t="str">
        <f>_xlfn.XLOOKUP(C654,inventory!B:B,inventory!C:C)</f>
        <v>South Jordan</v>
      </c>
      <c r="O654">
        <f>IF(_xlfn.XLOOKUP(C654,products!A:A,products!E:E)="NULL",0,_xlfn.XLOOKUP(C654,products!A:A,products!E:E))</f>
        <v>12.72</v>
      </c>
      <c r="P654">
        <f t="shared" si="32"/>
        <v>867.76</v>
      </c>
      <c r="Q654" s="2" t="str">
        <f>_xlfn.XLOOKUP(I654,products!B:B,products!D:D)</f>
        <v>Office</v>
      </c>
    </row>
    <row r="655" spans="1:17">
      <c r="A655">
        <v>654</v>
      </c>
      <c r="B655">
        <v>1267</v>
      </c>
      <c r="C655">
        <v>31</v>
      </c>
      <c r="D655">
        <v>6</v>
      </c>
      <c r="E655">
        <v>35.19</v>
      </c>
      <c r="F655">
        <v>0</v>
      </c>
      <c r="G655">
        <f t="shared" si="30"/>
        <v>211.14</v>
      </c>
      <c r="H655" t="str">
        <f>_xlfn.XLOOKUP(B655,customer_orders!A:A,customer_orders!F:F)</f>
        <v>2026-04</v>
      </c>
      <c r="I655" t="str">
        <f>_xlfn.XLOOKUP(C655,products!A:A,products!B:B)</f>
        <v>SKU-0031</v>
      </c>
      <c r="J655" t="str">
        <f>_xlfn.XLOOKUP(B655,customer_orders!A:A,customer_orders!G:G)</f>
        <v>2026-w15</v>
      </c>
      <c r="K655">
        <f>IFERROR(_xlfn.XLOOKUP(B655,shipments!B:B,shipments!H:H),0)</f>
        <v>47.09</v>
      </c>
      <c r="L655">
        <f t="shared" si="31"/>
        <v>0.22</v>
      </c>
      <c r="M655" t="str">
        <f>_xlfn.XLOOKUP(B655,customer_orders!A:A,customer_orders!D:D)</f>
        <v>Amazon</v>
      </c>
      <c r="N655" t="str">
        <f>_xlfn.XLOOKUP(C655,inventory!B:B,inventory!C:C)</f>
        <v>Salt Lake City</v>
      </c>
      <c r="O655">
        <f>IF(_xlfn.XLOOKUP(C655,products!A:A,products!E:E)="NULL",0,_xlfn.XLOOKUP(C655,products!A:A,products!E:E))</f>
        <v>155.44</v>
      </c>
      <c r="P655">
        <f t="shared" si="32"/>
        <v>55.699999999999989</v>
      </c>
      <c r="Q655" s="2" t="str">
        <f>_xlfn.XLOOKUP(I655,products!B:B,products!D:D)</f>
        <v>Home</v>
      </c>
    </row>
    <row r="656" spans="1:17">
      <c r="A656">
        <v>655</v>
      </c>
      <c r="B656">
        <v>1268</v>
      </c>
      <c r="C656">
        <v>13</v>
      </c>
      <c r="D656">
        <v>5</v>
      </c>
      <c r="E656">
        <v>236.16</v>
      </c>
      <c r="F656">
        <v>0</v>
      </c>
      <c r="G656">
        <f t="shared" si="30"/>
        <v>1180.8</v>
      </c>
      <c r="H656" t="str">
        <f>_xlfn.XLOOKUP(B656,customer_orders!A:A,customer_orders!F:F)</f>
        <v>2026-01</v>
      </c>
      <c r="I656" t="str">
        <f>_xlfn.XLOOKUP(C656,products!A:A,products!B:B)</f>
        <v>SKU-0013</v>
      </c>
      <c r="J656" t="str">
        <f>_xlfn.XLOOKUP(B656,customer_orders!A:A,customer_orders!G:G)</f>
        <v>2026-w02</v>
      </c>
      <c r="K656">
        <f>IFERROR(_xlfn.XLOOKUP(B656,shipments!B:B,shipments!H:H),0)</f>
        <v>19.41</v>
      </c>
      <c r="L656">
        <f t="shared" si="31"/>
        <v>0.02</v>
      </c>
      <c r="M656" t="str">
        <f>_xlfn.XLOOKUP(B656,customer_orders!A:A,customer_orders!D:D)</f>
        <v>Shopify</v>
      </c>
      <c r="N656" t="str">
        <f>_xlfn.XLOOKUP(C656,inventory!B:B,inventory!C:C)</f>
        <v>Draper</v>
      </c>
      <c r="O656">
        <f>IF(_xlfn.XLOOKUP(C656,products!A:A,products!E:E)="NULL",0,_xlfn.XLOOKUP(C656,products!A:A,products!E:E))</f>
        <v>152.5</v>
      </c>
      <c r="P656">
        <f t="shared" si="32"/>
        <v>1028.3</v>
      </c>
      <c r="Q656" s="2" t="str">
        <f>_xlfn.XLOOKUP(I656,products!B:B,products!D:D)</f>
        <v>Beauty</v>
      </c>
    </row>
    <row r="657" spans="1:17">
      <c r="A657">
        <v>656</v>
      </c>
      <c r="B657">
        <v>1268</v>
      </c>
      <c r="C657">
        <v>47</v>
      </c>
      <c r="D657">
        <v>8</v>
      </c>
      <c r="E657">
        <v>100.5</v>
      </c>
      <c r="F657">
        <v>0</v>
      </c>
      <c r="G657">
        <f t="shared" si="30"/>
        <v>804</v>
      </c>
      <c r="H657" t="str">
        <f>_xlfn.XLOOKUP(B657,customer_orders!A:A,customer_orders!F:F)</f>
        <v>2026-01</v>
      </c>
      <c r="I657" t="str">
        <f>_xlfn.XLOOKUP(C657,products!A:A,products!B:B)</f>
        <v>SKU-0047</v>
      </c>
      <c r="J657" t="str">
        <f>_xlfn.XLOOKUP(B657,customer_orders!A:A,customer_orders!G:G)</f>
        <v>2026-w02</v>
      </c>
      <c r="K657">
        <f>IFERROR(_xlfn.XLOOKUP(B657,shipments!B:B,shipments!H:H),0)</f>
        <v>19.41</v>
      </c>
      <c r="L657">
        <f t="shared" si="31"/>
        <v>0.02</v>
      </c>
      <c r="M657" t="str">
        <f>_xlfn.XLOOKUP(B657,customer_orders!A:A,customer_orders!D:D)</f>
        <v>Shopify</v>
      </c>
      <c r="N657" t="str">
        <f>_xlfn.XLOOKUP(C657,inventory!B:B,inventory!C:C)</f>
        <v>Salt Lake City</v>
      </c>
      <c r="O657">
        <f>IF(_xlfn.XLOOKUP(C657,products!A:A,products!E:E)="NULL",0,_xlfn.XLOOKUP(C657,products!A:A,products!E:E))</f>
        <v>122.55</v>
      </c>
      <c r="P657">
        <f t="shared" si="32"/>
        <v>681.45</v>
      </c>
      <c r="Q657" s="2" t="str">
        <f>_xlfn.XLOOKUP(I657,products!B:B,products!D:D)</f>
        <v>Office</v>
      </c>
    </row>
    <row r="658" spans="1:17">
      <c r="A658">
        <v>657</v>
      </c>
      <c r="B658">
        <v>1268</v>
      </c>
      <c r="C658">
        <v>18</v>
      </c>
      <c r="D658">
        <v>1</v>
      </c>
      <c r="E658">
        <v>60.59</v>
      </c>
      <c r="F658">
        <v>0</v>
      </c>
      <c r="G658">
        <f t="shared" si="30"/>
        <v>60.59</v>
      </c>
      <c r="H658" t="str">
        <f>_xlfn.XLOOKUP(B658,customer_orders!A:A,customer_orders!F:F)</f>
        <v>2026-01</v>
      </c>
      <c r="I658" t="str">
        <f>_xlfn.XLOOKUP(C658,products!A:A,products!B:B)</f>
        <v>SKU-0018</v>
      </c>
      <c r="J658" t="str">
        <f>_xlfn.XLOOKUP(B658,customer_orders!A:A,customer_orders!G:G)</f>
        <v>2026-w02</v>
      </c>
      <c r="K658">
        <f>IFERROR(_xlfn.XLOOKUP(B658,shipments!B:B,shipments!H:H),0)</f>
        <v>19.41</v>
      </c>
      <c r="L658">
        <f t="shared" si="31"/>
        <v>0.32</v>
      </c>
      <c r="M658" t="str">
        <f>_xlfn.XLOOKUP(B658,customer_orders!A:A,customer_orders!D:D)</f>
        <v>Shopify</v>
      </c>
      <c r="N658" t="str">
        <f>_xlfn.XLOOKUP(C658,inventory!B:B,inventory!C:C)</f>
        <v>Unknown</v>
      </c>
      <c r="O658">
        <f>IF(_xlfn.XLOOKUP(C658,products!A:A,products!E:E)="NULL",0,_xlfn.XLOOKUP(C658,products!A:A,products!E:E))</f>
        <v>31.75</v>
      </c>
      <c r="P658">
        <f t="shared" si="32"/>
        <v>28.840000000000003</v>
      </c>
      <c r="Q658" s="2" t="str">
        <f>_xlfn.XLOOKUP(I658,products!B:B,products!D:D)</f>
        <v>Electronics</v>
      </c>
    </row>
    <row r="659" spans="1:17">
      <c r="A659">
        <v>658</v>
      </c>
      <c r="B659">
        <v>1268</v>
      </c>
      <c r="C659">
        <v>145</v>
      </c>
      <c r="D659">
        <v>8</v>
      </c>
      <c r="E659">
        <v>172.39</v>
      </c>
      <c r="F659">
        <v>13.6</v>
      </c>
      <c r="G659">
        <f t="shared" si="30"/>
        <v>1365.52</v>
      </c>
      <c r="H659" t="str">
        <f>_xlfn.XLOOKUP(B659,customer_orders!A:A,customer_orders!F:F)</f>
        <v>2026-01</v>
      </c>
      <c r="I659" t="str">
        <f>_xlfn.XLOOKUP(C659,products!A:A,products!B:B)</f>
        <v>SKU-0145</v>
      </c>
      <c r="J659" t="str">
        <f>_xlfn.XLOOKUP(B659,customer_orders!A:A,customer_orders!G:G)</f>
        <v>2026-w02</v>
      </c>
      <c r="K659">
        <f>IFERROR(_xlfn.XLOOKUP(B659,shipments!B:B,shipments!H:H),0)</f>
        <v>19.41</v>
      </c>
      <c r="L659">
        <f t="shared" si="31"/>
        <v>0.01</v>
      </c>
      <c r="M659" t="str">
        <f>_xlfn.XLOOKUP(B659,customer_orders!A:A,customer_orders!D:D)</f>
        <v>Shopify</v>
      </c>
      <c r="N659" t="str">
        <f>_xlfn.XLOOKUP(C659,inventory!B:B,inventory!C:C)</f>
        <v>West Valley</v>
      </c>
      <c r="O659">
        <f>IF(_xlfn.XLOOKUP(C659,products!A:A,products!E:E)="NULL",0,_xlfn.XLOOKUP(C659,products!A:A,products!E:E))</f>
        <v>101.4</v>
      </c>
      <c r="P659">
        <f t="shared" si="32"/>
        <v>1264.1199999999999</v>
      </c>
      <c r="Q659" s="2" t="str">
        <f>_xlfn.XLOOKUP(I659,products!B:B,products!D:D)</f>
        <v>Toys</v>
      </c>
    </row>
    <row r="660" spans="1:17">
      <c r="A660">
        <v>659</v>
      </c>
      <c r="B660">
        <v>1269</v>
      </c>
      <c r="C660">
        <v>105</v>
      </c>
      <c r="D660">
        <v>7</v>
      </c>
      <c r="E660">
        <v>288.82</v>
      </c>
      <c r="F660">
        <v>4.26</v>
      </c>
      <c r="G660">
        <f t="shared" si="30"/>
        <v>2017.48</v>
      </c>
      <c r="H660" t="str">
        <f>_xlfn.XLOOKUP(B660,customer_orders!A:A,customer_orders!F:F)</f>
        <v>2026-04</v>
      </c>
      <c r="I660" t="str">
        <f>_xlfn.XLOOKUP(C660,products!A:A,products!B:B)</f>
        <v>SKU-0105</v>
      </c>
      <c r="J660" t="str">
        <f>_xlfn.XLOOKUP(B660,customer_orders!A:A,customer_orders!G:G)</f>
        <v>2026-w17</v>
      </c>
      <c r="K660">
        <f>IFERROR(_xlfn.XLOOKUP(B660,shipments!B:B,shipments!H:H),0)</f>
        <v>115.14</v>
      </c>
      <c r="L660">
        <f t="shared" si="31"/>
        <v>0.06</v>
      </c>
      <c r="M660" t="str">
        <f>_xlfn.XLOOKUP(B660,customer_orders!A:A,customer_orders!D:D)</f>
        <v>Shopify</v>
      </c>
      <c r="N660" t="str">
        <f>_xlfn.XLOOKUP(C660,inventory!B:B,inventory!C:C)</f>
        <v>West Valley</v>
      </c>
      <c r="O660">
        <f>IF(_xlfn.XLOOKUP(C660,products!A:A,products!E:E)="NULL",0,_xlfn.XLOOKUP(C660,products!A:A,products!E:E))</f>
        <v>23.47</v>
      </c>
      <c r="P660">
        <f t="shared" si="32"/>
        <v>1994.01</v>
      </c>
      <c r="Q660" s="2" t="str">
        <f>_xlfn.XLOOKUP(I660,products!B:B,products!D:D)</f>
        <v>Office</v>
      </c>
    </row>
    <row r="661" spans="1:17">
      <c r="A661">
        <v>660</v>
      </c>
      <c r="B661">
        <v>1270</v>
      </c>
      <c r="C661">
        <v>144</v>
      </c>
      <c r="D661">
        <v>2</v>
      </c>
      <c r="E661">
        <v>194.56</v>
      </c>
      <c r="F661">
        <v>0</v>
      </c>
      <c r="G661">
        <f t="shared" si="30"/>
        <v>389.12</v>
      </c>
      <c r="H661" t="str">
        <f>_xlfn.XLOOKUP(B661,customer_orders!A:A,customer_orders!F:F)</f>
        <v>2026-02</v>
      </c>
      <c r="I661" t="str">
        <f>_xlfn.XLOOKUP(C661,products!A:A,products!B:B)</f>
        <v>SKU-0144</v>
      </c>
      <c r="J661" t="str">
        <f>_xlfn.XLOOKUP(B661,customer_orders!A:A,customer_orders!G:G)</f>
        <v>2026-w07</v>
      </c>
      <c r="K661">
        <f>IFERROR(_xlfn.XLOOKUP(B661,shipments!B:B,shipments!H:H),0)</f>
        <v>32.450000000000003</v>
      </c>
      <c r="L661">
        <f t="shared" si="31"/>
        <v>0.08</v>
      </c>
      <c r="M661" t="str">
        <f>_xlfn.XLOOKUP(B661,customer_orders!A:A,customer_orders!D:D)</f>
        <v>Amazon</v>
      </c>
      <c r="N661" t="str">
        <f>_xlfn.XLOOKUP(C661,inventory!B:B,inventory!C:C)</f>
        <v>South Jordan</v>
      </c>
      <c r="O661">
        <f>IF(_xlfn.XLOOKUP(C661,products!A:A,products!E:E)="NULL",0,_xlfn.XLOOKUP(C661,products!A:A,products!E:E))</f>
        <v>10.050000000000001</v>
      </c>
      <c r="P661">
        <f t="shared" si="32"/>
        <v>379.07</v>
      </c>
      <c r="Q661" s="2" t="str">
        <f>_xlfn.XLOOKUP(I661,products!B:B,products!D:D)</f>
        <v>Pet</v>
      </c>
    </row>
    <row r="662" spans="1:17">
      <c r="A662">
        <v>661</v>
      </c>
      <c r="B662">
        <v>1270</v>
      </c>
      <c r="C662">
        <v>50</v>
      </c>
      <c r="D662">
        <v>1</v>
      </c>
      <c r="E662">
        <v>252.62</v>
      </c>
      <c r="F662">
        <v>0</v>
      </c>
      <c r="G662">
        <f t="shared" si="30"/>
        <v>252.62</v>
      </c>
      <c r="H662" t="str">
        <f>_xlfn.XLOOKUP(B662,customer_orders!A:A,customer_orders!F:F)</f>
        <v>2026-02</v>
      </c>
      <c r="I662" t="str">
        <f>_xlfn.XLOOKUP(C662,products!A:A,products!B:B)</f>
        <v>SKU-0050</v>
      </c>
      <c r="J662" t="str">
        <f>_xlfn.XLOOKUP(B662,customer_orders!A:A,customer_orders!G:G)</f>
        <v>2026-w07</v>
      </c>
      <c r="K662">
        <f>IFERROR(_xlfn.XLOOKUP(B662,shipments!B:B,shipments!H:H),0)</f>
        <v>32.450000000000003</v>
      </c>
      <c r="L662">
        <f t="shared" si="31"/>
        <v>0.13</v>
      </c>
      <c r="M662" t="str">
        <f>_xlfn.XLOOKUP(B662,customer_orders!A:A,customer_orders!D:D)</f>
        <v>Amazon</v>
      </c>
      <c r="N662" t="str">
        <f>_xlfn.XLOOKUP(C662,inventory!B:B,inventory!C:C)</f>
        <v>South Jordan</v>
      </c>
      <c r="O662">
        <f>IF(_xlfn.XLOOKUP(C662,products!A:A,products!E:E)="NULL",0,_xlfn.XLOOKUP(C662,products!A:A,products!E:E))</f>
        <v>32.61</v>
      </c>
      <c r="P662">
        <f t="shared" si="32"/>
        <v>220.01</v>
      </c>
      <c r="Q662" s="2" t="str">
        <f>_xlfn.XLOOKUP(I662,products!B:B,products!D:D)</f>
        <v>Kitchen</v>
      </c>
    </row>
    <row r="663" spans="1:17">
      <c r="A663">
        <v>662</v>
      </c>
      <c r="B663">
        <v>1270</v>
      </c>
      <c r="C663">
        <v>122</v>
      </c>
      <c r="D663">
        <v>1</v>
      </c>
      <c r="E663">
        <v>151.15</v>
      </c>
      <c r="F663">
        <v>0</v>
      </c>
      <c r="G663">
        <f t="shared" si="30"/>
        <v>151.15</v>
      </c>
      <c r="H663" t="str">
        <f>_xlfn.XLOOKUP(B663,customer_orders!A:A,customer_orders!F:F)</f>
        <v>2026-02</v>
      </c>
      <c r="I663" t="str">
        <f>_xlfn.XLOOKUP(C663,products!A:A,products!B:B)</f>
        <v>SKU-0122</v>
      </c>
      <c r="J663" t="str">
        <f>_xlfn.XLOOKUP(B663,customer_orders!A:A,customer_orders!G:G)</f>
        <v>2026-w07</v>
      </c>
      <c r="K663">
        <f>IFERROR(_xlfn.XLOOKUP(B663,shipments!B:B,shipments!H:H),0)</f>
        <v>32.450000000000003</v>
      </c>
      <c r="L663">
        <f t="shared" si="31"/>
        <v>0.21</v>
      </c>
      <c r="M663" t="str">
        <f>_xlfn.XLOOKUP(B663,customer_orders!A:A,customer_orders!D:D)</f>
        <v>Amazon</v>
      </c>
      <c r="N663" t="str">
        <f>_xlfn.XLOOKUP(C663,inventory!B:B,inventory!C:C)</f>
        <v>South Jordan</v>
      </c>
      <c r="O663">
        <f>IF(_xlfn.XLOOKUP(C663,products!A:A,products!E:E)="NULL",0,_xlfn.XLOOKUP(C663,products!A:A,products!E:E))</f>
        <v>169.69</v>
      </c>
      <c r="P663">
        <f t="shared" si="32"/>
        <v>-18.539999999999992</v>
      </c>
      <c r="Q663" s="2" t="str">
        <f>_xlfn.XLOOKUP(I663,products!B:B,products!D:D)</f>
        <v>Electronics</v>
      </c>
    </row>
    <row r="664" spans="1:17">
      <c r="A664">
        <v>663</v>
      </c>
      <c r="B664">
        <v>1271</v>
      </c>
      <c r="C664">
        <v>6</v>
      </c>
      <c r="D664">
        <v>6</v>
      </c>
      <c r="E664">
        <v>256.54000000000002</v>
      </c>
      <c r="F664">
        <v>7.12</v>
      </c>
      <c r="G664">
        <f t="shared" si="30"/>
        <v>1532.1200000000003</v>
      </c>
      <c r="H664" t="str">
        <f>_xlfn.XLOOKUP(B664,customer_orders!A:A,customer_orders!F:F)</f>
        <v>2026-03</v>
      </c>
      <c r="I664" t="str">
        <f>_xlfn.XLOOKUP(C664,products!A:A,products!B:B)</f>
        <v>SKU-0006</v>
      </c>
      <c r="J664" t="str">
        <f>_xlfn.XLOOKUP(B664,customer_orders!A:A,customer_orders!G:G)</f>
        <v>2026-w13</v>
      </c>
      <c r="K664">
        <f>IFERROR(_xlfn.XLOOKUP(B664,shipments!B:B,shipments!H:H),0)</f>
        <v>82.72</v>
      </c>
      <c r="L664">
        <f t="shared" si="31"/>
        <v>0.05</v>
      </c>
      <c r="M664" t="str">
        <f>_xlfn.XLOOKUP(B664,customer_orders!A:A,customer_orders!D:D)</f>
        <v>Amazon</v>
      </c>
      <c r="N664" t="str">
        <f>_xlfn.XLOOKUP(C664,inventory!B:B,inventory!C:C)</f>
        <v>South Jordan</v>
      </c>
      <c r="O664">
        <f>IF(_xlfn.XLOOKUP(C664,products!A:A,products!E:E)="NULL",0,_xlfn.XLOOKUP(C664,products!A:A,products!E:E))</f>
        <v>21.93</v>
      </c>
      <c r="P664">
        <f t="shared" si="32"/>
        <v>1510.1900000000003</v>
      </c>
      <c r="Q664" s="2" t="str">
        <f>_xlfn.XLOOKUP(I664,products!B:B,products!D:D)</f>
        <v>Home</v>
      </c>
    </row>
    <row r="665" spans="1:17">
      <c r="A665">
        <v>664</v>
      </c>
      <c r="B665">
        <v>1271</v>
      </c>
      <c r="C665">
        <v>7</v>
      </c>
      <c r="D665">
        <v>6</v>
      </c>
      <c r="E665">
        <v>292.33999999999997</v>
      </c>
      <c r="F665">
        <v>0</v>
      </c>
      <c r="G665">
        <f t="shared" si="30"/>
        <v>1754.04</v>
      </c>
      <c r="H665" t="str">
        <f>_xlfn.XLOOKUP(B665,customer_orders!A:A,customer_orders!F:F)</f>
        <v>2026-03</v>
      </c>
      <c r="I665" t="str">
        <f>_xlfn.XLOOKUP(C665,products!A:A,products!B:B)</f>
        <v>SKU-0007</v>
      </c>
      <c r="J665" t="str">
        <f>_xlfn.XLOOKUP(B665,customer_orders!A:A,customer_orders!G:G)</f>
        <v>2026-w13</v>
      </c>
      <c r="K665">
        <f>IFERROR(_xlfn.XLOOKUP(B665,shipments!B:B,shipments!H:H),0)</f>
        <v>82.72</v>
      </c>
      <c r="L665">
        <f t="shared" si="31"/>
        <v>0.05</v>
      </c>
      <c r="M665" t="str">
        <f>_xlfn.XLOOKUP(B665,customer_orders!A:A,customer_orders!D:D)</f>
        <v>Amazon</v>
      </c>
      <c r="N665" t="str">
        <f>_xlfn.XLOOKUP(C665,inventory!B:B,inventory!C:C)</f>
        <v>Unknown</v>
      </c>
      <c r="O665">
        <f>IF(_xlfn.XLOOKUP(C665,products!A:A,products!E:E)="NULL",0,_xlfn.XLOOKUP(C665,products!A:A,products!E:E))</f>
        <v>98.84</v>
      </c>
      <c r="P665">
        <f t="shared" si="32"/>
        <v>1655.2</v>
      </c>
      <c r="Q665" s="2" t="str">
        <f>_xlfn.XLOOKUP(I665,products!B:B,products!D:D)</f>
        <v>Electronics</v>
      </c>
    </row>
    <row r="666" spans="1:17">
      <c r="A666">
        <v>665</v>
      </c>
      <c r="B666">
        <v>1271</v>
      </c>
      <c r="C666">
        <v>30</v>
      </c>
      <c r="D666">
        <v>2</v>
      </c>
      <c r="E666">
        <v>35.229999999999997</v>
      </c>
      <c r="F666">
        <v>0</v>
      </c>
      <c r="G666">
        <f t="shared" si="30"/>
        <v>70.459999999999994</v>
      </c>
      <c r="H666" t="str">
        <f>_xlfn.XLOOKUP(B666,customer_orders!A:A,customer_orders!F:F)</f>
        <v>2026-03</v>
      </c>
      <c r="I666" t="str">
        <f>_xlfn.XLOOKUP(C666,products!A:A,products!B:B)</f>
        <v>SKU-0030</v>
      </c>
      <c r="J666" t="str">
        <f>_xlfn.XLOOKUP(B666,customer_orders!A:A,customer_orders!G:G)</f>
        <v>2026-w13</v>
      </c>
      <c r="K666">
        <f>IFERROR(_xlfn.XLOOKUP(B666,shipments!B:B,shipments!H:H),0)</f>
        <v>82.72</v>
      </c>
      <c r="L666">
        <f t="shared" si="31"/>
        <v>1.17</v>
      </c>
      <c r="M666" t="str">
        <f>_xlfn.XLOOKUP(B666,customer_orders!A:A,customer_orders!D:D)</f>
        <v>Amazon</v>
      </c>
      <c r="N666" t="str">
        <f>_xlfn.XLOOKUP(C666,inventory!B:B,inventory!C:C)</f>
        <v>Draper</v>
      </c>
      <c r="O666">
        <f>IF(_xlfn.XLOOKUP(C666,products!A:A,products!E:E)="NULL",0,_xlfn.XLOOKUP(C666,products!A:A,products!E:E))</f>
        <v>43.54</v>
      </c>
      <c r="P666">
        <f t="shared" si="32"/>
        <v>26.919999999999995</v>
      </c>
      <c r="Q666" s="2" t="str">
        <f>_xlfn.XLOOKUP(I666,products!B:B,products!D:D)</f>
        <v>Beauty</v>
      </c>
    </row>
    <row r="667" spans="1:17">
      <c r="A667">
        <v>666</v>
      </c>
      <c r="B667">
        <v>1271</v>
      </c>
      <c r="C667">
        <v>37</v>
      </c>
      <c r="D667">
        <v>3</v>
      </c>
      <c r="E667">
        <v>258.95</v>
      </c>
      <c r="F667">
        <v>0</v>
      </c>
      <c r="G667">
        <f t="shared" si="30"/>
        <v>776.84999999999991</v>
      </c>
      <c r="H667" t="str">
        <f>_xlfn.XLOOKUP(B667,customer_orders!A:A,customer_orders!F:F)</f>
        <v>2026-03</v>
      </c>
      <c r="I667" t="str">
        <f>_xlfn.XLOOKUP(C667,products!A:A,products!B:B)</f>
        <v>SKU0037</v>
      </c>
      <c r="J667" t="str">
        <f>_xlfn.XLOOKUP(B667,customer_orders!A:A,customer_orders!G:G)</f>
        <v>2026-w13</v>
      </c>
      <c r="K667">
        <f>IFERROR(_xlfn.XLOOKUP(B667,shipments!B:B,shipments!H:H),0)</f>
        <v>82.72</v>
      </c>
      <c r="L667">
        <f t="shared" si="31"/>
        <v>0.11</v>
      </c>
      <c r="M667" t="str">
        <f>_xlfn.XLOOKUP(B667,customer_orders!A:A,customer_orders!D:D)</f>
        <v>Amazon</v>
      </c>
      <c r="N667" t="str">
        <f>_xlfn.XLOOKUP(C667,inventory!B:B,inventory!C:C)</f>
        <v>Unknown</v>
      </c>
      <c r="O667">
        <f>IF(_xlfn.XLOOKUP(C667,products!A:A,products!E:E)="NULL",0,_xlfn.XLOOKUP(C667,products!A:A,products!E:E))</f>
        <v>146.4</v>
      </c>
      <c r="P667">
        <f t="shared" si="32"/>
        <v>630.44999999999993</v>
      </c>
      <c r="Q667" s="2" t="str">
        <f>_xlfn.XLOOKUP(I667,products!B:B,products!D:D)</f>
        <v>Home</v>
      </c>
    </row>
    <row r="668" spans="1:17">
      <c r="A668">
        <v>667</v>
      </c>
      <c r="B668">
        <v>1272</v>
      </c>
      <c r="C668">
        <v>37</v>
      </c>
      <c r="D668">
        <v>7</v>
      </c>
      <c r="E668">
        <v>258.95</v>
      </c>
      <c r="F668">
        <v>0</v>
      </c>
      <c r="G668">
        <f t="shared" si="30"/>
        <v>1812.6499999999999</v>
      </c>
      <c r="H668" t="str">
        <f>_xlfn.XLOOKUP(B668,customer_orders!A:A,customer_orders!F:F)</f>
        <v>2026-01</v>
      </c>
      <c r="I668" t="str">
        <f>_xlfn.XLOOKUP(C668,products!A:A,products!B:B)</f>
        <v>SKU0037</v>
      </c>
      <c r="J668" t="str">
        <f>_xlfn.XLOOKUP(B668,customer_orders!A:A,customer_orders!G:G)</f>
        <v>2026-w03</v>
      </c>
      <c r="K668">
        <f>IFERROR(_xlfn.XLOOKUP(B668,shipments!B:B,shipments!H:H),0)</f>
        <v>0</v>
      </c>
      <c r="L668">
        <f t="shared" si="31"/>
        <v>0</v>
      </c>
      <c r="M668" t="str">
        <f>_xlfn.XLOOKUP(B668,customer_orders!A:A,customer_orders!D:D)</f>
        <v>Walmart</v>
      </c>
      <c r="N668" t="str">
        <f>_xlfn.XLOOKUP(C668,inventory!B:B,inventory!C:C)</f>
        <v>Unknown</v>
      </c>
      <c r="O668">
        <f>IF(_xlfn.XLOOKUP(C668,products!A:A,products!E:E)="NULL",0,_xlfn.XLOOKUP(C668,products!A:A,products!E:E))</f>
        <v>146.4</v>
      </c>
      <c r="P668">
        <f t="shared" si="32"/>
        <v>1666.2499999999998</v>
      </c>
      <c r="Q668" s="2" t="str">
        <f>_xlfn.XLOOKUP(I668,products!B:B,products!D:D)</f>
        <v>Home</v>
      </c>
    </row>
    <row r="669" spans="1:17">
      <c r="A669">
        <v>668</v>
      </c>
      <c r="B669">
        <v>1272</v>
      </c>
      <c r="C669">
        <v>97</v>
      </c>
      <c r="D669">
        <v>2</v>
      </c>
      <c r="E669">
        <v>168.73</v>
      </c>
      <c r="F669">
        <v>0</v>
      </c>
      <c r="G669">
        <f t="shared" si="30"/>
        <v>337.46</v>
      </c>
      <c r="H669" t="str">
        <f>_xlfn.XLOOKUP(B669,customer_orders!A:A,customer_orders!F:F)</f>
        <v>2026-01</v>
      </c>
      <c r="I669" t="str">
        <f>_xlfn.XLOOKUP(C669,products!A:A,products!B:B)</f>
        <v>SKU-0097</v>
      </c>
      <c r="J669" t="str">
        <f>_xlfn.XLOOKUP(B669,customer_orders!A:A,customer_orders!G:G)</f>
        <v>2026-w03</v>
      </c>
      <c r="K669">
        <f>IFERROR(_xlfn.XLOOKUP(B669,shipments!B:B,shipments!H:H),0)</f>
        <v>0</v>
      </c>
      <c r="L669">
        <f t="shared" si="31"/>
        <v>0</v>
      </c>
      <c r="M669" t="str">
        <f>_xlfn.XLOOKUP(B669,customer_orders!A:A,customer_orders!D:D)</f>
        <v>Walmart</v>
      </c>
      <c r="N669" t="str">
        <f>_xlfn.XLOOKUP(C669,inventory!B:B,inventory!C:C)</f>
        <v>West Valley</v>
      </c>
      <c r="O669">
        <f>IF(_xlfn.XLOOKUP(C669,products!A:A,products!E:E)="NULL",0,_xlfn.XLOOKUP(C669,products!A:A,products!E:E))</f>
        <v>8.39</v>
      </c>
      <c r="P669">
        <f t="shared" si="32"/>
        <v>329.07</v>
      </c>
      <c r="Q669" s="2" t="str">
        <f>_xlfn.XLOOKUP(I669,products!B:B,products!D:D)</f>
        <v>Home</v>
      </c>
    </row>
    <row r="670" spans="1:17">
      <c r="A670">
        <v>669</v>
      </c>
      <c r="B670">
        <v>1272</v>
      </c>
      <c r="C670">
        <v>61</v>
      </c>
      <c r="D670">
        <v>8</v>
      </c>
      <c r="E670">
        <v>293.22000000000003</v>
      </c>
      <c r="F670">
        <v>8.1199999999999992</v>
      </c>
      <c r="G670">
        <f t="shared" si="30"/>
        <v>2337.6400000000003</v>
      </c>
      <c r="H670" t="str">
        <f>_xlfn.XLOOKUP(B670,customer_orders!A:A,customer_orders!F:F)</f>
        <v>2026-01</v>
      </c>
      <c r="I670" t="str">
        <f>_xlfn.XLOOKUP(C670,products!A:A,products!B:B)</f>
        <v>SKU-0061</v>
      </c>
      <c r="J670" t="str">
        <f>_xlfn.XLOOKUP(B670,customer_orders!A:A,customer_orders!G:G)</f>
        <v>2026-w03</v>
      </c>
      <c r="K670">
        <f>IFERROR(_xlfn.XLOOKUP(B670,shipments!B:B,shipments!H:H),0)</f>
        <v>0</v>
      </c>
      <c r="L670">
        <f t="shared" si="31"/>
        <v>0</v>
      </c>
      <c r="M670" t="str">
        <f>_xlfn.XLOOKUP(B670,customer_orders!A:A,customer_orders!D:D)</f>
        <v>Walmart</v>
      </c>
      <c r="N670" t="str">
        <f>_xlfn.XLOOKUP(C670,inventory!B:B,inventory!C:C)</f>
        <v>South Jordan</v>
      </c>
      <c r="O670">
        <f>IF(_xlfn.XLOOKUP(C670,products!A:A,products!E:E)="NULL",0,_xlfn.XLOOKUP(C670,products!A:A,products!E:E))</f>
        <v>156.31</v>
      </c>
      <c r="P670">
        <f t="shared" si="32"/>
        <v>2181.3300000000004</v>
      </c>
      <c r="Q670" s="2" t="str">
        <f>_xlfn.XLOOKUP(I670,products!B:B,products!D:D)</f>
        <v>Toys</v>
      </c>
    </row>
    <row r="671" spans="1:17">
      <c r="A671">
        <v>670</v>
      </c>
      <c r="B671">
        <v>1273</v>
      </c>
      <c r="C671">
        <v>17</v>
      </c>
      <c r="D671">
        <v>8</v>
      </c>
      <c r="E671">
        <v>299.3</v>
      </c>
      <c r="F671">
        <v>0</v>
      </c>
      <c r="G671">
        <f t="shared" si="30"/>
        <v>2394.4</v>
      </c>
      <c r="H671" t="str">
        <f>_xlfn.XLOOKUP(B671,customer_orders!A:A,customer_orders!F:F)</f>
        <v>2026-03</v>
      </c>
      <c r="I671" t="str">
        <f>_xlfn.XLOOKUP(C671,products!A:A,products!B:B)</f>
        <v>SKU-0017</v>
      </c>
      <c r="J671" t="str">
        <f>_xlfn.XLOOKUP(B671,customer_orders!A:A,customer_orders!G:G)</f>
        <v>2026-w11</v>
      </c>
      <c r="K671">
        <f>IFERROR(_xlfn.XLOOKUP(B671,shipments!B:B,shipments!H:H),0)</f>
        <v>118.3</v>
      </c>
      <c r="L671">
        <f t="shared" si="31"/>
        <v>0.05</v>
      </c>
      <c r="M671" t="str">
        <f>_xlfn.XLOOKUP(B671,customer_orders!A:A,customer_orders!D:D)</f>
        <v>Ebay</v>
      </c>
      <c r="N671" t="str">
        <f>_xlfn.XLOOKUP(C671,inventory!B:B,inventory!C:C)</f>
        <v>West Valley</v>
      </c>
      <c r="O671">
        <f>IF(_xlfn.XLOOKUP(C671,products!A:A,products!E:E)="NULL",0,_xlfn.XLOOKUP(C671,products!A:A,products!E:E))</f>
        <v>43.38</v>
      </c>
      <c r="P671">
        <f t="shared" si="32"/>
        <v>2351.02</v>
      </c>
      <c r="Q671" s="2" t="str">
        <f>_xlfn.XLOOKUP(I671,products!B:B,products!D:D)</f>
        <v>Office</v>
      </c>
    </row>
    <row r="672" spans="1:17">
      <c r="A672">
        <v>671</v>
      </c>
      <c r="B672">
        <v>1273</v>
      </c>
      <c r="C672">
        <v>5</v>
      </c>
      <c r="D672">
        <v>5</v>
      </c>
      <c r="E672">
        <v>59.31</v>
      </c>
      <c r="F672">
        <v>0</v>
      </c>
      <c r="G672">
        <f t="shared" si="30"/>
        <v>296.55</v>
      </c>
      <c r="H672" t="str">
        <f>_xlfn.XLOOKUP(B672,customer_orders!A:A,customer_orders!F:F)</f>
        <v>2026-03</v>
      </c>
      <c r="I672" t="str">
        <f>_xlfn.XLOOKUP(C672,products!A:A,products!B:B)</f>
        <v>SKU-0005</v>
      </c>
      <c r="J672" t="str">
        <f>_xlfn.XLOOKUP(B672,customer_orders!A:A,customer_orders!G:G)</f>
        <v>2026-w11</v>
      </c>
      <c r="K672">
        <f>IFERROR(_xlfn.XLOOKUP(B672,shipments!B:B,shipments!H:H),0)</f>
        <v>118.3</v>
      </c>
      <c r="L672">
        <f t="shared" si="31"/>
        <v>0.4</v>
      </c>
      <c r="M672" t="str">
        <f>_xlfn.XLOOKUP(B672,customer_orders!A:A,customer_orders!D:D)</f>
        <v>Ebay</v>
      </c>
      <c r="N672" t="str">
        <f>_xlfn.XLOOKUP(C672,inventory!B:B,inventory!C:C)</f>
        <v>South Jordan</v>
      </c>
      <c r="O672">
        <f>IF(_xlfn.XLOOKUP(C672,products!A:A,products!E:E)="NULL",0,_xlfn.XLOOKUP(C672,products!A:A,products!E:E))</f>
        <v>64.540000000000006</v>
      </c>
      <c r="P672">
        <f t="shared" si="32"/>
        <v>232.01</v>
      </c>
      <c r="Q672" s="2" t="str">
        <f>_xlfn.XLOOKUP(I672,products!B:B,products!D:D)</f>
        <v>Toys</v>
      </c>
    </row>
    <row r="673" spans="1:17">
      <c r="A673">
        <v>672</v>
      </c>
      <c r="B673">
        <v>1273</v>
      </c>
      <c r="C673">
        <v>64</v>
      </c>
      <c r="D673">
        <v>3</v>
      </c>
      <c r="E673">
        <v>247.73</v>
      </c>
      <c r="F673">
        <v>5.26</v>
      </c>
      <c r="G673">
        <f t="shared" si="30"/>
        <v>737.93</v>
      </c>
      <c r="H673" t="str">
        <f>_xlfn.XLOOKUP(B673,customer_orders!A:A,customer_orders!F:F)</f>
        <v>2026-03</v>
      </c>
      <c r="I673" t="str">
        <f>_xlfn.XLOOKUP(C673,products!A:A,products!B:B)</f>
        <v>SKU-0064</v>
      </c>
      <c r="J673" t="str">
        <f>_xlfn.XLOOKUP(B673,customer_orders!A:A,customer_orders!G:G)</f>
        <v>2026-w11</v>
      </c>
      <c r="K673">
        <f>IFERROR(_xlfn.XLOOKUP(B673,shipments!B:B,shipments!H:H),0)</f>
        <v>118.3</v>
      </c>
      <c r="L673">
        <f t="shared" si="31"/>
        <v>0.16</v>
      </c>
      <c r="M673" t="str">
        <f>_xlfn.XLOOKUP(B673,customer_orders!A:A,customer_orders!D:D)</f>
        <v>Ebay</v>
      </c>
      <c r="N673" t="str">
        <f>_xlfn.XLOOKUP(C673,inventory!B:B,inventory!C:C)</f>
        <v>Unknown</v>
      </c>
      <c r="O673">
        <f>IF(_xlfn.XLOOKUP(C673,products!A:A,products!E:E)="NULL",0,_xlfn.XLOOKUP(C673,products!A:A,products!E:E))</f>
        <v>43.93</v>
      </c>
      <c r="P673">
        <f t="shared" si="32"/>
        <v>694</v>
      </c>
      <c r="Q673" s="2" t="str">
        <f>_xlfn.XLOOKUP(I673,products!B:B,products!D:D)</f>
        <v>Electronics</v>
      </c>
    </row>
    <row r="674" spans="1:17">
      <c r="A674">
        <v>673</v>
      </c>
      <c r="B674">
        <v>1273</v>
      </c>
      <c r="C674">
        <v>115</v>
      </c>
      <c r="D674">
        <v>2</v>
      </c>
      <c r="E674">
        <v>80.7</v>
      </c>
      <c r="F674">
        <v>0</v>
      </c>
      <c r="G674">
        <f t="shared" si="30"/>
        <v>161.4</v>
      </c>
      <c r="H674" t="str">
        <f>_xlfn.XLOOKUP(B674,customer_orders!A:A,customer_orders!F:F)</f>
        <v>2026-03</v>
      </c>
      <c r="I674" t="str">
        <f>_xlfn.XLOOKUP(C674,products!A:A,products!B:B)</f>
        <v>SKU-0115</v>
      </c>
      <c r="J674" t="str">
        <f>_xlfn.XLOOKUP(B674,customer_orders!A:A,customer_orders!G:G)</f>
        <v>2026-w11</v>
      </c>
      <c r="K674">
        <f>IFERROR(_xlfn.XLOOKUP(B674,shipments!B:B,shipments!H:H),0)</f>
        <v>118.3</v>
      </c>
      <c r="L674">
        <f t="shared" si="31"/>
        <v>0.73</v>
      </c>
      <c r="M674" t="str">
        <f>_xlfn.XLOOKUP(B674,customer_orders!A:A,customer_orders!D:D)</f>
        <v>Ebay</v>
      </c>
      <c r="N674" t="str">
        <f>_xlfn.XLOOKUP(C674,inventory!B:B,inventory!C:C)</f>
        <v>West Valley</v>
      </c>
      <c r="O674">
        <f>IF(_xlfn.XLOOKUP(C674,products!A:A,products!E:E)="NULL",0,_xlfn.XLOOKUP(C674,products!A:A,products!E:E))</f>
        <v>58.66</v>
      </c>
      <c r="P674">
        <f t="shared" si="32"/>
        <v>102.74000000000001</v>
      </c>
      <c r="Q674" s="2" t="str">
        <f>_xlfn.XLOOKUP(I674,products!B:B,products!D:D)</f>
        <v>Pet</v>
      </c>
    </row>
    <row r="675" spans="1:17">
      <c r="A675">
        <v>674</v>
      </c>
      <c r="B675">
        <v>1274</v>
      </c>
      <c r="C675">
        <v>43</v>
      </c>
      <c r="D675">
        <v>1</v>
      </c>
      <c r="E675">
        <v>277.02999999999997</v>
      </c>
      <c r="F675">
        <v>1.84</v>
      </c>
      <c r="G675">
        <f t="shared" si="30"/>
        <v>275.19</v>
      </c>
      <c r="H675" t="str">
        <f>_xlfn.XLOOKUP(B675,customer_orders!A:A,customer_orders!F:F)</f>
        <v>2026-04</v>
      </c>
      <c r="I675" t="str">
        <f>_xlfn.XLOOKUP(C675,products!A:A,products!B:B)</f>
        <v>SKU-0043</v>
      </c>
      <c r="J675" t="str">
        <f>_xlfn.XLOOKUP(B675,customer_orders!A:A,customer_orders!G:G)</f>
        <v>2026-w18</v>
      </c>
      <c r="K675">
        <f>IFERROR(_xlfn.XLOOKUP(B675,shipments!B:B,shipments!H:H),0)</f>
        <v>69.319999999999993</v>
      </c>
      <c r="L675">
        <f t="shared" si="31"/>
        <v>0.25</v>
      </c>
      <c r="M675" t="str">
        <f>_xlfn.XLOOKUP(B675,customer_orders!A:A,customer_orders!D:D)</f>
        <v>Amazon</v>
      </c>
      <c r="N675" t="str">
        <f>_xlfn.XLOOKUP(C675,inventory!B:B,inventory!C:C)</f>
        <v>Draper</v>
      </c>
      <c r="O675">
        <f>IF(_xlfn.XLOOKUP(C675,products!A:A,products!E:E)="NULL",0,_xlfn.XLOOKUP(C675,products!A:A,products!E:E))</f>
        <v>88.44</v>
      </c>
      <c r="P675">
        <f t="shared" si="32"/>
        <v>186.75</v>
      </c>
      <c r="Q675" s="2" t="str">
        <f>_xlfn.XLOOKUP(I675,products!B:B,products!D:D)</f>
        <v>Electronics</v>
      </c>
    </row>
    <row r="676" spans="1:17">
      <c r="A676">
        <v>675</v>
      </c>
      <c r="B676">
        <v>1274</v>
      </c>
      <c r="C676">
        <v>70</v>
      </c>
      <c r="D676">
        <v>5</v>
      </c>
      <c r="E676">
        <v>244.86</v>
      </c>
      <c r="F676">
        <v>12.75</v>
      </c>
      <c r="G676">
        <f t="shared" si="30"/>
        <v>1211.5500000000002</v>
      </c>
      <c r="H676" t="str">
        <f>_xlfn.XLOOKUP(B676,customer_orders!A:A,customer_orders!F:F)</f>
        <v>2026-04</v>
      </c>
      <c r="I676" t="str">
        <f>_xlfn.XLOOKUP(C676,products!A:A,products!B:B)</f>
        <v>SKU-0070</v>
      </c>
      <c r="J676" t="str">
        <f>_xlfn.XLOOKUP(B676,customer_orders!A:A,customer_orders!G:G)</f>
        <v>2026-w18</v>
      </c>
      <c r="K676">
        <f>IFERROR(_xlfn.XLOOKUP(B676,shipments!B:B,shipments!H:H),0)</f>
        <v>69.319999999999993</v>
      </c>
      <c r="L676">
        <f t="shared" si="31"/>
        <v>0.06</v>
      </c>
      <c r="M676" t="str">
        <f>_xlfn.XLOOKUP(B676,customer_orders!A:A,customer_orders!D:D)</f>
        <v>Amazon</v>
      </c>
      <c r="N676" t="str">
        <f>_xlfn.XLOOKUP(C676,inventory!B:B,inventory!C:C)</f>
        <v>Lehi</v>
      </c>
      <c r="O676">
        <f>IF(_xlfn.XLOOKUP(C676,products!A:A,products!E:E)="NULL",0,_xlfn.XLOOKUP(C676,products!A:A,products!E:E))</f>
        <v>95.99</v>
      </c>
      <c r="P676">
        <f t="shared" si="32"/>
        <v>1115.5600000000002</v>
      </c>
      <c r="Q676" s="2" t="str">
        <f>_xlfn.XLOOKUP(I676,products!B:B,products!D:D)</f>
        <v>Office</v>
      </c>
    </row>
    <row r="677" spans="1:17">
      <c r="A677">
        <v>676</v>
      </c>
      <c r="B677">
        <v>1274</v>
      </c>
      <c r="C677">
        <v>90</v>
      </c>
      <c r="D677">
        <v>4</v>
      </c>
      <c r="E677">
        <v>115.25</v>
      </c>
      <c r="F677">
        <v>0</v>
      </c>
      <c r="G677">
        <f t="shared" si="30"/>
        <v>461</v>
      </c>
      <c r="H677" t="str">
        <f>_xlfn.XLOOKUP(B677,customer_orders!A:A,customer_orders!F:F)</f>
        <v>2026-04</v>
      </c>
      <c r="I677" t="str">
        <f>_xlfn.XLOOKUP(C677,products!A:A,products!B:B)</f>
        <v>SKU-0090</v>
      </c>
      <c r="J677" t="str">
        <f>_xlfn.XLOOKUP(B677,customer_orders!A:A,customer_orders!G:G)</f>
        <v>2026-w18</v>
      </c>
      <c r="K677">
        <f>IFERROR(_xlfn.XLOOKUP(B677,shipments!B:B,shipments!H:H),0)</f>
        <v>69.319999999999993</v>
      </c>
      <c r="L677">
        <f t="shared" si="31"/>
        <v>0.15</v>
      </c>
      <c r="M677" t="str">
        <f>_xlfn.XLOOKUP(B677,customer_orders!A:A,customer_orders!D:D)</f>
        <v>Amazon</v>
      </c>
      <c r="N677" t="str">
        <f>_xlfn.XLOOKUP(C677,inventory!B:B,inventory!C:C)</f>
        <v>Salt Lake City</v>
      </c>
      <c r="O677">
        <f>IF(_xlfn.XLOOKUP(C677,products!A:A,products!E:E)="NULL",0,_xlfn.XLOOKUP(C677,products!A:A,products!E:E))</f>
        <v>6.03</v>
      </c>
      <c r="P677">
        <f t="shared" si="32"/>
        <v>454.97</v>
      </c>
      <c r="Q677" s="2" t="str">
        <f>_xlfn.XLOOKUP(I677,products!B:B,products!D:D)</f>
        <v>Office</v>
      </c>
    </row>
    <row r="678" spans="1:17">
      <c r="A678">
        <v>677</v>
      </c>
      <c r="B678">
        <v>1275</v>
      </c>
      <c r="C678">
        <v>88</v>
      </c>
      <c r="D678">
        <v>5</v>
      </c>
      <c r="E678">
        <v>109.3</v>
      </c>
      <c r="F678">
        <v>14.71</v>
      </c>
      <c r="G678">
        <f t="shared" si="30"/>
        <v>531.79</v>
      </c>
      <c r="H678" t="str">
        <f>_xlfn.XLOOKUP(B678,customer_orders!A:A,customer_orders!F:F)</f>
        <v>2026-03</v>
      </c>
      <c r="I678" t="str">
        <f>_xlfn.XLOOKUP(C678,products!A:A,products!B:B)</f>
        <v>SKU-0088</v>
      </c>
      <c r="J678" t="str">
        <f>_xlfn.XLOOKUP(B678,customer_orders!A:A,customer_orders!G:G)</f>
        <v>2026-w11</v>
      </c>
      <c r="K678">
        <f>IFERROR(_xlfn.XLOOKUP(B678,shipments!B:B,shipments!H:H),0)</f>
        <v>562.09</v>
      </c>
      <c r="L678">
        <f t="shared" si="31"/>
        <v>1.06</v>
      </c>
      <c r="M678" t="str">
        <f>_xlfn.XLOOKUP(B678,customer_orders!A:A,customer_orders!D:D)</f>
        <v>Shopify</v>
      </c>
      <c r="N678" t="str">
        <f>_xlfn.XLOOKUP(C678,inventory!B:B,inventory!C:C)</f>
        <v>Salt Lake City</v>
      </c>
      <c r="O678">
        <f>IF(_xlfn.XLOOKUP(C678,products!A:A,products!E:E)="NULL",0,_xlfn.XLOOKUP(C678,products!A:A,products!E:E))</f>
        <v>77.599999999999994</v>
      </c>
      <c r="P678">
        <f t="shared" si="32"/>
        <v>454.18999999999994</v>
      </c>
      <c r="Q678" s="2" t="str">
        <f>_xlfn.XLOOKUP(I678,products!B:B,products!D:D)</f>
        <v>Beauty</v>
      </c>
    </row>
    <row r="679" spans="1:17">
      <c r="A679">
        <v>678</v>
      </c>
      <c r="B679">
        <v>1275</v>
      </c>
      <c r="C679">
        <v>70</v>
      </c>
      <c r="D679">
        <v>4</v>
      </c>
      <c r="E679">
        <v>244.86</v>
      </c>
      <c r="F679">
        <v>0</v>
      </c>
      <c r="G679">
        <f t="shared" si="30"/>
        <v>979.44</v>
      </c>
      <c r="H679" t="str">
        <f>_xlfn.XLOOKUP(B679,customer_orders!A:A,customer_orders!F:F)</f>
        <v>2026-03</v>
      </c>
      <c r="I679" t="str">
        <f>_xlfn.XLOOKUP(C679,products!A:A,products!B:B)</f>
        <v>SKU-0070</v>
      </c>
      <c r="J679" t="str">
        <f>_xlfn.XLOOKUP(B679,customer_orders!A:A,customer_orders!G:G)</f>
        <v>2026-w11</v>
      </c>
      <c r="K679">
        <f>IFERROR(_xlfn.XLOOKUP(B679,shipments!B:B,shipments!H:H),0)</f>
        <v>562.09</v>
      </c>
      <c r="L679">
        <f t="shared" si="31"/>
        <v>0.56999999999999995</v>
      </c>
      <c r="M679" t="str">
        <f>_xlfn.XLOOKUP(B679,customer_orders!A:A,customer_orders!D:D)</f>
        <v>Shopify</v>
      </c>
      <c r="N679" t="str">
        <f>_xlfn.XLOOKUP(C679,inventory!B:B,inventory!C:C)</f>
        <v>Lehi</v>
      </c>
      <c r="O679">
        <f>IF(_xlfn.XLOOKUP(C679,products!A:A,products!E:E)="NULL",0,_xlfn.XLOOKUP(C679,products!A:A,products!E:E))</f>
        <v>95.99</v>
      </c>
      <c r="P679">
        <f t="shared" si="32"/>
        <v>883.45</v>
      </c>
      <c r="Q679" s="2" t="str">
        <f>_xlfn.XLOOKUP(I679,products!B:B,products!D:D)</f>
        <v>Office</v>
      </c>
    </row>
    <row r="680" spans="1:17">
      <c r="A680">
        <v>679</v>
      </c>
      <c r="B680">
        <v>1275</v>
      </c>
      <c r="C680">
        <v>88</v>
      </c>
      <c r="D680">
        <v>4</v>
      </c>
      <c r="E680">
        <v>109.3</v>
      </c>
      <c r="F680">
        <v>0</v>
      </c>
      <c r="G680">
        <f t="shared" si="30"/>
        <v>437.2</v>
      </c>
      <c r="H680" t="str">
        <f>_xlfn.XLOOKUP(B680,customer_orders!A:A,customer_orders!F:F)</f>
        <v>2026-03</v>
      </c>
      <c r="I680" t="str">
        <f>_xlfn.XLOOKUP(C680,products!A:A,products!B:B)</f>
        <v>SKU-0088</v>
      </c>
      <c r="J680" t="str">
        <f>_xlfn.XLOOKUP(B680,customer_orders!A:A,customer_orders!G:G)</f>
        <v>2026-w11</v>
      </c>
      <c r="K680">
        <f>IFERROR(_xlfn.XLOOKUP(B680,shipments!B:B,shipments!H:H),0)</f>
        <v>562.09</v>
      </c>
      <c r="L680">
        <f t="shared" si="31"/>
        <v>1.29</v>
      </c>
      <c r="M680" t="str">
        <f>_xlfn.XLOOKUP(B680,customer_orders!A:A,customer_orders!D:D)</f>
        <v>Shopify</v>
      </c>
      <c r="N680" t="str">
        <f>_xlfn.XLOOKUP(C680,inventory!B:B,inventory!C:C)</f>
        <v>Salt Lake City</v>
      </c>
      <c r="O680">
        <f>IF(_xlfn.XLOOKUP(C680,products!A:A,products!E:E)="NULL",0,_xlfn.XLOOKUP(C680,products!A:A,products!E:E))</f>
        <v>77.599999999999994</v>
      </c>
      <c r="P680">
        <f t="shared" si="32"/>
        <v>359.6</v>
      </c>
      <c r="Q680" s="2" t="str">
        <f>_xlfn.XLOOKUP(I680,products!B:B,products!D:D)</f>
        <v>Beauty</v>
      </c>
    </row>
    <row r="681" spans="1:17">
      <c r="A681">
        <v>680</v>
      </c>
      <c r="B681">
        <v>1276</v>
      </c>
      <c r="C681">
        <v>138</v>
      </c>
      <c r="D681">
        <v>1</v>
      </c>
      <c r="E681">
        <v>106.5</v>
      </c>
      <c r="F681">
        <v>13.5</v>
      </c>
      <c r="G681">
        <f t="shared" si="30"/>
        <v>93</v>
      </c>
      <c r="H681" t="str">
        <f>_xlfn.XLOOKUP(B681,customer_orders!A:A,customer_orders!F:F)</f>
        <v>2026-05</v>
      </c>
      <c r="I681" t="str">
        <f>_xlfn.XLOOKUP(C681,products!A:A,products!B:B)</f>
        <v>SKU-0138</v>
      </c>
      <c r="J681" t="str">
        <f>_xlfn.XLOOKUP(B681,customer_orders!A:A,customer_orders!G:G)</f>
        <v>2026-w19</v>
      </c>
      <c r="K681">
        <f>IFERROR(_xlfn.XLOOKUP(B681,shipments!B:B,shipments!H:H),0)</f>
        <v>116.76</v>
      </c>
      <c r="L681">
        <f t="shared" si="31"/>
        <v>1.26</v>
      </c>
      <c r="M681" t="str">
        <f>_xlfn.XLOOKUP(B681,customer_orders!A:A,customer_orders!D:D)</f>
        <v>Amazon</v>
      </c>
      <c r="N681" t="str">
        <f>_xlfn.XLOOKUP(C681,inventory!B:B,inventory!C:C)</f>
        <v>South Jordan</v>
      </c>
      <c r="O681">
        <f>IF(_xlfn.XLOOKUP(C681,products!A:A,products!E:E)="NULL",0,_xlfn.XLOOKUP(C681,products!A:A,products!E:E))</f>
        <v>76.459999999999994</v>
      </c>
      <c r="P681">
        <f t="shared" si="32"/>
        <v>16.540000000000006</v>
      </c>
      <c r="Q681" s="2" t="str">
        <f>_xlfn.XLOOKUP(I681,products!B:B,products!D:D)</f>
        <v>Pet</v>
      </c>
    </row>
    <row r="682" spans="1:17">
      <c r="A682">
        <v>681</v>
      </c>
      <c r="B682">
        <v>1277</v>
      </c>
      <c r="C682">
        <v>95</v>
      </c>
      <c r="D682">
        <v>4</v>
      </c>
      <c r="E682">
        <v>75.319999999999993</v>
      </c>
      <c r="F682">
        <v>0</v>
      </c>
      <c r="G682">
        <f t="shared" si="30"/>
        <v>301.27999999999997</v>
      </c>
      <c r="H682" t="str">
        <f>_xlfn.XLOOKUP(B682,customer_orders!A:A,customer_orders!F:F)</f>
        <v>2026-02</v>
      </c>
      <c r="I682" t="str">
        <f>_xlfn.XLOOKUP(C682,products!A:A,products!B:B)</f>
        <v>SKU-0095</v>
      </c>
      <c r="J682" t="str">
        <f>_xlfn.XLOOKUP(B682,customer_orders!A:A,customer_orders!G:G)</f>
        <v>2026-w08</v>
      </c>
      <c r="K682">
        <f>IFERROR(_xlfn.XLOOKUP(B682,shipments!B:B,shipments!H:H),0)</f>
        <v>108.92</v>
      </c>
      <c r="L682">
        <f t="shared" si="31"/>
        <v>0.36</v>
      </c>
      <c r="M682" t="str">
        <f>_xlfn.XLOOKUP(B682,customer_orders!A:A,customer_orders!D:D)</f>
        <v>Amazon</v>
      </c>
      <c r="N682" t="str">
        <f>_xlfn.XLOOKUP(C682,inventory!B:B,inventory!C:C)</f>
        <v>Draper</v>
      </c>
      <c r="O682">
        <f>IF(_xlfn.XLOOKUP(C682,products!A:A,products!E:E)="NULL",0,_xlfn.XLOOKUP(C682,products!A:A,products!E:E))</f>
        <v>71.34</v>
      </c>
      <c r="P682">
        <f t="shared" si="32"/>
        <v>229.93999999999997</v>
      </c>
      <c r="Q682" s="2" t="str">
        <f>_xlfn.XLOOKUP(I682,products!B:B,products!D:D)</f>
        <v>Electronics</v>
      </c>
    </row>
    <row r="683" spans="1:17">
      <c r="A683">
        <v>682</v>
      </c>
      <c r="B683">
        <v>1277</v>
      </c>
      <c r="C683">
        <v>6</v>
      </c>
      <c r="D683">
        <v>5</v>
      </c>
      <c r="E683">
        <v>256.54000000000002</v>
      </c>
      <c r="F683">
        <v>0</v>
      </c>
      <c r="G683">
        <f t="shared" si="30"/>
        <v>1282.7</v>
      </c>
      <c r="H683" t="str">
        <f>_xlfn.XLOOKUP(B683,customer_orders!A:A,customer_orders!F:F)</f>
        <v>2026-02</v>
      </c>
      <c r="I683" t="str">
        <f>_xlfn.XLOOKUP(C683,products!A:A,products!B:B)</f>
        <v>SKU-0006</v>
      </c>
      <c r="J683" t="str">
        <f>_xlfn.XLOOKUP(B683,customer_orders!A:A,customer_orders!G:G)</f>
        <v>2026-w08</v>
      </c>
      <c r="K683">
        <f>IFERROR(_xlfn.XLOOKUP(B683,shipments!B:B,shipments!H:H),0)</f>
        <v>108.92</v>
      </c>
      <c r="L683">
        <f t="shared" si="31"/>
        <v>0.08</v>
      </c>
      <c r="M683" t="str">
        <f>_xlfn.XLOOKUP(B683,customer_orders!A:A,customer_orders!D:D)</f>
        <v>Amazon</v>
      </c>
      <c r="N683" t="str">
        <f>_xlfn.XLOOKUP(C683,inventory!B:B,inventory!C:C)</f>
        <v>South Jordan</v>
      </c>
      <c r="O683">
        <f>IF(_xlfn.XLOOKUP(C683,products!A:A,products!E:E)="NULL",0,_xlfn.XLOOKUP(C683,products!A:A,products!E:E))</f>
        <v>21.93</v>
      </c>
      <c r="P683">
        <f t="shared" si="32"/>
        <v>1260.77</v>
      </c>
      <c r="Q683" s="2" t="str">
        <f>_xlfn.XLOOKUP(I683,products!B:B,products!D:D)</f>
        <v>Home</v>
      </c>
    </row>
    <row r="684" spans="1:17">
      <c r="A684">
        <v>683</v>
      </c>
      <c r="B684">
        <v>1277</v>
      </c>
      <c r="C684">
        <v>50</v>
      </c>
      <c r="D684">
        <v>2</v>
      </c>
      <c r="E684">
        <v>252.62</v>
      </c>
      <c r="F684">
        <v>0</v>
      </c>
      <c r="G684">
        <f t="shared" si="30"/>
        <v>505.24</v>
      </c>
      <c r="H684" t="str">
        <f>_xlfn.XLOOKUP(B684,customer_orders!A:A,customer_orders!F:F)</f>
        <v>2026-02</v>
      </c>
      <c r="I684" t="str">
        <f>_xlfn.XLOOKUP(C684,products!A:A,products!B:B)</f>
        <v>SKU-0050</v>
      </c>
      <c r="J684" t="str">
        <f>_xlfn.XLOOKUP(B684,customer_orders!A:A,customer_orders!G:G)</f>
        <v>2026-w08</v>
      </c>
      <c r="K684">
        <f>IFERROR(_xlfn.XLOOKUP(B684,shipments!B:B,shipments!H:H),0)</f>
        <v>108.92</v>
      </c>
      <c r="L684">
        <f t="shared" si="31"/>
        <v>0.22</v>
      </c>
      <c r="M684" t="str">
        <f>_xlfn.XLOOKUP(B684,customer_orders!A:A,customer_orders!D:D)</f>
        <v>Amazon</v>
      </c>
      <c r="N684" t="str">
        <f>_xlfn.XLOOKUP(C684,inventory!B:B,inventory!C:C)</f>
        <v>South Jordan</v>
      </c>
      <c r="O684">
        <f>IF(_xlfn.XLOOKUP(C684,products!A:A,products!E:E)="NULL",0,_xlfn.XLOOKUP(C684,products!A:A,products!E:E))</f>
        <v>32.61</v>
      </c>
      <c r="P684">
        <f t="shared" si="32"/>
        <v>472.63</v>
      </c>
      <c r="Q684" s="2" t="str">
        <f>_xlfn.XLOOKUP(I684,products!B:B,products!D:D)</f>
        <v>Kitchen</v>
      </c>
    </row>
    <row r="685" spans="1:17">
      <c r="A685">
        <v>684</v>
      </c>
      <c r="B685">
        <v>1277</v>
      </c>
      <c r="C685">
        <v>57</v>
      </c>
      <c r="D685">
        <v>4</v>
      </c>
      <c r="E685">
        <v>266.69</v>
      </c>
      <c r="F685">
        <v>0</v>
      </c>
      <c r="G685">
        <f t="shared" si="30"/>
        <v>1066.76</v>
      </c>
      <c r="H685" t="str">
        <f>_xlfn.XLOOKUP(B685,customer_orders!A:A,customer_orders!F:F)</f>
        <v>2026-02</v>
      </c>
      <c r="I685" t="str">
        <f>_xlfn.XLOOKUP(C685,products!A:A,products!B:B)</f>
        <v>SKU-0057</v>
      </c>
      <c r="J685" t="str">
        <f>_xlfn.XLOOKUP(B685,customer_orders!A:A,customer_orders!G:G)</f>
        <v>2026-w08</v>
      </c>
      <c r="K685">
        <f>IFERROR(_xlfn.XLOOKUP(B685,shipments!B:B,shipments!H:H),0)</f>
        <v>108.92</v>
      </c>
      <c r="L685">
        <f t="shared" si="31"/>
        <v>0.1</v>
      </c>
      <c r="M685" t="str">
        <f>_xlfn.XLOOKUP(B685,customer_orders!A:A,customer_orders!D:D)</f>
        <v>Amazon</v>
      </c>
      <c r="N685" t="str">
        <f>_xlfn.XLOOKUP(C685,inventory!B:B,inventory!C:C)</f>
        <v>South Jordan</v>
      </c>
      <c r="O685">
        <f>IF(_xlfn.XLOOKUP(C685,products!A:A,products!E:E)="NULL",0,_xlfn.XLOOKUP(C685,products!A:A,products!E:E))</f>
        <v>18.170000000000002</v>
      </c>
      <c r="P685">
        <f t="shared" si="32"/>
        <v>1048.5899999999999</v>
      </c>
      <c r="Q685" s="2" t="str">
        <f>_xlfn.XLOOKUP(I685,products!B:B,products!D:D)</f>
        <v>Electronics</v>
      </c>
    </row>
    <row r="686" spans="1:17">
      <c r="A686">
        <v>685</v>
      </c>
      <c r="B686">
        <v>1278</v>
      </c>
      <c r="C686">
        <v>44</v>
      </c>
      <c r="D686">
        <v>4</v>
      </c>
      <c r="E686">
        <v>34.369999999999997</v>
      </c>
      <c r="F686">
        <v>0</v>
      </c>
      <c r="G686">
        <f t="shared" si="30"/>
        <v>137.47999999999999</v>
      </c>
      <c r="H686" t="str">
        <f>_xlfn.XLOOKUP(B686,customer_orders!A:A,customer_orders!F:F)</f>
        <v>2026-04</v>
      </c>
      <c r="I686" t="str">
        <f>_xlfn.XLOOKUP(C686,products!A:A,products!B:B)</f>
        <v>SKU-0044</v>
      </c>
      <c r="J686" t="str">
        <f>_xlfn.XLOOKUP(B686,customer_orders!A:A,customer_orders!G:G)</f>
        <v>2026-w16</v>
      </c>
      <c r="K686">
        <f>IFERROR(_xlfn.XLOOKUP(B686,shipments!B:B,shipments!H:H),0)</f>
        <v>4.2300000000000004</v>
      </c>
      <c r="L686">
        <f t="shared" si="31"/>
        <v>0.03</v>
      </c>
      <c r="M686" t="str">
        <f>_xlfn.XLOOKUP(B686,customer_orders!A:A,customer_orders!D:D)</f>
        <v>Ebay</v>
      </c>
      <c r="N686" t="str">
        <f>_xlfn.XLOOKUP(C686,inventory!B:B,inventory!C:C)</f>
        <v>West Valley</v>
      </c>
      <c r="O686">
        <f>IF(_xlfn.XLOOKUP(C686,products!A:A,products!E:E)="NULL",0,_xlfn.XLOOKUP(C686,products!A:A,products!E:E))</f>
        <v>16.989999999999998</v>
      </c>
      <c r="P686">
        <f t="shared" si="32"/>
        <v>120.49</v>
      </c>
      <c r="Q686" s="2" t="str">
        <f>_xlfn.XLOOKUP(I686,products!B:B,products!D:D)</f>
        <v>Home</v>
      </c>
    </row>
    <row r="687" spans="1:17">
      <c r="A687">
        <v>686</v>
      </c>
      <c r="B687">
        <v>1278</v>
      </c>
      <c r="C687">
        <v>17</v>
      </c>
      <c r="D687">
        <v>3</v>
      </c>
      <c r="E687">
        <v>299.3</v>
      </c>
      <c r="F687">
        <v>0</v>
      </c>
      <c r="G687">
        <f t="shared" si="30"/>
        <v>897.90000000000009</v>
      </c>
      <c r="H687" t="str">
        <f>_xlfn.XLOOKUP(B687,customer_orders!A:A,customer_orders!F:F)</f>
        <v>2026-04</v>
      </c>
      <c r="I687" t="str">
        <f>_xlfn.XLOOKUP(C687,products!A:A,products!B:B)</f>
        <v>SKU-0017</v>
      </c>
      <c r="J687" t="str">
        <f>_xlfn.XLOOKUP(B687,customer_orders!A:A,customer_orders!G:G)</f>
        <v>2026-w16</v>
      </c>
      <c r="K687">
        <f>IFERROR(_xlfn.XLOOKUP(B687,shipments!B:B,shipments!H:H),0)</f>
        <v>4.2300000000000004</v>
      </c>
      <c r="L687">
        <f t="shared" si="31"/>
        <v>0</v>
      </c>
      <c r="M687" t="str">
        <f>_xlfn.XLOOKUP(B687,customer_orders!A:A,customer_orders!D:D)</f>
        <v>Ebay</v>
      </c>
      <c r="N687" t="str">
        <f>_xlfn.XLOOKUP(C687,inventory!B:B,inventory!C:C)</f>
        <v>West Valley</v>
      </c>
      <c r="O687">
        <f>IF(_xlfn.XLOOKUP(C687,products!A:A,products!E:E)="NULL",0,_xlfn.XLOOKUP(C687,products!A:A,products!E:E))</f>
        <v>43.38</v>
      </c>
      <c r="P687">
        <f t="shared" si="32"/>
        <v>854.5200000000001</v>
      </c>
      <c r="Q687" s="2" t="str">
        <f>_xlfn.XLOOKUP(I687,products!B:B,products!D:D)</f>
        <v>Office</v>
      </c>
    </row>
    <row r="688" spans="1:17">
      <c r="A688">
        <v>687</v>
      </c>
      <c r="B688">
        <v>1278</v>
      </c>
      <c r="C688">
        <v>67</v>
      </c>
      <c r="D688">
        <v>4</v>
      </c>
      <c r="E688">
        <v>291.56</v>
      </c>
      <c r="F688">
        <v>0</v>
      </c>
      <c r="G688">
        <f t="shared" si="30"/>
        <v>1166.24</v>
      </c>
      <c r="H688" t="str">
        <f>_xlfn.XLOOKUP(B688,customer_orders!A:A,customer_orders!F:F)</f>
        <v>2026-04</v>
      </c>
      <c r="I688" t="str">
        <f>_xlfn.XLOOKUP(C688,products!A:A,products!B:B)</f>
        <v>SKU-0067</v>
      </c>
      <c r="J688" t="str">
        <f>_xlfn.XLOOKUP(B688,customer_orders!A:A,customer_orders!G:G)</f>
        <v>2026-w16</v>
      </c>
      <c r="K688">
        <f>IFERROR(_xlfn.XLOOKUP(B688,shipments!B:B,shipments!H:H),0)</f>
        <v>4.2300000000000004</v>
      </c>
      <c r="L688">
        <f t="shared" si="31"/>
        <v>0</v>
      </c>
      <c r="M688" t="str">
        <f>_xlfn.XLOOKUP(B688,customer_orders!A:A,customer_orders!D:D)</f>
        <v>Ebay</v>
      </c>
      <c r="N688" t="str">
        <f>_xlfn.XLOOKUP(C688,inventory!B:B,inventory!C:C)</f>
        <v>West Valley</v>
      </c>
      <c r="O688">
        <f>IF(_xlfn.XLOOKUP(C688,products!A:A,products!E:E)="NULL",0,_xlfn.XLOOKUP(C688,products!A:A,products!E:E))</f>
        <v>25.18</v>
      </c>
      <c r="P688">
        <f t="shared" si="32"/>
        <v>1141.06</v>
      </c>
      <c r="Q688" s="2" t="str">
        <f>_xlfn.XLOOKUP(I688,products!B:B,products!D:D)</f>
        <v>Kitchen</v>
      </c>
    </row>
    <row r="689" spans="1:17">
      <c r="A689">
        <v>688</v>
      </c>
      <c r="B689">
        <v>1278</v>
      </c>
      <c r="C689">
        <v>50</v>
      </c>
      <c r="D689">
        <v>1</v>
      </c>
      <c r="E689">
        <v>252.62</v>
      </c>
      <c r="F689">
        <v>0</v>
      </c>
      <c r="G689">
        <f t="shared" si="30"/>
        <v>252.62</v>
      </c>
      <c r="H689" t="str">
        <f>_xlfn.XLOOKUP(B689,customer_orders!A:A,customer_orders!F:F)</f>
        <v>2026-04</v>
      </c>
      <c r="I689" t="str">
        <f>_xlfn.XLOOKUP(C689,products!A:A,products!B:B)</f>
        <v>SKU-0050</v>
      </c>
      <c r="J689" t="str">
        <f>_xlfn.XLOOKUP(B689,customer_orders!A:A,customer_orders!G:G)</f>
        <v>2026-w16</v>
      </c>
      <c r="K689">
        <f>IFERROR(_xlfn.XLOOKUP(B689,shipments!B:B,shipments!H:H),0)</f>
        <v>4.2300000000000004</v>
      </c>
      <c r="L689">
        <f t="shared" si="31"/>
        <v>0.02</v>
      </c>
      <c r="M689" t="str">
        <f>_xlfn.XLOOKUP(B689,customer_orders!A:A,customer_orders!D:D)</f>
        <v>Ebay</v>
      </c>
      <c r="N689" t="str">
        <f>_xlfn.XLOOKUP(C689,inventory!B:B,inventory!C:C)</f>
        <v>South Jordan</v>
      </c>
      <c r="O689">
        <f>IF(_xlfn.XLOOKUP(C689,products!A:A,products!E:E)="NULL",0,_xlfn.XLOOKUP(C689,products!A:A,products!E:E))</f>
        <v>32.61</v>
      </c>
      <c r="P689">
        <f t="shared" si="32"/>
        <v>220.01</v>
      </c>
      <c r="Q689" s="2" t="str">
        <f>_xlfn.XLOOKUP(I689,products!B:B,products!D:D)</f>
        <v>Kitchen</v>
      </c>
    </row>
    <row r="690" spans="1:17">
      <c r="A690">
        <v>689</v>
      </c>
      <c r="B690">
        <v>1279</v>
      </c>
      <c r="C690">
        <v>127</v>
      </c>
      <c r="D690">
        <v>6</v>
      </c>
      <c r="E690">
        <v>38.14</v>
      </c>
      <c r="F690">
        <v>0</v>
      </c>
      <c r="G690">
        <f t="shared" si="30"/>
        <v>228.84</v>
      </c>
      <c r="H690" t="str">
        <f>_xlfn.XLOOKUP(B690,customer_orders!A:A,customer_orders!F:F)</f>
        <v>2026-04</v>
      </c>
      <c r="I690" t="str">
        <f>_xlfn.XLOOKUP(C690,products!A:A,products!B:B)</f>
        <v>SKU-0127</v>
      </c>
      <c r="J690" t="str">
        <f>_xlfn.XLOOKUP(B690,customer_orders!A:A,customer_orders!G:G)</f>
        <v>2026-w17</v>
      </c>
      <c r="K690">
        <f>IFERROR(_xlfn.XLOOKUP(B690,shipments!B:B,shipments!H:H),0)</f>
        <v>115.1</v>
      </c>
      <c r="L690">
        <f t="shared" si="31"/>
        <v>0.5</v>
      </c>
      <c r="M690" t="str">
        <f>_xlfn.XLOOKUP(B690,customer_orders!A:A,customer_orders!D:D)</f>
        <v>Ebay</v>
      </c>
      <c r="N690" t="str">
        <f>_xlfn.XLOOKUP(C690,inventory!B:B,inventory!C:C)</f>
        <v>South Jordan</v>
      </c>
      <c r="O690">
        <f>IF(_xlfn.XLOOKUP(C690,products!A:A,products!E:E)="NULL",0,_xlfn.XLOOKUP(C690,products!A:A,products!E:E))</f>
        <v>51.31</v>
      </c>
      <c r="P690">
        <f t="shared" si="32"/>
        <v>177.53</v>
      </c>
      <c r="Q690" s="2" t="str">
        <f>_xlfn.XLOOKUP(I690,products!B:B,products!D:D)</f>
        <v>Beauty</v>
      </c>
    </row>
    <row r="691" spans="1:17">
      <c r="A691">
        <v>690</v>
      </c>
      <c r="B691">
        <v>1279</v>
      </c>
      <c r="C691">
        <v>58</v>
      </c>
      <c r="D691">
        <v>1</v>
      </c>
      <c r="E691">
        <v>57.21</v>
      </c>
      <c r="F691">
        <v>4.8899999999999997</v>
      </c>
      <c r="G691">
        <f t="shared" si="30"/>
        <v>52.32</v>
      </c>
      <c r="H691" t="str">
        <f>_xlfn.XLOOKUP(B691,customer_orders!A:A,customer_orders!F:F)</f>
        <v>2026-04</v>
      </c>
      <c r="I691" t="str">
        <f>_xlfn.XLOOKUP(C691,products!A:A,products!B:B)</f>
        <v>SKU-0058</v>
      </c>
      <c r="J691" t="str">
        <f>_xlfn.XLOOKUP(B691,customer_orders!A:A,customer_orders!G:G)</f>
        <v>2026-w17</v>
      </c>
      <c r="K691">
        <f>IFERROR(_xlfn.XLOOKUP(B691,shipments!B:B,shipments!H:H),0)</f>
        <v>115.1</v>
      </c>
      <c r="L691">
        <f t="shared" si="31"/>
        <v>2.2000000000000002</v>
      </c>
      <c r="M691" t="str">
        <f>_xlfn.XLOOKUP(B691,customer_orders!A:A,customer_orders!D:D)</f>
        <v>Ebay</v>
      </c>
      <c r="N691" t="str">
        <f>_xlfn.XLOOKUP(C691,inventory!B:B,inventory!C:C)</f>
        <v>South Jordan</v>
      </c>
      <c r="O691">
        <f>IF(_xlfn.XLOOKUP(C691,products!A:A,products!E:E)="NULL",0,_xlfn.XLOOKUP(C691,products!A:A,products!E:E))</f>
        <v>106.94</v>
      </c>
      <c r="P691">
        <f t="shared" si="32"/>
        <v>-54.62</v>
      </c>
      <c r="Q691" s="2" t="str">
        <f>_xlfn.XLOOKUP(I691,products!B:B,products!D:D)</f>
        <v>Electronics</v>
      </c>
    </row>
    <row r="692" spans="1:17">
      <c r="A692">
        <v>691</v>
      </c>
      <c r="B692">
        <v>1279</v>
      </c>
      <c r="C692">
        <v>137</v>
      </c>
      <c r="D692">
        <v>8</v>
      </c>
      <c r="E692">
        <v>181.82</v>
      </c>
      <c r="F692">
        <v>5.43</v>
      </c>
      <c r="G692">
        <f t="shared" si="30"/>
        <v>1449.1299999999999</v>
      </c>
      <c r="H692" t="str">
        <f>_xlfn.XLOOKUP(B692,customer_orders!A:A,customer_orders!F:F)</f>
        <v>2026-04</v>
      </c>
      <c r="I692" t="str">
        <f>_xlfn.XLOOKUP(C692,products!A:A,products!B:B)</f>
        <v>SKU-0137</v>
      </c>
      <c r="J692" t="str">
        <f>_xlfn.XLOOKUP(B692,customer_orders!A:A,customer_orders!G:G)</f>
        <v>2026-w17</v>
      </c>
      <c r="K692">
        <f>IFERROR(_xlfn.XLOOKUP(B692,shipments!B:B,shipments!H:H),0)</f>
        <v>115.1</v>
      </c>
      <c r="L692">
        <f t="shared" si="31"/>
        <v>0.08</v>
      </c>
      <c r="M692" t="str">
        <f>_xlfn.XLOOKUP(B692,customer_orders!A:A,customer_orders!D:D)</f>
        <v>Ebay</v>
      </c>
      <c r="N692" t="str">
        <f>_xlfn.XLOOKUP(C692,inventory!B:B,inventory!C:C)</f>
        <v>Salt Lake City</v>
      </c>
      <c r="O692">
        <f>IF(_xlfn.XLOOKUP(C692,products!A:A,products!E:E)="NULL",0,_xlfn.XLOOKUP(C692,products!A:A,products!E:E))</f>
        <v>36.76</v>
      </c>
      <c r="P692">
        <f t="shared" si="32"/>
        <v>1412.37</v>
      </c>
      <c r="Q692" s="2" t="str">
        <f>_xlfn.XLOOKUP(I692,products!B:B,products!D:D)</f>
        <v>Pet</v>
      </c>
    </row>
    <row r="693" spans="1:17">
      <c r="A693">
        <v>692</v>
      </c>
      <c r="B693">
        <v>1279</v>
      </c>
      <c r="C693">
        <v>50</v>
      </c>
      <c r="D693">
        <v>6</v>
      </c>
      <c r="E693">
        <v>252.62</v>
      </c>
      <c r="F693">
        <v>0</v>
      </c>
      <c r="G693">
        <f t="shared" si="30"/>
        <v>1515.72</v>
      </c>
      <c r="H693" t="str">
        <f>_xlfn.XLOOKUP(B693,customer_orders!A:A,customer_orders!F:F)</f>
        <v>2026-04</v>
      </c>
      <c r="I693" t="str">
        <f>_xlfn.XLOOKUP(C693,products!A:A,products!B:B)</f>
        <v>SKU-0050</v>
      </c>
      <c r="J693" t="str">
        <f>_xlfn.XLOOKUP(B693,customer_orders!A:A,customer_orders!G:G)</f>
        <v>2026-w17</v>
      </c>
      <c r="K693">
        <f>IFERROR(_xlfn.XLOOKUP(B693,shipments!B:B,shipments!H:H),0)</f>
        <v>115.1</v>
      </c>
      <c r="L693">
        <f t="shared" si="31"/>
        <v>0.08</v>
      </c>
      <c r="M693" t="str">
        <f>_xlfn.XLOOKUP(B693,customer_orders!A:A,customer_orders!D:D)</f>
        <v>Ebay</v>
      </c>
      <c r="N693" t="str">
        <f>_xlfn.XLOOKUP(C693,inventory!B:B,inventory!C:C)</f>
        <v>South Jordan</v>
      </c>
      <c r="O693">
        <f>IF(_xlfn.XLOOKUP(C693,products!A:A,products!E:E)="NULL",0,_xlfn.XLOOKUP(C693,products!A:A,products!E:E))</f>
        <v>32.61</v>
      </c>
      <c r="P693">
        <f t="shared" si="32"/>
        <v>1483.1100000000001</v>
      </c>
      <c r="Q693" s="2" t="str">
        <f>_xlfn.XLOOKUP(I693,products!B:B,products!D:D)</f>
        <v>Kitchen</v>
      </c>
    </row>
    <row r="694" spans="1:17">
      <c r="A694">
        <v>693</v>
      </c>
      <c r="B694">
        <v>1280</v>
      </c>
      <c r="C694">
        <v>8</v>
      </c>
      <c r="D694">
        <v>8</v>
      </c>
      <c r="E694">
        <v>118.07</v>
      </c>
      <c r="F694">
        <v>0</v>
      </c>
      <c r="G694">
        <f t="shared" si="30"/>
        <v>944.56</v>
      </c>
      <c r="H694" t="str">
        <f>_xlfn.XLOOKUP(B694,customer_orders!A:A,customer_orders!F:F)</f>
        <v>2026-03</v>
      </c>
      <c r="I694" t="str">
        <f>_xlfn.XLOOKUP(C694,products!A:A,products!B:B)</f>
        <v>SKU-0008</v>
      </c>
      <c r="J694" t="str">
        <f>_xlfn.XLOOKUP(B694,customer_orders!A:A,customer_orders!G:G)</f>
        <v>2026-w12</v>
      </c>
      <c r="K694">
        <f>IFERROR(_xlfn.XLOOKUP(B694,shipments!B:B,shipments!H:H),0)</f>
        <v>101.5</v>
      </c>
      <c r="L694">
        <f t="shared" si="31"/>
        <v>0.11</v>
      </c>
      <c r="M694" t="str">
        <f>_xlfn.XLOOKUP(B694,customer_orders!A:A,customer_orders!D:D)</f>
        <v>Shopify</v>
      </c>
      <c r="N694" t="str">
        <f>_xlfn.XLOOKUP(C694,inventory!B:B,inventory!C:C)</f>
        <v>Salt Lake City</v>
      </c>
      <c r="O694">
        <f>IF(_xlfn.XLOOKUP(C694,products!A:A,products!E:E)="NULL",0,_xlfn.XLOOKUP(C694,products!A:A,products!E:E))</f>
        <v>159.94999999999999</v>
      </c>
      <c r="P694">
        <f t="shared" si="32"/>
        <v>784.6099999999999</v>
      </c>
      <c r="Q694" s="2" t="str">
        <f>_xlfn.XLOOKUP(I694,products!B:B,products!D:D)</f>
        <v>Sports</v>
      </c>
    </row>
    <row r="695" spans="1:17">
      <c r="A695">
        <v>694</v>
      </c>
      <c r="B695">
        <v>1281</v>
      </c>
      <c r="C695">
        <v>113</v>
      </c>
      <c r="D695">
        <v>2</v>
      </c>
      <c r="E695">
        <v>84.34</v>
      </c>
      <c r="F695">
        <v>0</v>
      </c>
      <c r="G695">
        <f t="shared" si="30"/>
        <v>168.68</v>
      </c>
      <c r="H695" t="str">
        <f>_xlfn.XLOOKUP(B695,customer_orders!A:A,customer_orders!F:F)</f>
        <v>2026-01</v>
      </c>
      <c r="I695" t="str">
        <f>_xlfn.XLOOKUP(C695,products!A:A,products!B:B)</f>
        <v>SKU-0113</v>
      </c>
      <c r="J695" t="str">
        <f>_xlfn.XLOOKUP(B695,customer_orders!A:A,customer_orders!G:G)</f>
        <v>2026-w03</v>
      </c>
      <c r="K695">
        <f>IFERROR(_xlfn.XLOOKUP(B695,shipments!B:B,shipments!H:H),0)</f>
        <v>40.340000000000003</v>
      </c>
      <c r="L695">
        <f t="shared" si="31"/>
        <v>0.24</v>
      </c>
      <c r="M695" t="str">
        <f>_xlfn.XLOOKUP(B695,customer_orders!A:A,customer_orders!D:D)</f>
        <v>Amazon</v>
      </c>
      <c r="N695" t="str">
        <f>_xlfn.XLOOKUP(C695,inventory!B:B,inventory!C:C)</f>
        <v>West Valley</v>
      </c>
      <c r="O695">
        <f>IF(_xlfn.XLOOKUP(C695,products!A:A,products!E:E)="NULL",0,_xlfn.XLOOKUP(C695,products!A:A,products!E:E))</f>
        <v>75.77</v>
      </c>
      <c r="P695">
        <f t="shared" si="32"/>
        <v>92.910000000000011</v>
      </c>
      <c r="Q695" s="2" t="str">
        <f>_xlfn.XLOOKUP(I695,products!B:B,products!D:D)</f>
        <v>Sports</v>
      </c>
    </row>
    <row r="696" spans="1:17">
      <c r="A696">
        <v>695</v>
      </c>
      <c r="B696">
        <v>1282</v>
      </c>
      <c r="C696">
        <v>17</v>
      </c>
      <c r="D696">
        <v>2</v>
      </c>
      <c r="E696">
        <v>299.3</v>
      </c>
      <c r="F696">
        <v>0</v>
      </c>
      <c r="G696">
        <f t="shared" si="30"/>
        <v>598.6</v>
      </c>
      <c r="H696" t="str">
        <f>_xlfn.XLOOKUP(B696,customer_orders!A:A,customer_orders!F:F)</f>
        <v>2026-04</v>
      </c>
      <c r="I696" t="str">
        <f>_xlfn.XLOOKUP(C696,products!A:A,products!B:B)</f>
        <v>SKU-0017</v>
      </c>
      <c r="J696" t="str">
        <f>_xlfn.XLOOKUP(B696,customer_orders!A:A,customer_orders!G:G)</f>
        <v>2026-w17</v>
      </c>
      <c r="K696">
        <f>IFERROR(_xlfn.XLOOKUP(B696,shipments!B:B,shipments!H:H),0)</f>
        <v>72.19</v>
      </c>
      <c r="L696">
        <f t="shared" si="31"/>
        <v>0.12</v>
      </c>
      <c r="M696" t="str">
        <f>_xlfn.XLOOKUP(B696,customer_orders!A:A,customer_orders!D:D)</f>
        <v>Ebay</v>
      </c>
      <c r="N696" t="str">
        <f>_xlfn.XLOOKUP(C696,inventory!B:B,inventory!C:C)</f>
        <v>West Valley</v>
      </c>
      <c r="O696">
        <f>IF(_xlfn.XLOOKUP(C696,products!A:A,products!E:E)="NULL",0,_xlfn.XLOOKUP(C696,products!A:A,products!E:E))</f>
        <v>43.38</v>
      </c>
      <c r="P696">
        <f t="shared" si="32"/>
        <v>555.22</v>
      </c>
      <c r="Q696" s="2" t="str">
        <f>_xlfn.XLOOKUP(I696,products!B:B,products!D:D)</f>
        <v>Office</v>
      </c>
    </row>
    <row r="697" spans="1:17">
      <c r="A697">
        <v>696</v>
      </c>
      <c r="B697">
        <v>1282</v>
      </c>
      <c r="C697">
        <v>76</v>
      </c>
      <c r="D697">
        <v>7</v>
      </c>
      <c r="E697">
        <v>160.68</v>
      </c>
      <c r="F697">
        <v>6.62</v>
      </c>
      <c r="G697">
        <f t="shared" si="30"/>
        <v>1118.1400000000001</v>
      </c>
      <c r="H697" t="str">
        <f>_xlfn.XLOOKUP(B697,customer_orders!A:A,customer_orders!F:F)</f>
        <v>2026-04</v>
      </c>
      <c r="I697" t="str">
        <f>_xlfn.XLOOKUP(C697,products!A:A,products!B:B)</f>
        <v>SKU-0076</v>
      </c>
      <c r="J697" t="str">
        <f>_xlfn.XLOOKUP(B697,customer_orders!A:A,customer_orders!G:G)</f>
        <v>2026-w17</v>
      </c>
      <c r="K697">
        <f>IFERROR(_xlfn.XLOOKUP(B697,shipments!B:B,shipments!H:H),0)</f>
        <v>72.19</v>
      </c>
      <c r="L697">
        <f t="shared" si="31"/>
        <v>0.06</v>
      </c>
      <c r="M697" t="str">
        <f>_xlfn.XLOOKUP(B697,customer_orders!A:A,customer_orders!D:D)</f>
        <v>Ebay</v>
      </c>
      <c r="N697" t="str">
        <f>_xlfn.XLOOKUP(C697,inventory!B:B,inventory!C:C)</f>
        <v>South Jordan</v>
      </c>
      <c r="O697">
        <f>IF(_xlfn.XLOOKUP(C697,products!A:A,products!E:E)="NULL",0,_xlfn.XLOOKUP(C697,products!A:A,products!E:E))</f>
        <v>123.23</v>
      </c>
      <c r="P697">
        <f t="shared" si="32"/>
        <v>994.91000000000008</v>
      </c>
      <c r="Q697" s="2" t="str">
        <f>_xlfn.XLOOKUP(I697,products!B:B,products!D:D)</f>
        <v>Pet</v>
      </c>
    </row>
    <row r="698" spans="1:17">
      <c r="A698">
        <v>697</v>
      </c>
      <c r="B698">
        <v>1282</v>
      </c>
      <c r="C698">
        <v>60</v>
      </c>
      <c r="D698">
        <v>1</v>
      </c>
      <c r="E698">
        <v>115.8</v>
      </c>
      <c r="F698">
        <v>7.35</v>
      </c>
      <c r="G698">
        <f t="shared" si="30"/>
        <v>108.45</v>
      </c>
      <c r="H698" t="str">
        <f>_xlfn.XLOOKUP(B698,customer_orders!A:A,customer_orders!F:F)</f>
        <v>2026-04</v>
      </c>
      <c r="I698" t="str">
        <f>_xlfn.XLOOKUP(C698,products!A:A,products!B:B)</f>
        <v>SKU-0060</v>
      </c>
      <c r="J698" t="str">
        <f>_xlfn.XLOOKUP(B698,customer_orders!A:A,customer_orders!G:G)</f>
        <v>2026-w17</v>
      </c>
      <c r="K698">
        <f>IFERROR(_xlfn.XLOOKUP(B698,shipments!B:B,shipments!H:H),0)</f>
        <v>72.19</v>
      </c>
      <c r="L698">
        <f t="shared" si="31"/>
        <v>0.67</v>
      </c>
      <c r="M698" t="str">
        <f>_xlfn.XLOOKUP(B698,customer_orders!A:A,customer_orders!D:D)</f>
        <v>Ebay</v>
      </c>
      <c r="N698" t="str">
        <f>_xlfn.XLOOKUP(C698,inventory!B:B,inventory!C:C)</f>
        <v>Draper</v>
      </c>
      <c r="O698">
        <f>IF(_xlfn.XLOOKUP(C698,products!A:A,products!E:E)="NULL",0,_xlfn.XLOOKUP(C698,products!A:A,products!E:E))</f>
        <v>121.71</v>
      </c>
      <c r="P698">
        <f t="shared" si="32"/>
        <v>-13.259999999999991</v>
      </c>
      <c r="Q698" s="2" t="str">
        <f>_xlfn.XLOOKUP(I698,products!B:B,products!D:D)</f>
        <v>Beauty</v>
      </c>
    </row>
    <row r="699" spans="1:17">
      <c r="A699">
        <v>698</v>
      </c>
      <c r="B699">
        <v>1282</v>
      </c>
      <c r="C699">
        <v>110</v>
      </c>
      <c r="D699">
        <v>2</v>
      </c>
      <c r="E699">
        <v>112</v>
      </c>
      <c r="F699">
        <v>0</v>
      </c>
      <c r="G699">
        <f t="shared" si="30"/>
        <v>224</v>
      </c>
      <c r="H699" t="str">
        <f>_xlfn.XLOOKUP(B699,customer_orders!A:A,customer_orders!F:F)</f>
        <v>2026-04</v>
      </c>
      <c r="I699" t="str">
        <f>_xlfn.XLOOKUP(C699,products!A:A,products!B:B)</f>
        <v>SKU-0110</v>
      </c>
      <c r="J699" t="str">
        <f>_xlfn.XLOOKUP(B699,customer_orders!A:A,customer_orders!G:G)</f>
        <v>2026-w17</v>
      </c>
      <c r="K699">
        <f>IFERROR(_xlfn.XLOOKUP(B699,shipments!B:B,shipments!H:H),0)</f>
        <v>72.19</v>
      </c>
      <c r="L699">
        <f t="shared" si="31"/>
        <v>0.32</v>
      </c>
      <c r="M699" t="str">
        <f>_xlfn.XLOOKUP(B699,customer_orders!A:A,customer_orders!D:D)</f>
        <v>Ebay</v>
      </c>
      <c r="N699" t="str">
        <f>_xlfn.XLOOKUP(C699,inventory!B:B,inventory!C:C)</f>
        <v>Draper</v>
      </c>
      <c r="O699">
        <f>IF(_xlfn.XLOOKUP(C699,products!A:A,products!E:E)="NULL",0,_xlfn.XLOOKUP(C699,products!A:A,products!E:E))</f>
        <v>144.62</v>
      </c>
      <c r="P699">
        <f t="shared" si="32"/>
        <v>79.38</v>
      </c>
      <c r="Q699" s="2" t="str">
        <f>_xlfn.XLOOKUP(I699,products!B:B,products!D:D)</f>
        <v>Beauty</v>
      </c>
    </row>
    <row r="700" spans="1:17">
      <c r="A700">
        <v>699</v>
      </c>
      <c r="B700">
        <v>1283</v>
      </c>
      <c r="C700">
        <v>91</v>
      </c>
      <c r="D700">
        <v>7</v>
      </c>
      <c r="E700">
        <v>170.65</v>
      </c>
      <c r="F700">
        <v>7.74</v>
      </c>
      <c r="G700">
        <f t="shared" si="30"/>
        <v>1186.81</v>
      </c>
      <c r="H700" t="str">
        <f>_xlfn.XLOOKUP(B700,customer_orders!A:A,customer_orders!F:F)</f>
        <v>2026-02</v>
      </c>
      <c r="I700" t="str">
        <f>_xlfn.XLOOKUP(C700,products!A:A,products!B:B)</f>
        <v>SKU-0091</v>
      </c>
      <c r="J700" t="str">
        <f>_xlfn.XLOOKUP(B700,customer_orders!A:A,customer_orders!G:G)</f>
        <v>2026-w08</v>
      </c>
      <c r="K700">
        <f>IFERROR(_xlfn.XLOOKUP(B700,shipments!B:B,shipments!H:H),0)</f>
        <v>40.1</v>
      </c>
      <c r="L700">
        <f t="shared" si="31"/>
        <v>0.03</v>
      </c>
      <c r="M700" t="str">
        <f>_xlfn.XLOOKUP(B700,customer_orders!A:A,customer_orders!D:D)</f>
        <v>Shopify</v>
      </c>
      <c r="N700" t="str">
        <f>_xlfn.XLOOKUP(C700,inventory!B:B,inventory!C:C)</f>
        <v>Salt Lake City</v>
      </c>
      <c r="O700">
        <f>IF(_xlfn.XLOOKUP(C700,products!A:A,products!E:E)="NULL",0,_xlfn.XLOOKUP(C700,products!A:A,products!E:E))</f>
        <v>135.82</v>
      </c>
      <c r="P700">
        <f t="shared" si="32"/>
        <v>1050.99</v>
      </c>
      <c r="Q700" s="2" t="str">
        <f>_xlfn.XLOOKUP(I700,products!B:B,products!D:D)</f>
        <v>Office</v>
      </c>
    </row>
    <row r="701" spans="1:17">
      <c r="A701">
        <v>700</v>
      </c>
      <c r="B701">
        <v>1283</v>
      </c>
      <c r="C701">
        <v>48</v>
      </c>
      <c r="D701">
        <v>4</v>
      </c>
      <c r="E701">
        <v>299.56</v>
      </c>
      <c r="F701">
        <v>0</v>
      </c>
      <c r="G701">
        <f t="shared" si="30"/>
        <v>1198.24</v>
      </c>
      <c r="H701" t="str">
        <f>_xlfn.XLOOKUP(B701,customer_orders!A:A,customer_orders!F:F)</f>
        <v>2026-02</v>
      </c>
      <c r="I701" t="str">
        <f>_xlfn.XLOOKUP(C701,products!A:A,products!B:B)</f>
        <v>SKU-0048</v>
      </c>
      <c r="J701" t="str">
        <f>_xlfn.XLOOKUP(B701,customer_orders!A:A,customer_orders!G:G)</f>
        <v>2026-w08</v>
      </c>
      <c r="K701">
        <f>IFERROR(_xlfn.XLOOKUP(B701,shipments!B:B,shipments!H:H),0)</f>
        <v>40.1</v>
      </c>
      <c r="L701">
        <f t="shared" si="31"/>
        <v>0.03</v>
      </c>
      <c r="M701" t="str">
        <f>_xlfn.XLOOKUP(B701,customer_orders!A:A,customer_orders!D:D)</f>
        <v>Shopify</v>
      </c>
      <c r="N701" t="str">
        <f>_xlfn.XLOOKUP(C701,inventory!B:B,inventory!C:C)</f>
        <v>Salt Lake City</v>
      </c>
      <c r="O701">
        <f>IF(_xlfn.XLOOKUP(C701,products!A:A,products!E:E)="NULL",0,_xlfn.XLOOKUP(C701,products!A:A,products!E:E))</f>
        <v>85.2</v>
      </c>
      <c r="P701">
        <f t="shared" si="32"/>
        <v>1113.04</v>
      </c>
      <c r="Q701" s="2" t="str">
        <f>_xlfn.XLOOKUP(I701,products!B:B,products!D:D)</f>
        <v>Home</v>
      </c>
    </row>
    <row r="702" spans="1:17">
      <c r="A702">
        <v>701</v>
      </c>
      <c r="B702">
        <v>1283</v>
      </c>
      <c r="C702">
        <v>16</v>
      </c>
      <c r="D702">
        <v>3</v>
      </c>
      <c r="E702">
        <v>168.61</v>
      </c>
      <c r="F702">
        <v>5.36</v>
      </c>
      <c r="G702">
        <f t="shared" si="30"/>
        <v>500.47</v>
      </c>
      <c r="H702" t="str">
        <f>_xlfn.XLOOKUP(B702,customer_orders!A:A,customer_orders!F:F)</f>
        <v>2026-02</v>
      </c>
      <c r="I702" t="str">
        <f>_xlfn.XLOOKUP(C702,products!A:A,products!B:B)</f>
        <v>SKU-0016</v>
      </c>
      <c r="J702" t="str">
        <f>_xlfn.XLOOKUP(B702,customer_orders!A:A,customer_orders!G:G)</f>
        <v>2026-w08</v>
      </c>
      <c r="K702">
        <f>IFERROR(_xlfn.XLOOKUP(B702,shipments!B:B,shipments!H:H),0)</f>
        <v>40.1</v>
      </c>
      <c r="L702">
        <f t="shared" si="31"/>
        <v>0.08</v>
      </c>
      <c r="M702" t="str">
        <f>_xlfn.XLOOKUP(B702,customer_orders!A:A,customer_orders!D:D)</f>
        <v>Shopify</v>
      </c>
      <c r="N702" t="str">
        <f>_xlfn.XLOOKUP(C702,inventory!B:B,inventory!C:C)</f>
        <v>Draper</v>
      </c>
      <c r="O702">
        <f>IF(_xlfn.XLOOKUP(C702,products!A:A,products!E:E)="NULL",0,_xlfn.XLOOKUP(C702,products!A:A,products!E:E))</f>
        <v>135.37</v>
      </c>
      <c r="P702">
        <f t="shared" si="32"/>
        <v>365.1</v>
      </c>
      <c r="Q702" s="2" t="str">
        <f>_xlfn.XLOOKUP(I702,products!B:B,products!D:D)</f>
        <v>Toys</v>
      </c>
    </row>
    <row r="703" spans="1:17">
      <c r="A703">
        <v>702</v>
      </c>
      <c r="B703">
        <v>1284</v>
      </c>
      <c r="C703">
        <v>3</v>
      </c>
      <c r="D703">
        <v>3</v>
      </c>
      <c r="E703">
        <v>22.56</v>
      </c>
      <c r="F703">
        <v>0</v>
      </c>
      <c r="G703">
        <f t="shared" si="30"/>
        <v>67.679999999999993</v>
      </c>
      <c r="H703" t="str">
        <f>_xlfn.XLOOKUP(B703,customer_orders!A:A,customer_orders!F:F)</f>
        <v>2026-03</v>
      </c>
      <c r="I703" t="str">
        <f>_xlfn.XLOOKUP(C703,products!A:A,products!B:B)</f>
        <v>SKU-0003</v>
      </c>
      <c r="J703" t="str">
        <f>_xlfn.XLOOKUP(B703,customer_orders!A:A,customer_orders!G:G)</f>
        <v>2026-w12</v>
      </c>
      <c r="K703">
        <f>IFERROR(_xlfn.XLOOKUP(B703,shipments!B:B,shipments!H:H),0)</f>
        <v>102.83</v>
      </c>
      <c r="L703">
        <f t="shared" si="31"/>
        <v>1.52</v>
      </c>
      <c r="M703" t="str">
        <f>_xlfn.XLOOKUP(B703,customer_orders!A:A,customer_orders!D:D)</f>
        <v>Ebay</v>
      </c>
      <c r="N703" t="str">
        <f>_xlfn.XLOOKUP(C703,inventory!B:B,inventory!C:C)</f>
        <v>South Jordan</v>
      </c>
      <c r="O703">
        <f>IF(_xlfn.XLOOKUP(C703,products!A:A,products!E:E)="NULL",0,_xlfn.XLOOKUP(C703,products!A:A,products!E:E))</f>
        <v>93.44</v>
      </c>
      <c r="P703">
        <f t="shared" si="32"/>
        <v>-25.760000000000005</v>
      </c>
      <c r="Q703" s="2" t="str">
        <f>_xlfn.XLOOKUP(I703,products!B:B,products!D:D)</f>
        <v>Beauty</v>
      </c>
    </row>
    <row r="704" spans="1:17">
      <c r="A704">
        <v>703</v>
      </c>
      <c r="B704">
        <v>1284</v>
      </c>
      <c r="C704">
        <v>109</v>
      </c>
      <c r="D704">
        <v>6</v>
      </c>
      <c r="E704">
        <v>257.52</v>
      </c>
      <c r="F704">
        <v>0</v>
      </c>
      <c r="G704">
        <f t="shared" si="30"/>
        <v>1545.12</v>
      </c>
      <c r="H704" t="str">
        <f>_xlfn.XLOOKUP(B704,customer_orders!A:A,customer_orders!F:F)</f>
        <v>2026-03</v>
      </c>
      <c r="I704" t="str">
        <f>_xlfn.XLOOKUP(C704,products!A:A,products!B:B)</f>
        <v>SKU-0109</v>
      </c>
      <c r="J704" t="str">
        <f>_xlfn.XLOOKUP(B704,customer_orders!A:A,customer_orders!G:G)</f>
        <v>2026-w12</v>
      </c>
      <c r="K704">
        <f>IFERROR(_xlfn.XLOOKUP(B704,shipments!B:B,shipments!H:H),0)</f>
        <v>102.83</v>
      </c>
      <c r="L704">
        <f t="shared" si="31"/>
        <v>7.0000000000000007E-2</v>
      </c>
      <c r="M704" t="str">
        <f>_xlfn.XLOOKUP(B704,customer_orders!A:A,customer_orders!D:D)</f>
        <v>Ebay</v>
      </c>
      <c r="N704" t="str">
        <f>_xlfn.XLOOKUP(C704,inventory!B:B,inventory!C:C)</f>
        <v>Draper</v>
      </c>
      <c r="O704">
        <f>IF(_xlfn.XLOOKUP(C704,products!A:A,products!E:E)="NULL",0,_xlfn.XLOOKUP(C704,products!A:A,products!E:E))</f>
        <v>10.02</v>
      </c>
      <c r="P704">
        <f t="shared" si="32"/>
        <v>1535.1</v>
      </c>
      <c r="Q704" s="2" t="str">
        <f>_xlfn.XLOOKUP(I704,products!B:B,products!D:D)</f>
        <v>Office</v>
      </c>
    </row>
    <row r="705" spans="1:17">
      <c r="A705">
        <v>704</v>
      </c>
      <c r="B705">
        <v>1284</v>
      </c>
      <c r="C705">
        <v>52</v>
      </c>
      <c r="D705">
        <v>2</v>
      </c>
      <c r="E705">
        <v>59.3</v>
      </c>
      <c r="F705">
        <v>5.78</v>
      </c>
      <c r="G705">
        <f t="shared" si="30"/>
        <v>112.82</v>
      </c>
      <c r="H705" t="str">
        <f>_xlfn.XLOOKUP(B705,customer_orders!A:A,customer_orders!F:F)</f>
        <v>2026-03</v>
      </c>
      <c r="I705" t="str">
        <f>_xlfn.XLOOKUP(C705,products!A:A,products!B:B)</f>
        <v>SKU-0052</v>
      </c>
      <c r="J705" t="str">
        <f>_xlfn.XLOOKUP(B705,customer_orders!A:A,customer_orders!G:G)</f>
        <v>2026-w12</v>
      </c>
      <c r="K705">
        <f>IFERROR(_xlfn.XLOOKUP(B705,shipments!B:B,shipments!H:H),0)</f>
        <v>102.83</v>
      </c>
      <c r="L705">
        <f t="shared" si="31"/>
        <v>0.91</v>
      </c>
      <c r="M705" t="str">
        <f>_xlfn.XLOOKUP(B705,customer_orders!A:A,customer_orders!D:D)</f>
        <v>Ebay</v>
      </c>
      <c r="N705" t="str">
        <f>_xlfn.XLOOKUP(C705,inventory!B:B,inventory!C:C)</f>
        <v>Lehi</v>
      </c>
      <c r="O705">
        <f>IF(_xlfn.XLOOKUP(C705,products!A:A,products!E:E)="NULL",0,_xlfn.XLOOKUP(C705,products!A:A,products!E:E))</f>
        <v>134.91999999999999</v>
      </c>
      <c r="P705">
        <f t="shared" si="32"/>
        <v>-22.099999999999994</v>
      </c>
      <c r="Q705" s="2" t="str">
        <f>_xlfn.XLOOKUP(I705,products!B:B,products!D:D)</f>
        <v>Home</v>
      </c>
    </row>
    <row r="706" spans="1:17">
      <c r="A706">
        <v>705</v>
      </c>
      <c r="B706">
        <v>1285</v>
      </c>
      <c r="C706">
        <v>127</v>
      </c>
      <c r="D706">
        <v>4</v>
      </c>
      <c r="E706">
        <v>38.14</v>
      </c>
      <c r="F706">
        <v>0</v>
      </c>
      <c r="G706">
        <f t="shared" si="30"/>
        <v>152.56</v>
      </c>
      <c r="H706" t="str">
        <f>_xlfn.XLOOKUP(B706,customer_orders!A:A,customer_orders!F:F)</f>
        <v>2026-03</v>
      </c>
      <c r="I706" t="str">
        <f>_xlfn.XLOOKUP(C706,products!A:A,products!B:B)</f>
        <v>SKU-0127</v>
      </c>
      <c r="J706" t="str">
        <f>_xlfn.XLOOKUP(B706,customer_orders!A:A,customer_orders!G:G)</f>
        <v>2026-w13</v>
      </c>
      <c r="K706">
        <f>IFERROR(_xlfn.XLOOKUP(B706,shipments!B:B,shipments!H:H),0)</f>
        <v>28.72</v>
      </c>
      <c r="L706">
        <f t="shared" si="31"/>
        <v>0.19</v>
      </c>
      <c r="M706" t="str">
        <f>_xlfn.XLOOKUP(B706,customer_orders!A:A,customer_orders!D:D)</f>
        <v>Amazon</v>
      </c>
      <c r="N706" t="str">
        <f>_xlfn.XLOOKUP(C706,inventory!B:B,inventory!C:C)</f>
        <v>South Jordan</v>
      </c>
      <c r="O706">
        <f>IF(_xlfn.XLOOKUP(C706,products!A:A,products!E:E)="NULL",0,_xlfn.XLOOKUP(C706,products!A:A,products!E:E))</f>
        <v>51.31</v>
      </c>
      <c r="P706">
        <f t="shared" si="32"/>
        <v>101.25</v>
      </c>
      <c r="Q706" s="2" t="str">
        <f>_xlfn.XLOOKUP(I706,products!B:B,products!D:D)</f>
        <v>Beauty</v>
      </c>
    </row>
    <row r="707" spans="1:17">
      <c r="A707">
        <v>706</v>
      </c>
      <c r="B707">
        <v>1286</v>
      </c>
      <c r="C707">
        <v>19</v>
      </c>
      <c r="D707">
        <v>6</v>
      </c>
      <c r="E707">
        <v>298.89</v>
      </c>
      <c r="F707">
        <v>0</v>
      </c>
      <c r="G707">
        <f t="shared" ref="G707:G770" si="33">E707*D707-F707</f>
        <v>1793.34</v>
      </c>
      <c r="H707" t="str">
        <f>_xlfn.XLOOKUP(B707,customer_orders!A:A,customer_orders!F:F)</f>
        <v>2026-04</v>
      </c>
      <c r="I707" t="str">
        <f>_xlfn.XLOOKUP(C707,products!A:A,products!B:B)</f>
        <v>SKU-0019</v>
      </c>
      <c r="J707" t="str">
        <f>_xlfn.XLOOKUP(B707,customer_orders!A:A,customer_orders!G:G)</f>
        <v>2026-w16</v>
      </c>
      <c r="K707">
        <f>IFERROR(_xlfn.XLOOKUP(B707,shipments!B:B,shipments!H:H),0)</f>
        <v>26.55</v>
      </c>
      <c r="L707">
        <f t="shared" ref="L707:L770" si="34">ROUND(K707/G707,2)</f>
        <v>0.01</v>
      </c>
      <c r="M707" t="str">
        <f>_xlfn.XLOOKUP(B707,customer_orders!A:A,customer_orders!D:D)</f>
        <v>Amazon</v>
      </c>
      <c r="N707" t="str">
        <f>_xlfn.XLOOKUP(C707,inventory!B:B,inventory!C:C)</f>
        <v>South Jordan</v>
      </c>
      <c r="O707">
        <f>IF(_xlfn.XLOOKUP(C707,products!A:A,products!E:E)="NULL",0,_xlfn.XLOOKUP(C707,products!A:A,products!E:E))</f>
        <v>71.78</v>
      </c>
      <c r="P707">
        <f t="shared" ref="P707:P770" si="35">G707-O707</f>
        <v>1721.56</v>
      </c>
      <c r="Q707" s="2" t="str">
        <f>_xlfn.XLOOKUP(I707,products!B:B,products!D:D)</f>
        <v>Home</v>
      </c>
    </row>
    <row r="708" spans="1:17">
      <c r="A708">
        <v>707</v>
      </c>
      <c r="B708">
        <v>1287</v>
      </c>
      <c r="C708">
        <v>68</v>
      </c>
      <c r="D708">
        <v>3</v>
      </c>
      <c r="E708">
        <v>138.85</v>
      </c>
      <c r="F708">
        <v>0</v>
      </c>
      <c r="G708">
        <f t="shared" si="33"/>
        <v>416.54999999999995</v>
      </c>
      <c r="H708" t="str">
        <f>_xlfn.XLOOKUP(B708,customer_orders!A:A,customer_orders!F:F)</f>
        <v>2026-02</v>
      </c>
      <c r="I708" t="str">
        <f>_xlfn.XLOOKUP(C708,products!A:A,products!B:B)</f>
        <v>SKU-0068</v>
      </c>
      <c r="J708" t="str">
        <f>_xlfn.XLOOKUP(B708,customer_orders!A:A,customer_orders!G:G)</f>
        <v>2026-w08</v>
      </c>
      <c r="K708">
        <f>IFERROR(_xlfn.XLOOKUP(B708,shipments!B:B,shipments!H:H),0)</f>
        <v>47.96</v>
      </c>
      <c r="L708">
        <f t="shared" si="34"/>
        <v>0.12</v>
      </c>
      <c r="M708" t="str">
        <f>_xlfn.XLOOKUP(B708,customer_orders!A:A,customer_orders!D:D)</f>
        <v>Ebay</v>
      </c>
      <c r="N708" t="str">
        <f>_xlfn.XLOOKUP(C708,inventory!B:B,inventory!C:C)</f>
        <v>West Valley</v>
      </c>
      <c r="O708">
        <f>IF(_xlfn.XLOOKUP(C708,products!A:A,products!E:E)="NULL",0,_xlfn.XLOOKUP(C708,products!A:A,products!E:E))</f>
        <v>23.97</v>
      </c>
      <c r="P708">
        <f t="shared" si="35"/>
        <v>392.57999999999993</v>
      </c>
      <c r="Q708" s="2" t="str">
        <f>_xlfn.XLOOKUP(I708,products!B:B,products!D:D)</f>
        <v>Sports</v>
      </c>
    </row>
    <row r="709" spans="1:17">
      <c r="A709">
        <v>708</v>
      </c>
      <c r="B709">
        <v>1287</v>
      </c>
      <c r="C709">
        <v>46</v>
      </c>
      <c r="D709">
        <v>4</v>
      </c>
      <c r="E709">
        <v>219.11</v>
      </c>
      <c r="F709">
        <v>0</v>
      </c>
      <c r="G709">
        <f t="shared" si="33"/>
        <v>876.44</v>
      </c>
      <c r="H709" t="str">
        <f>_xlfn.XLOOKUP(B709,customer_orders!A:A,customer_orders!F:F)</f>
        <v>2026-02</v>
      </c>
      <c r="I709" t="str">
        <f>_xlfn.XLOOKUP(C709,products!A:A,products!B:B)</f>
        <v>SKU-0046</v>
      </c>
      <c r="J709" t="str">
        <f>_xlfn.XLOOKUP(B709,customer_orders!A:A,customer_orders!G:G)</f>
        <v>2026-w08</v>
      </c>
      <c r="K709">
        <f>IFERROR(_xlfn.XLOOKUP(B709,shipments!B:B,shipments!H:H),0)</f>
        <v>47.96</v>
      </c>
      <c r="L709">
        <f t="shared" si="34"/>
        <v>0.05</v>
      </c>
      <c r="M709" t="str">
        <f>_xlfn.XLOOKUP(B709,customer_orders!A:A,customer_orders!D:D)</f>
        <v>Ebay</v>
      </c>
      <c r="N709" t="str">
        <f>_xlfn.XLOOKUP(C709,inventory!B:B,inventory!C:C)</f>
        <v>Unknown</v>
      </c>
      <c r="O709">
        <f>IF(_xlfn.XLOOKUP(C709,products!A:A,products!E:E)="NULL",0,_xlfn.XLOOKUP(C709,products!A:A,products!E:E))</f>
        <v>40.75</v>
      </c>
      <c r="P709">
        <f t="shared" si="35"/>
        <v>835.69</v>
      </c>
      <c r="Q709" s="2" t="str">
        <f>_xlfn.XLOOKUP(I709,products!B:B,products!D:D)</f>
        <v>Kitchen</v>
      </c>
    </row>
    <row r="710" spans="1:17">
      <c r="A710">
        <v>709</v>
      </c>
      <c r="B710">
        <v>1288</v>
      </c>
      <c r="C710">
        <v>44</v>
      </c>
      <c r="D710">
        <v>7</v>
      </c>
      <c r="E710">
        <v>34.369999999999997</v>
      </c>
      <c r="F710">
        <v>0</v>
      </c>
      <c r="G710">
        <f t="shared" si="33"/>
        <v>240.58999999999997</v>
      </c>
      <c r="H710" t="str">
        <f>_xlfn.XLOOKUP(B710,customer_orders!A:A,customer_orders!F:F)</f>
        <v>2026-03</v>
      </c>
      <c r="I710" t="str">
        <f>_xlfn.XLOOKUP(C710,products!A:A,products!B:B)</f>
        <v>SKU-0044</v>
      </c>
      <c r="J710" t="str">
        <f>_xlfn.XLOOKUP(B710,customer_orders!A:A,customer_orders!G:G)</f>
        <v>2026-w12</v>
      </c>
      <c r="K710">
        <f>IFERROR(_xlfn.XLOOKUP(B710,shipments!B:B,shipments!H:H),0)</f>
        <v>117.33</v>
      </c>
      <c r="L710">
        <f t="shared" si="34"/>
        <v>0.49</v>
      </c>
      <c r="M710" t="str">
        <f>_xlfn.XLOOKUP(B710,customer_orders!A:A,customer_orders!D:D)</f>
        <v>Shopify</v>
      </c>
      <c r="N710" t="str">
        <f>_xlfn.XLOOKUP(C710,inventory!B:B,inventory!C:C)</f>
        <v>West Valley</v>
      </c>
      <c r="O710">
        <f>IF(_xlfn.XLOOKUP(C710,products!A:A,products!E:E)="NULL",0,_xlfn.XLOOKUP(C710,products!A:A,products!E:E))</f>
        <v>16.989999999999998</v>
      </c>
      <c r="P710">
        <f t="shared" si="35"/>
        <v>223.59999999999997</v>
      </c>
      <c r="Q710" s="2" t="str">
        <f>_xlfn.XLOOKUP(I710,products!B:B,products!D:D)</f>
        <v>Home</v>
      </c>
    </row>
    <row r="711" spans="1:17">
      <c r="A711">
        <v>710</v>
      </c>
      <c r="B711">
        <v>1288</v>
      </c>
      <c r="C711">
        <v>31</v>
      </c>
      <c r="D711">
        <v>3</v>
      </c>
      <c r="E711">
        <v>35.19</v>
      </c>
      <c r="F711">
        <v>0</v>
      </c>
      <c r="G711">
        <f t="shared" si="33"/>
        <v>105.57</v>
      </c>
      <c r="H711" t="str">
        <f>_xlfn.XLOOKUP(B711,customer_orders!A:A,customer_orders!F:F)</f>
        <v>2026-03</v>
      </c>
      <c r="I711" t="str">
        <f>_xlfn.XLOOKUP(C711,products!A:A,products!B:B)</f>
        <v>SKU-0031</v>
      </c>
      <c r="J711" t="str">
        <f>_xlfn.XLOOKUP(B711,customer_orders!A:A,customer_orders!G:G)</f>
        <v>2026-w12</v>
      </c>
      <c r="K711">
        <f>IFERROR(_xlfn.XLOOKUP(B711,shipments!B:B,shipments!H:H),0)</f>
        <v>117.33</v>
      </c>
      <c r="L711">
        <f t="shared" si="34"/>
        <v>1.1100000000000001</v>
      </c>
      <c r="M711" t="str">
        <f>_xlfn.XLOOKUP(B711,customer_orders!A:A,customer_orders!D:D)</f>
        <v>Shopify</v>
      </c>
      <c r="N711" t="str">
        <f>_xlfn.XLOOKUP(C711,inventory!B:B,inventory!C:C)</f>
        <v>Salt Lake City</v>
      </c>
      <c r="O711">
        <f>IF(_xlfn.XLOOKUP(C711,products!A:A,products!E:E)="NULL",0,_xlfn.XLOOKUP(C711,products!A:A,products!E:E))</f>
        <v>155.44</v>
      </c>
      <c r="P711">
        <f t="shared" si="35"/>
        <v>-49.870000000000005</v>
      </c>
      <c r="Q711" s="2" t="str">
        <f>_xlfn.XLOOKUP(I711,products!B:B,products!D:D)</f>
        <v>Home</v>
      </c>
    </row>
    <row r="712" spans="1:17">
      <c r="A712">
        <v>711</v>
      </c>
      <c r="B712">
        <v>1288</v>
      </c>
      <c r="C712">
        <v>49</v>
      </c>
      <c r="D712">
        <v>4</v>
      </c>
      <c r="E712">
        <v>280.98</v>
      </c>
      <c r="F712">
        <v>0</v>
      </c>
      <c r="G712">
        <f t="shared" si="33"/>
        <v>1123.92</v>
      </c>
      <c r="H712" t="str">
        <f>_xlfn.XLOOKUP(B712,customer_orders!A:A,customer_orders!F:F)</f>
        <v>2026-03</v>
      </c>
      <c r="I712" t="str">
        <f>_xlfn.XLOOKUP(C712,products!A:A,products!B:B)</f>
        <v>SKU-0049</v>
      </c>
      <c r="J712" t="str">
        <f>_xlfn.XLOOKUP(B712,customer_orders!A:A,customer_orders!G:G)</f>
        <v>2026-w12</v>
      </c>
      <c r="K712">
        <f>IFERROR(_xlfn.XLOOKUP(B712,shipments!B:B,shipments!H:H),0)</f>
        <v>117.33</v>
      </c>
      <c r="L712">
        <f t="shared" si="34"/>
        <v>0.1</v>
      </c>
      <c r="M712" t="str">
        <f>_xlfn.XLOOKUP(B712,customer_orders!A:A,customer_orders!D:D)</f>
        <v>Shopify</v>
      </c>
      <c r="N712" t="str">
        <f>_xlfn.XLOOKUP(C712,inventory!B:B,inventory!C:C)</f>
        <v>Salt Lake City</v>
      </c>
      <c r="O712">
        <f>IF(_xlfn.XLOOKUP(C712,products!A:A,products!E:E)="NULL",0,_xlfn.XLOOKUP(C712,products!A:A,products!E:E))</f>
        <v>51.41</v>
      </c>
      <c r="P712">
        <f t="shared" si="35"/>
        <v>1072.51</v>
      </c>
      <c r="Q712" s="2" t="str">
        <f>_xlfn.XLOOKUP(I712,products!B:B,products!D:D)</f>
        <v>Beauty</v>
      </c>
    </row>
    <row r="713" spans="1:17">
      <c r="A713">
        <v>712</v>
      </c>
      <c r="B713">
        <v>1289</v>
      </c>
      <c r="C713">
        <v>72</v>
      </c>
      <c r="D713">
        <v>3</v>
      </c>
      <c r="E713">
        <v>205.06</v>
      </c>
      <c r="F713">
        <v>12.92</v>
      </c>
      <c r="G713">
        <f t="shared" si="33"/>
        <v>602.2600000000001</v>
      </c>
      <c r="H713" t="str">
        <f>_xlfn.XLOOKUP(B713,customer_orders!A:A,customer_orders!F:F)</f>
        <v>2026-03</v>
      </c>
      <c r="I713" t="str">
        <f>_xlfn.XLOOKUP(C713,products!A:A,products!B:B)</f>
        <v>SKU-0072</v>
      </c>
      <c r="J713" t="str">
        <f>_xlfn.XLOOKUP(B713,customer_orders!A:A,customer_orders!G:G)</f>
        <v>2026-w12</v>
      </c>
      <c r="K713">
        <f>IFERROR(_xlfn.XLOOKUP(B713,shipments!B:B,shipments!H:H),0)</f>
        <v>95.02</v>
      </c>
      <c r="L713">
        <f t="shared" si="34"/>
        <v>0.16</v>
      </c>
      <c r="M713" t="str">
        <f>_xlfn.XLOOKUP(B713,customer_orders!A:A,customer_orders!D:D)</f>
        <v>Ebay</v>
      </c>
      <c r="N713" t="str">
        <f>_xlfn.XLOOKUP(C713,inventory!B:B,inventory!C:C)</f>
        <v>Salt Lake City</v>
      </c>
      <c r="O713">
        <f>IF(_xlfn.XLOOKUP(C713,products!A:A,products!E:E)="NULL",0,_xlfn.XLOOKUP(C713,products!A:A,products!E:E))</f>
        <v>93.75</v>
      </c>
      <c r="P713">
        <f t="shared" si="35"/>
        <v>508.5100000000001</v>
      </c>
      <c r="Q713" s="2" t="str">
        <f>_xlfn.XLOOKUP(I713,products!B:B,products!D:D)</f>
        <v>Home</v>
      </c>
    </row>
    <row r="714" spans="1:17">
      <c r="A714">
        <v>713</v>
      </c>
      <c r="B714">
        <v>1290</v>
      </c>
      <c r="C714">
        <v>128</v>
      </c>
      <c r="D714">
        <v>8</v>
      </c>
      <c r="E714">
        <v>143.38999999999999</v>
      </c>
      <c r="F714">
        <v>0</v>
      </c>
      <c r="G714">
        <f t="shared" si="33"/>
        <v>1147.1199999999999</v>
      </c>
      <c r="H714" t="str">
        <f>_xlfn.XLOOKUP(B714,customer_orders!A:A,customer_orders!F:F)</f>
        <v>2026-05</v>
      </c>
      <c r="I714" t="str">
        <f>_xlfn.XLOOKUP(C714,products!A:A,products!B:B)</f>
        <v>SKU-0128</v>
      </c>
      <c r="J714" t="str">
        <f>_xlfn.XLOOKUP(B714,customer_orders!A:A,customer_orders!G:G)</f>
        <v>2026-w20</v>
      </c>
      <c r="K714">
        <f>IFERROR(_xlfn.XLOOKUP(B714,shipments!B:B,shipments!H:H),0)</f>
        <v>56.44</v>
      </c>
      <c r="L714">
        <f t="shared" si="34"/>
        <v>0.05</v>
      </c>
      <c r="M714" t="str">
        <f>_xlfn.XLOOKUP(B714,customer_orders!A:A,customer_orders!D:D)</f>
        <v>Shopify</v>
      </c>
      <c r="N714" t="str">
        <f>_xlfn.XLOOKUP(C714,inventory!B:B,inventory!C:C)</f>
        <v>West Valley</v>
      </c>
      <c r="O714">
        <f>IF(_xlfn.XLOOKUP(C714,products!A:A,products!E:E)="NULL",0,_xlfn.XLOOKUP(C714,products!A:A,products!E:E))</f>
        <v>5.47</v>
      </c>
      <c r="P714">
        <f t="shared" si="35"/>
        <v>1141.6499999999999</v>
      </c>
      <c r="Q714" s="2" t="str">
        <f>_xlfn.XLOOKUP(I714,products!B:B,products!D:D)</f>
        <v>Home</v>
      </c>
    </row>
    <row r="715" spans="1:17">
      <c r="A715">
        <v>714</v>
      </c>
      <c r="B715">
        <v>1290</v>
      </c>
      <c r="C715">
        <v>135</v>
      </c>
      <c r="D715">
        <v>8</v>
      </c>
      <c r="E715">
        <v>41.03</v>
      </c>
      <c r="F715">
        <v>11.02</v>
      </c>
      <c r="G715">
        <f t="shared" si="33"/>
        <v>317.22000000000003</v>
      </c>
      <c r="H715" t="str">
        <f>_xlfn.XLOOKUP(B715,customer_orders!A:A,customer_orders!F:F)</f>
        <v>2026-05</v>
      </c>
      <c r="I715" t="str">
        <f>_xlfn.XLOOKUP(C715,products!A:A,products!B:B)</f>
        <v>SKU-0135</v>
      </c>
      <c r="J715" t="str">
        <f>_xlfn.XLOOKUP(B715,customer_orders!A:A,customer_orders!G:G)</f>
        <v>2026-w20</v>
      </c>
      <c r="K715">
        <f>IFERROR(_xlfn.XLOOKUP(B715,shipments!B:B,shipments!H:H),0)</f>
        <v>56.44</v>
      </c>
      <c r="L715">
        <f t="shared" si="34"/>
        <v>0.18</v>
      </c>
      <c r="M715" t="str">
        <f>_xlfn.XLOOKUP(B715,customer_orders!A:A,customer_orders!D:D)</f>
        <v>Shopify</v>
      </c>
      <c r="N715" t="str">
        <f>_xlfn.XLOOKUP(C715,inventory!B:B,inventory!C:C)</f>
        <v>Lehi</v>
      </c>
      <c r="O715">
        <f>IF(_xlfn.XLOOKUP(C715,products!A:A,products!E:E)="NULL",0,_xlfn.XLOOKUP(C715,products!A:A,products!E:E))</f>
        <v>48.81</v>
      </c>
      <c r="P715">
        <f t="shared" si="35"/>
        <v>268.41000000000003</v>
      </c>
      <c r="Q715" s="2" t="str">
        <f>_xlfn.XLOOKUP(I715,products!B:B,products!D:D)</f>
        <v>Kitchen</v>
      </c>
    </row>
    <row r="716" spans="1:17">
      <c r="A716">
        <v>715</v>
      </c>
      <c r="B716">
        <v>1290</v>
      </c>
      <c r="C716">
        <v>122</v>
      </c>
      <c r="D716">
        <v>5</v>
      </c>
      <c r="E716">
        <v>151.15</v>
      </c>
      <c r="F716">
        <v>0</v>
      </c>
      <c r="G716">
        <f t="shared" si="33"/>
        <v>755.75</v>
      </c>
      <c r="H716" t="str">
        <f>_xlfn.XLOOKUP(B716,customer_orders!A:A,customer_orders!F:F)</f>
        <v>2026-05</v>
      </c>
      <c r="I716" t="str">
        <f>_xlfn.XLOOKUP(C716,products!A:A,products!B:B)</f>
        <v>SKU-0122</v>
      </c>
      <c r="J716" t="str">
        <f>_xlfn.XLOOKUP(B716,customer_orders!A:A,customer_orders!G:G)</f>
        <v>2026-w20</v>
      </c>
      <c r="K716">
        <f>IFERROR(_xlfn.XLOOKUP(B716,shipments!B:B,shipments!H:H),0)</f>
        <v>56.44</v>
      </c>
      <c r="L716">
        <f t="shared" si="34"/>
        <v>7.0000000000000007E-2</v>
      </c>
      <c r="M716" t="str">
        <f>_xlfn.XLOOKUP(B716,customer_orders!A:A,customer_orders!D:D)</f>
        <v>Shopify</v>
      </c>
      <c r="N716" t="str">
        <f>_xlfn.XLOOKUP(C716,inventory!B:B,inventory!C:C)</f>
        <v>South Jordan</v>
      </c>
      <c r="O716">
        <f>IF(_xlfn.XLOOKUP(C716,products!A:A,products!E:E)="NULL",0,_xlfn.XLOOKUP(C716,products!A:A,products!E:E))</f>
        <v>169.69</v>
      </c>
      <c r="P716">
        <f t="shared" si="35"/>
        <v>586.05999999999995</v>
      </c>
      <c r="Q716" s="2" t="str">
        <f>_xlfn.XLOOKUP(I716,products!B:B,products!D:D)</f>
        <v>Electronics</v>
      </c>
    </row>
    <row r="717" spans="1:17">
      <c r="A717">
        <v>716</v>
      </c>
      <c r="B717">
        <v>1291</v>
      </c>
      <c r="C717">
        <v>141</v>
      </c>
      <c r="D717">
        <v>2</v>
      </c>
      <c r="E717">
        <v>15.33</v>
      </c>
      <c r="F717">
        <v>0</v>
      </c>
      <c r="G717">
        <f t="shared" si="33"/>
        <v>30.66</v>
      </c>
      <c r="H717" t="str">
        <f>_xlfn.XLOOKUP(B717,customer_orders!A:A,customer_orders!F:F)</f>
        <v>2026-04</v>
      </c>
      <c r="I717" t="str">
        <f>_xlfn.XLOOKUP(C717,products!A:A,products!B:B)</f>
        <v>SKU-0141</v>
      </c>
      <c r="J717" t="str">
        <f>_xlfn.XLOOKUP(B717,customer_orders!A:A,customer_orders!G:G)</f>
        <v>2026-w15</v>
      </c>
      <c r="K717">
        <f>IFERROR(_xlfn.XLOOKUP(B717,shipments!B:B,shipments!H:H),0)</f>
        <v>54.17</v>
      </c>
      <c r="L717">
        <f t="shared" si="34"/>
        <v>1.77</v>
      </c>
      <c r="M717" t="str">
        <f>_xlfn.XLOOKUP(B717,customer_orders!A:A,customer_orders!D:D)</f>
        <v>Shopify</v>
      </c>
      <c r="N717" t="str">
        <f>_xlfn.XLOOKUP(C717,inventory!B:B,inventory!C:C)</f>
        <v>Unknown</v>
      </c>
      <c r="O717">
        <f>IF(_xlfn.XLOOKUP(C717,products!A:A,products!E:E)="NULL",0,_xlfn.XLOOKUP(C717,products!A:A,products!E:E))</f>
        <v>149.36000000000001</v>
      </c>
      <c r="P717">
        <f t="shared" si="35"/>
        <v>-118.70000000000002</v>
      </c>
      <c r="Q717" s="2" t="str">
        <f>_xlfn.XLOOKUP(I717,products!B:B,products!D:D)</f>
        <v>Office</v>
      </c>
    </row>
    <row r="718" spans="1:17">
      <c r="A718">
        <v>717</v>
      </c>
      <c r="B718">
        <v>1291</v>
      </c>
      <c r="C718">
        <v>76</v>
      </c>
      <c r="D718">
        <v>8</v>
      </c>
      <c r="E718">
        <v>160.68</v>
      </c>
      <c r="F718">
        <v>0</v>
      </c>
      <c r="G718">
        <f t="shared" si="33"/>
        <v>1285.44</v>
      </c>
      <c r="H718" t="str">
        <f>_xlfn.XLOOKUP(B718,customer_orders!A:A,customer_orders!F:F)</f>
        <v>2026-04</v>
      </c>
      <c r="I718" t="str">
        <f>_xlfn.XLOOKUP(C718,products!A:A,products!B:B)</f>
        <v>SKU-0076</v>
      </c>
      <c r="J718" t="str">
        <f>_xlfn.XLOOKUP(B718,customer_orders!A:A,customer_orders!G:G)</f>
        <v>2026-w15</v>
      </c>
      <c r="K718">
        <f>IFERROR(_xlfn.XLOOKUP(B718,shipments!B:B,shipments!H:H),0)</f>
        <v>54.17</v>
      </c>
      <c r="L718">
        <f t="shared" si="34"/>
        <v>0.04</v>
      </c>
      <c r="M718" t="str">
        <f>_xlfn.XLOOKUP(B718,customer_orders!A:A,customer_orders!D:D)</f>
        <v>Shopify</v>
      </c>
      <c r="N718" t="str">
        <f>_xlfn.XLOOKUP(C718,inventory!B:B,inventory!C:C)</f>
        <v>South Jordan</v>
      </c>
      <c r="O718">
        <f>IF(_xlfn.XLOOKUP(C718,products!A:A,products!E:E)="NULL",0,_xlfn.XLOOKUP(C718,products!A:A,products!E:E))</f>
        <v>123.23</v>
      </c>
      <c r="P718">
        <f t="shared" si="35"/>
        <v>1162.21</v>
      </c>
      <c r="Q718" s="2" t="str">
        <f>_xlfn.XLOOKUP(I718,products!B:B,products!D:D)</f>
        <v>Pet</v>
      </c>
    </row>
    <row r="719" spans="1:17">
      <c r="A719">
        <v>718</v>
      </c>
      <c r="B719">
        <v>1291</v>
      </c>
      <c r="C719">
        <v>150</v>
      </c>
      <c r="D719">
        <v>1</v>
      </c>
      <c r="E719">
        <v>100.09</v>
      </c>
      <c r="F719">
        <v>0</v>
      </c>
      <c r="G719">
        <f t="shared" si="33"/>
        <v>100.09</v>
      </c>
      <c r="H719" t="str">
        <f>_xlfn.XLOOKUP(B719,customer_orders!A:A,customer_orders!F:F)</f>
        <v>2026-04</v>
      </c>
      <c r="I719" t="str">
        <f>_xlfn.XLOOKUP(C719,products!A:A,products!B:B)</f>
        <v>SKU-0150</v>
      </c>
      <c r="J719" t="str">
        <f>_xlfn.XLOOKUP(B719,customer_orders!A:A,customer_orders!G:G)</f>
        <v>2026-w15</v>
      </c>
      <c r="K719">
        <f>IFERROR(_xlfn.XLOOKUP(B719,shipments!B:B,shipments!H:H),0)</f>
        <v>54.17</v>
      </c>
      <c r="L719">
        <f t="shared" si="34"/>
        <v>0.54</v>
      </c>
      <c r="M719" t="str">
        <f>_xlfn.XLOOKUP(B719,customer_orders!A:A,customer_orders!D:D)</f>
        <v>Shopify</v>
      </c>
      <c r="N719" t="str">
        <f>_xlfn.XLOOKUP(C719,inventory!B:B,inventory!C:C)</f>
        <v>South Jordan</v>
      </c>
      <c r="O719">
        <f>IF(_xlfn.XLOOKUP(C719,products!A:A,products!E:E)="NULL",0,_xlfn.XLOOKUP(C719,products!A:A,products!E:E))</f>
        <v>54.5</v>
      </c>
      <c r="P719">
        <f t="shared" si="35"/>
        <v>45.59</v>
      </c>
      <c r="Q719" s="2" t="str">
        <f>_xlfn.XLOOKUP(I719,products!B:B,products!D:D)</f>
        <v>Sports</v>
      </c>
    </row>
    <row r="720" spans="1:17">
      <c r="A720">
        <v>719</v>
      </c>
      <c r="B720">
        <v>1292</v>
      </c>
      <c r="C720">
        <v>68</v>
      </c>
      <c r="D720">
        <v>2</v>
      </c>
      <c r="E720">
        <v>138.85</v>
      </c>
      <c r="F720">
        <v>0</v>
      </c>
      <c r="G720">
        <f t="shared" si="33"/>
        <v>277.7</v>
      </c>
      <c r="H720" t="str">
        <f>_xlfn.XLOOKUP(B720,customer_orders!A:A,customer_orders!F:F)</f>
        <v>2026-04</v>
      </c>
      <c r="I720" t="str">
        <f>_xlfn.XLOOKUP(C720,products!A:A,products!B:B)</f>
        <v>SKU-0068</v>
      </c>
      <c r="J720" t="str">
        <f>_xlfn.XLOOKUP(B720,customer_orders!A:A,customer_orders!G:G)</f>
        <v>2026-w15</v>
      </c>
      <c r="K720">
        <f>IFERROR(_xlfn.XLOOKUP(B720,shipments!B:B,shipments!H:H),0)</f>
        <v>45.79</v>
      </c>
      <c r="L720">
        <f t="shared" si="34"/>
        <v>0.16</v>
      </c>
      <c r="M720" t="str">
        <f>_xlfn.XLOOKUP(B720,customer_orders!A:A,customer_orders!D:D)</f>
        <v>Shopify</v>
      </c>
      <c r="N720" t="str">
        <f>_xlfn.XLOOKUP(C720,inventory!B:B,inventory!C:C)</f>
        <v>West Valley</v>
      </c>
      <c r="O720">
        <f>IF(_xlfn.XLOOKUP(C720,products!A:A,products!E:E)="NULL",0,_xlfn.XLOOKUP(C720,products!A:A,products!E:E))</f>
        <v>23.97</v>
      </c>
      <c r="P720">
        <f t="shared" si="35"/>
        <v>253.73</v>
      </c>
      <c r="Q720" s="2" t="str">
        <f>_xlfn.XLOOKUP(I720,products!B:B,products!D:D)</f>
        <v>Sports</v>
      </c>
    </row>
    <row r="721" spans="1:17">
      <c r="A721">
        <v>720</v>
      </c>
      <c r="B721">
        <v>1292</v>
      </c>
      <c r="C721">
        <v>76</v>
      </c>
      <c r="D721">
        <v>2</v>
      </c>
      <c r="E721">
        <v>160.68</v>
      </c>
      <c r="F721">
        <v>0</v>
      </c>
      <c r="G721">
        <f t="shared" si="33"/>
        <v>321.36</v>
      </c>
      <c r="H721" t="str">
        <f>_xlfn.XLOOKUP(B721,customer_orders!A:A,customer_orders!F:F)</f>
        <v>2026-04</v>
      </c>
      <c r="I721" t="str">
        <f>_xlfn.XLOOKUP(C721,products!A:A,products!B:B)</f>
        <v>SKU-0076</v>
      </c>
      <c r="J721" t="str">
        <f>_xlfn.XLOOKUP(B721,customer_orders!A:A,customer_orders!G:G)</f>
        <v>2026-w15</v>
      </c>
      <c r="K721">
        <f>IFERROR(_xlfn.XLOOKUP(B721,shipments!B:B,shipments!H:H),0)</f>
        <v>45.79</v>
      </c>
      <c r="L721">
        <f t="shared" si="34"/>
        <v>0.14000000000000001</v>
      </c>
      <c r="M721" t="str">
        <f>_xlfn.XLOOKUP(B721,customer_orders!A:A,customer_orders!D:D)</f>
        <v>Shopify</v>
      </c>
      <c r="N721" t="str">
        <f>_xlfn.XLOOKUP(C721,inventory!B:B,inventory!C:C)</f>
        <v>South Jordan</v>
      </c>
      <c r="O721">
        <f>IF(_xlfn.XLOOKUP(C721,products!A:A,products!E:E)="NULL",0,_xlfn.XLOOKUP(C721,products!A:A,products!E:E))</f>
        <v>123.23</v>
      </c>
      <c r="P721">
        <f t="shared" si="35"/>
        <v>198.13</v>
      </c>
      <c r="Q721" s="2" t="str">
        <f>_xlfn.XLOOKUP(I721,products!B:B,products!D:D)</f>
        <v>Pet</v>
      </c>
    </row>
    <row r="722" spans="1:17">
      <c r="A722">
        <v>721</v>
      </c>
      <c r="B722">
        <v>1293</v>
      </c>
      <c r="C722">
        <v>49</v>
      </c>
      <c r="D722">
        <v>3</v>
      </c>
      <c r="E722">
        <v>280.98</v>
      </c>
      <c r="F722">
        <v>0</v>
      </c>
      <c r="G722">
        <f t="shared" si="33"/>
        <v>842.94</v>
      </c>
      <c r="H722" t="str">
        <f>_xlfn.XLOOKUP(B722,customer_orders!A:A,customer_orders!F:F)</f>
        <v>2026-03</v>
      </c>
      <c r="I722" t="str">
        <f>_xlfn.XLOOKUP(C722,products!A:A,products!B:B)</f>
        <v>SKU-0049</v>
      </c>
      <c r="J722" t="str">
        <f>_xlfn.XLOOKUP(B722,customer_orders!A:A,customer_orders!G:G)</f>
        <v>2026-w10</v>
      </c>
      <c r="K722">
        <f>IFERROR(_xlfn.XLOOKUP(B722,shipments!B:B,shipments!H:H),0)</f>
        <v>0</v>
      </c>
      <c r="L722">
        <f t="shared" si="34"/>
        <v>0</v>
      </c>
      <c r="M722" t="str">
        <f>_xlfn.XLOOKUP(B722,customer_orders!A:A,customer_orders!D:D)</f>
        <v>Shopify</v>
      </c>
      <c r="N722" t="str">
        <f>_xlfn.XLOOKUP(C722,inventory!B:B,inventory!C:C)</f>
        <v>Salt Lake City</v>
      </c>
      <c r="O722">
        <f>IF(_xlfn.XLOOKUP(C722,products!A:A,products!E:E)="NULL",0,_xlfn.XLOOKUP(C722,products!A:A,products!E:E))</f>
        <v>51.41</v>
      </c>
      <c r="P722">
        <f t="shared" si="35"/>
        <v>791.53000000000009</v>
      </c>
      <c r="Q722" s="2" t="str">
        <f>_xlfn.XLOOKUP(I722,products!B:B,products!D:D)</f>
        <v>Beauty</v>
      </c>
    </row>
    <row r="723" spans="1:17">
      <c r="A723">
        <v>722</v>
      </c>
      <c r="B723">
        <v>1293</v>
      </c>
      <c r="C723">
        <v>3</v>
      </c>
      <c r="D723">
        <v>5</v>
      </c>
      <c r="E723">
        <v>22.56</v>
      </c>
      <c r="F723">
        <v>0</v>
      </c>
      <c r="G723">
        <f t="shared" si="33"/>
        <v>112.8</v>
      </c>
      <c r="H723" t="str">
        <f>_xlfn.XLOOKUP(B723,customer_orders!A:A,customer_orders!F:F)</f>
        <v>2026-03</v>
      </c>
      <c r="I723" t="str">
        <f>_xlfn.XLOOKUP(C723,products!A:A,products!B:B)</f>
        <v>SKU-0003</v>
      </c>
      <c r="J723" t="str">
        <f>_xlfn.XLOOKUP(B723,customer_orders!A:A,customer_orders!G:G)</f>
        <v>2026-w10</v>
      </c>
      <c r="K723">
        <f>IFERROR(_xlfn.XLOOKUP(B723,shipments!B:B,shipments!H:H),0)</f>
        <v>0</v>
      </c>
      <c r="L723">
        <f t="shared" si="34"/>
        <v>0</v>
      </c>
      <c r="M723" t="str">
        <f>_xlfn.XLOOKUP(B723,customer_orders!A:A,customer_orders!D:D)</f>
        <v>Shopify</v>
      </c>
      <c r="N723" t="str">
        <f>_xlfn.XLOOKUP(C723,inventory!B:B,inventory!C:C)</f>
        <v>South Jordan</v>
      </c>
      <c r="O723">
        <f>IF(_xlfn.XLOOKUP(C723,products!A:A,products!E:E)="NULL",0,_xlfn.XLOOKUP(C723,products!A:A,products!E:E))</f>
        <v>93.44</v>
      </c>
      <c r="P723">
        <f t="shared" si="35"/>
        <v>19.36</v>
      </c>
      <c r="Q723" s="2" t="str">
        <f>_xlfn.XLOOKUP(I723,products!B:B,products!D:D)</f>
        <v>Beauty</v>
      </c>
    </row>
    <row r="724" spans="1:17">
      <c r="A724">
        <v>723</v>
      </c>
      <c r="B724">
        <v>1293</v>
      </c>
      <c r="C724">
        <v>104</v>
      </c>
      <c r="D724">
        <v>7</v>
      </c>
      <c r="E724">
        <v>199.55</v>
      </c>
      <c r="F724">
        <v>0</v>
      </c>
      <c r="G724">
        <f t="shared" si="33"/>
        <v>1396.8500000000001</v>
      </c>
      <c r="H724" t="str">
        <f>_xlfn.XLOOKUP(B724,customer_orders!A:A,customer_orders!F:F)</f>
        <v>2026-03</v>
      </c>
      <c r="I724" t="str">
        <f>_xlfn.XLOOKUP(C724,products!A:A,products!B:B)</f>
        <v>SKU-0104</v>
      </c>
      <c r="J724" t="str">
        <f>_xlfn.XLOOKUP(B724,customer_orders!A:A,customer_orders!G:G)</f>
        <v>2026-w10</v>
      </c>
      <c r="K724">
        <f>IFERROR(_xlfn.XLOOKUP(B724,shipments!B:B,shipments!H:H),0)</f>
        <v>0</v>
      </c>
      <c r="L724">
        <f t="shared" si="34"/>
        <v>0</v>
      </c>
      <c r="M724" t="str">
        <f>_xlfn.XLOOKUP(B724,customer_orders!A:A,customer_orders!D:D)</f>
        <v>Shopify</v>
      </c>
      <c r="N724" t="str">
        <f>_xlfn.XLOOKUP(C724,inventory!B:B,inventory!C:C)</f>
        <v>West Valley</v>
      </c>
      <c r="O724">
        <f>IF(_xlfn.XLOOKUP(C724,products!A:A,products!E:E)="NULL",0,_xlfn.XLOOKUP(C724,products!A:A,products!E:E))</f>
        <v>17.07</v>
      </c>
      <c r="P724">
        <f t="shared" si="35"/>
        <v>1379.7800000000002</v>
      </c>
      <c r="Q724" s="2" t="str">
        <f>_xlfn.XLOOKUP(I724,products!B:B,products!D:D)</f>
        <v>Office</v>
      </c>
    </row>
    <row r="725" spans="1:17">
      <c r="A725">
        <v>724</v>
      </c>
      <c r="B725">
        <v>1294</v>
      </c>
      <c r="C725">
        <v>122</v>
      </c>
      <c r="D725">
        <v>4</v>
      </c>
      <c r="E725">
        <v>151.15</v>
      </c>
      <c r="F725">
        <v>8.2200000000000006</v>
      </c>
      <c r="G725">
        <f t="shared" si="33"/>
        <v>596.38</v>
      </c>
      <c r="H725" t="str">
        <f>_xlfn.XLOOKUP(B725,customer_orders!A:A,customer_orders!F:F)</f>
        <v>2026-02</v>
      </c>
      <c r="I725" t="str">
        <f>_xlfn.XLOOKUP(C725,products!A:A,products!B:B)</f>
        <v>SKU-0122</v>
      </c>
      <c r="J725" t="str">
        <f>_xlfn.XLOOKUP(B725,customer_orders!A:A,customer_orders!G:G)</f>
        <v>2026-w07</v>
      </c>
      <c r="K725">
        <f>IFERROR(_xlfn.XLOOKUP(B725,shipments!B:B,shipments!H:H),0)</f>
        <v>28.31</v>
      </c>
      <c r="L725">
        <f t="shared" si="34"/>
        <v>0.05</v>
      </c>
      <c r="M725" t="str">
        <f>_xlfn.XLOOKUP(B725,customer_orders!A:A,customer_orders!D:D)</f>
        <v>Shopify</v>
      </c>
      <c r="N725" t="str">
        <f>_xlfn.XLOOKUP(C725,inventory!B:B,inventory!C:C)</f>
        <v>South Jordan</v>
      </c>
      <c r="O725">
        <f>IF(_xlfn.XLOOKUP(C725,products!A:A,products!E:E)="NULL",0,_xlfn.XLOOKUP(C725,products!A:A,products!E:E))</f>
        <v>169.69</v>
      </c>
      <c r="P725">
        <f t="shared" si="35"/>
        <v>426.69</v>
      </c>
      <c r="Q725" s="2" t="str">
        <f>_xlfn.XLOOKUP(I725,products!B:B,products!D:D)</f>
        <v>Electronics</v>
      </c>
    </row>
    <row r="726" spans="1:17">
      <c r="A726">
        <v>725</v>
      </c>
      <c r="B726">
        <v>1294</v>
      </c>
      <c r="C726">
        <v>119</v>
      </c>
      <c r="D726">
        <v>6</v>
      </c>
      <c r="E726">
        <v>27.97</v>
      </c>
      <c r="F726">
        <v>0</v>
      </c>
      <c r="G726">
        <f t="shared" si="33"/>
        <v>167.82</v>
      </c>
      <c r="H726" t="str">
        <f>_xlfn.XLOOKUP(B726,customer_orders!A:A,customer_orders!F:F)</f>
        <v>2026-02</v>
      </c>
      <c r="I726" t="str">
        <f>_xlfn.XLOOKUP(C726,products!A:A,products!B:B)</f>
        <v>SKU-0119</v>
      </c>
      <c r="J726" t="str">
        <f>_xlfn.XLOOKUP(B726,customer_orders!A:A,customer_orders!G:G)</f>
        <v>2026-w07</v>
      </c>
      <c r="K726">
        <f>IFERROR(_xlfn.XLOOKUP(B726,shipments!B:B,shipments!H:H),0)</f>
        <v>28.31</v>
      </c>
      <c r="L726">
        <f t="shared" si="34"/>
        <v>0.17</v>
      </c>
      <c r="M726" t="str">
        <f>_xlfn.XLOOKUP(B726,customer_orders!A:A,customer_orders!D:D)</f>
        <v>Shopify</v>
      </c>
      <c r="N726" t="str">
        <f>_xlfn.XLOOKUP(C726,inventory!B:B,inventory!C:C)</f>
        <v>Lehi</v>
      </c>
      <c r="O726">
        <f>IF(_xlfn.XLOOKUP(C726,products!A:A,products!E:E)="NULL",0,_xlfn.XLOOKUP(C726,products!A:A,products!E:E))</f>
        <v>27.15</v>
      </c>
      <c r="P726">
        <f t="shared" si="35"/>
        <v>140.66999999999999</v>
      </c>
      <c r="Q726" s="2" t="str">
        <f>_xlfn.XLOOKUP(I726,products!B:B,products!D:D)</f>
        <v>Electronics</v>
      </c>
    </row>
    <row r="727" spans="1:17">
      <c r="A727">
        <v>726</v>
      </c>
      <c r="B727">
        <v>1295</v>
      </c>
      <c r="C727">
        <v>128</v>
      </c>
      <c r="D727">
        <v>6</v>
      </c>
      <c r="E727">
        <v>143.38999999999999</v>
      </c>
      <c r="F727">
        <v>5.76</v>
      </c>
      <c r="G727">
        <f t="shared" si="33"/>
        <v>854.57999999999993</v>
      </c>
      <c r="H727" t="str">
        <f>_xlfn.XLOOKUP(B727,customer_orders!A:A,customer_orders!F:F)</f>
        <v>2026-02</v>
      </c>
      <c r="I727" t="str">
        <f>_xlfn.XLOOKUP(C727,products!A:A,products!B:B)</f>
        <v>SKU-0128</v>
      </c>
      <c r="J727" t="str">
        <f>_xlfn.XLOOKUP(B727,customer_orders!A:A,customer_orders!G:G)</f>
        <v>2026-w06</v>
      </c>
      <c r="K727">
        <f>IFERROR(_xlfn.XLOOKUP(B727,shipments!B:B,shipments!H:H),0)</f>
        <v>92.49</v>
      </c>
      <c r="L727">
        <f t="shared" si="34"/>
        <v>0.11</v>
      </c>
      <c r="M727" t="str">
        <f>_xlfn.XLOOKUP(B727,customer_orders!A:A,customer_orders!D:D)</f>
        <v>Shopify</v>
      </c>
      <c r="N727" t="str">
        <f>_xlfn.XLOOKUP(C727,inventory!B:B,inventory!C:C)</f>
        <v>West Valley</v>
      </c>
      <c r="O727">
        <f>IF(_xlfn.XLOOKUP(C727,products!A:A,products!E:E)="NULL",0,_xlfn.XLOOKUP(C727,products!A:A,products!E:E))</f>
        <v>5.47</v>
      </c>
      <c r="P727">
        <f t="shared" si="35"/>
        <v>849.1099999999999</v>
      </c>
      <c r="Q727" s="2" t="str">
        <f>_xlfn.XLOOKUP(I727,products!B:B,products!D:D)</f>
        <v>Home</v>
      </c>
    </row>
    <row r="728" spans="1:17">
      <c r="A728">
        <v>727</v>
      </c>
      <c r="B728">
        <v>1296</v>
      </c>
      <c r="C728">
        <v>85</v>
      </c>
      <c r="D728">
        <v>7</v>
      </c>
      <c r="E728">
        <v>163.57</v>
      </c>
      <c r="F728">
        <v>0</v>
      </c>
      <c r="G728">
        <f t="shared" si="33"/>
        <v>1144.99</v>
      </c>
      <c r="H728" t="str">
        <f>_xlfn.XLOOKUP(B728,customer_orders!A:A,customer_orders!F:F)</f>
        <v>2026-01</v>
      </c>
      <c r="I728" t="str">
        <f>_xlfn.XLOOKUP(C728,products!A:A,products!B:B)</f>
        <v>SKU-0085</v>
      </c>
      <c r="J728" t="str">
        <f>_xlfn.XLOOKUP(B728,customer_orders!A:A,customer_orders!G:G)</f>
        <v>2026-w02</v>
      </c>
      <c r="K728">
        <f>IFERROR(_xlfn.XLOOKUP(B728,shipments!B:B,shipments!H:H),0)</f>
        <v>70.06</v>
      </c>
      <c r="L728">
        <f t="shared" si="34"/>
        <v>0.06</v>
      </c>
      <c r="M728" t="str">
        <f>_xlfn.XLOOKUP(B728,customer_orders!A:A,customer_orders!D:D)</f>
        <v>Amazon</v>
      </c>
      <c r="N728" t="str">
        <f>_xlfn.XLOOKUP(C728,inventory!B:B,inventory!C:C)</f>
        <v>Draper</v>
      </c>
      <c r="O728">
        <f>IF(_xlfn.XLOOKUP(C728,products!A:A,products!E:E)="NULL",0,_xlfn.XLOOKUP(C728,products!A:A,products!E:E))</f>
        <v>139.02000000000001</v>
      </c>
      <c r="P728">
        <f t="shared" si="35"/>
        <v>1005.97</v>
      </c>
      <c r="Q728" s="2" t="str">
        <f>_xlfn.XLOOKUP(I728,products!B:B,products!D:D)</f>
        <v>Beauty</v>
      </c>
    </row>
    <row r="729" spans="1:17">
      <c r="A729">
        <v>728</v>
      </c>
      <c r="B729">
        <v>1296</v>
      </c>
      <c r="C729">
        <v>101</v>
      </c>
      <c r="D729">
        <v>2</v>
      </c>
      <c r="E729">
        <v>45.81</v>
      </c>
      <c r="F729">
        <v>0</v>
      </c>
      <c r="G729">
        <f t="shared" si="33"/>
        <v>91.62</v>
      </c>
      <c r="H729" t="str">
        <f>_xlfn.XLOOKUP(B729,customer_orders!A:A,customer_orders!F:F)</f>
        <v>2026-01</v>
      </c>
      <c r="I729" t="str">
        <f>_xlfn.XLOOKUP(C729,products!A:A,products!B:B)</f>
        <v>SKU-0101</v>
      </c>
      <c r="J729" t="str">
        <f>_xlfn.XLOOKUP(B729,customer_orders!A:A,customer_orders!G:G)</f>
        <v>2026-w02</v>
      </c>
      <c r="K729">
        <f>IFERROR(_xlfn.XLOOKUP(B729,shipments!B:B,shipments!H:H),0)</f>
        <v>70.06</v>
      </c>
      <c r="L729">
        <f t="shared" si="34"/>
        <v>0.76</v>
      </c>
      <c r="M729" t="str">
        <f>_xlfn.XLOOKUP(B729,customer_orders!A:A,customer_orders!D:D)</f>
        <v>Amazon</v>
      </c>
      <c r="N729" t="str">
        <f>_xlfn.XLOOKUP(C729,inventory!B:B,inventory!C:C)</f>
        <v>South Jordan</v>
      </c>
      <c r="O729">
        <f>IF(_xlfn.XLOOKUP(C729,products!A:A,products!E:E)="NULL",0,_xlfn.XLOOKUP(C729,products!A:A,products!E:E))</f>
        <v>173.83</v>
      </c>
      <c r="P729">
        <f t="shared" si="35"/>
        <v>-82.210000000000008</v>
      </c>
      <c r="Q729" s="2" t="str">
        <f>_xlfn.XLOOKUP(I729,products!B:B,products!D:D)</f>
        <v>Home</v>
      </c>
    </row>
    <row r="730" spans="1:17">
      <c r="A730">
        <v>729</v>
      </c>
      <c r="B730">
        <v>1297</v>
      </c>
      <c r="C730">
        <v>126</v>
      </c>
      <c r="D730">
        <v>1</v>
      </c>
      <c r="E730">
        <v>32.17</v>
      </c>
      <c r="F730">
        <v>0</v>
      </c>
      <c r="G730">
        <f t="shared" si="33"/>
        <v>32.17</v>
      </c>
      <c r="H730" t="str">
        <f>_xlfn.XLOOKUP(B730,customer_orders!A:A,customer_orders!F:F)</f>
        <v>2026-01</v>
      </c>
      <c r="I730" t="str">
        <f>_xlfn.XLOOKUP(C730,products!A:A,products!B:B)</f>
        <v>SKU-0126</v>
      </c>
      <c r="J730" t="str">
        <f>_xlfn.XLOOKUP(B730,customer_orders!A:A,customer_orders!G:G)</f>
        <v>2026-w05</v>
      </c>
      <c r="K730">
        <f>IFERROR(_xlfn.XLOOKUP(B730,shipments!B:B,shipments!H:H),0)</f>
        <v>31.03</v>
      </c>
      <c r="L730">
        <f t="shared" si="34"/>
        <v>0.96</v>
      </c>
      <c r="M730" t="str">
        <f>_xlfn.XLOOKUP(B730,customer_orders!A:A,customer_orders!D:D)</f>
        <v>Amazon</v>
      </c>
      <c r="N730" t="str">
        <f>_xlfn.XLOOKUP(C730,inventory!B:B,inventory!C:C)</f>
        <v>South Jordan</v>
      </c>
      <c r="O730">
        <f>IF(_xlfn.XLOOKUP(C730,products!A:A,products!E:E)="NULL",0,_xlfn.XLOOKUP(C730,products!A:A,products!E:E))</f>
        <v>104.51</v>
      </c>
      <c r="P730">
        <f t="shared" si="35"/>
        <v>-72.34</v>
      </c>
      <c r="Q730" s="2" t="str">
        <f>_xlfn.XLOOKUP(I730,products!B:B,products!D:D)</f>
        <v>Office</v>
      </c>
    </row>
    <row r="731" spans="1:17">
      <c r="A731">
        <v>730</v>
      </c>
      <c r="B731">
        <v>1298</v>
      </c>
      <c r="C731">
        <v>106</v>
      </c>
      <c r="D731">
        <v>7</v>
      </c>
      <c r="E731">
        <v>65.2</v>
      </c>
      <c r="F731">
        <v>0</v>
      </c>
      <c r="G731">
        <f t="shared" si="33"/>
        <v>456.40000000000003</v>
      </c>
      <c r="H731" t="str">
        <f>_xlfn.XLOOKUP(B731,customer_orders!A:A,customer_orders!F:F)</f>
        <v>2026-04</v>
      </c>
      <c r="I731" t="str">
        <f>_xlfn.XLOOKUP(C731,products!A:A,products!B:B)</f>
        <v>SKU-0106</v>
      </c>
      <c r="J731" t="str">
        <f>_xlfn.XLOOKUP(B731,customer_orders!A:A,customer_orders!G:G)</f>
        <v>2026-w15</v>
      </c>
      <c r="K731">
        <f>IFERROR(_xlfn.XLOOKUP(B731,shipments!B:B,shipments!H:H),0)</f>
        <v>22.42</v>
      </c>
      <c r="L731">
        <f t="shared" si="34"/>
        <v>0.05</v>
      </c>
      <c r="M731" t="str">
        <f>_xlfn.XLOOKUP(B731,customer_orders!A:A,customer_orders!D:D)</f>
        <v>Amazon</v>
      </c>
      <c r="N731" t="str">
        <f>_xlfn.XLOOKUP(C731,inventory!B:B,inventory!C:C)</f>
        <v>Lehi</v>
      </c>
      <c r="O731">
        <f>IF(_xlfn.XLOOKUP(C731,products!A:A,products!E:E)="NULL",0,_xlfn.XLOOKUP(C731,products!A:A,products!E:E))</f>
        <v>0</v>
      </c>
      <c r="P731">
        <f t="shared" si="35"/>
        <v>456.40000000000003</v>
      </c>
      <c r="Q731" s="2" t="str">
        <f>_xlfn.XLOOKUP(I731,products!B:B,products!D:D)</f>
        <v>Toys</v>
      </c>
    </row>
    <row r="732" spans="1:17">
      <c r="A732">
        <v>731</v>
      </c>
      <c r="B732">
        <v>1298</v>
      </c>
      <c r="C732">
        <v>34</v>
      </c>
      <c r="D732">
        <v>7</v>
      </c>
      <c r="E732">
        <v>222.79</v>
      </c>
      <c r="F732">
        <v>0</v>
      </c>
      <c r="G732">
        <f t="shared" si="33"/>
        <v>1559.53</v>
      </c>
      <c r="H732" t="str">
        <f>_xlfn.XLOOKUP(B732,customer_orders!A:A,customer_orders!F:F)</f>
        <v>2026-04</v>
      </c>
      <c r="I732" t="str">
        <f>_xlfn.XLOOKUP(C732,products!A:A,products!B:B)</f>
        <v>SKU-0034</v>
      </c>
      <c r="J732" t="str">
        <f>_xlfn.XLOOKUP(B732,customer_orders!A:A,customer_orders!G:G)</f>
        <v>2026-w15</v>
      </c>
      <c r="K732">
        <f>IFERROR(_xlfn.XLOOKUP(B732,shipments!B:B,shipments!H:H),0)</f>
        <v>22.42</v>
      </c>
      <c r="L732">
        <f t="shared" si="34"/>
        <v>0.01</v>
      </c>
      <c r="M732" t="str">
        <f>_xlfn.XLOOKUP(B732,customer_orders!A:A,customer_orders!D:D)</f>
        <v>Amazon</v>
      </c>
      <c r="N732" t="str">
        <f>_xlfn.XLOOKUP(C732,inventory!B:B,inventory!C:C)</f>
        <v>Salt Lake City</v>
      </c>
      <c r="O732">
        <f>IF(_xlfn.XLOOKUP(C732,products!A:A,products!E:E)="NULL",0,_xlfn.XLOOKUP(C732,products!A:A,products!E:E))</f>
        <v>86.73</v>
      </c>
      <c r="P732">
        <f t="shared" si="35"/>
        <v>1472.8</v>
      </c>
      <c r="Q732" s="2" t="str">
        <f>_xlfn.XLOOKUP(I732,products!B:B,products!D:D)</f>
        <v>Office</v>
      </c>
    </row>
    <row r="733" spans="1:17">
      <c r="A733">
        <v>732</v>
      </c>
      <c r="B733">
        <v>1298</v>
      </c>
      <c r="C733">
        <v>100</v>
      </c>
      <c r="D733">
        <v>4</v>
      </c>
      <c r="E733">
        <v>233.57</v>
      </c>
      <c r="F733">
        <v>0</v>
      </c>
      <c r="G733">
        <f t="shared" si="33"/>
        <v>934.28</v>
      </c>
      <c r="H733" t="str">
        <f>_xlfn.XLOOKUP(B733,customer_orders!A:A,customer_orders!F:F)</f>
        <v>2026-04</v>
      </c>
      <c r="I733" t="str">
        <f>_xlfn.XLOOKUP(C733,products!A:A,products!B:B)</f>
        <v>SKU-0100</v>
      </c>
      <c r="J733" t="str">
        <f>_xlfn.XLOOKUP(B733,customer_orders!A:A,customer_orders!G:G)</f>
        <v>2026-w15</v>
      </c>
      <c r="K733">
        <f>IFERROR(_xlfn.XLOOKUP(B733,shipments!B:B,shipments!H:H),0)</f>
        <v>22.42</v>
      </c>
      <c r="L733">
        <f t="shared" si="34"/>
        <v>0.02</v>
      </c>
      <c r="M733" t="str">
        <f>_xlfn.XLOOKUP(B733,customer_orders!A:A,customer_orders!D:D)</f>
        <v>Amazon</v>
      </c>
      <c r="N733" t="str">
        <f>_xlfn.XLOOKUP(C733,inventory!B:B,inventory!C:C)</f>
        <v>Lehi</v>
      </c>
      <c r="O733">
        <f>IF(_xlfn.XLOOKUP(C733,products!A:A,products!E:E)="NULL",0,_xlfn.XLOOKUP(C733,products!A:A,products!E:E))</f>
        <v>127.41</v>
      </c>
      <c r="P733">
        <f t="shared" si="35"/>
        <v>806.87</v>
      </c>
      <c r="Q733" s="2" t="str">
        <f>_xlfn.XLOOKUP(I733,products!B:B,products!D:D)</f>
        <v>Beauty</v>
      </c>
    </row>
    <row r="734" spans="1:17">
      <c r="A734">
        <v>733</v>
      </c>
      <c r="B734">
        <v>1299</v>
      </c>
      <c r="C734">
        <v>115</v>
      </c>
      <c r="D734">
        <v>2</v>
      </c>
      <c r="E734">
        <v>80.7</v>
      </c>
      <c r="F734">
        <v>0</v>
      </c>
      <c r="G734">
        <f t="shared" si="33"/>
        <v>161.4</v>
      </c>
      <c r="H734" t="str">
        <f>_xlfn.XLOOKUP(B734,customer_orders!A:A,customer_orders!F:F)</f>
        <v>2026-04</v>
      </c>
      <c r="I734" t="str">
        <f>_xlfn.XLOOKUP(C734,products!A:A,products!B:B)</f>
        <v>SKU-0115</v>
      </c>
      <c r="J734" t="str">
        <f>_xlfn.XLOOKUP(B734,customer_orders!A:A,customer_orders!G:G)</f>
        <v>2026-w18</v>
      </c>
      <c r="K734">
        <f>IFERROR(_xlfn.XLOOKUP(B734,shipments!B:B,shipments!H:H),0)</f>
        <v>0</v>
      </c>
      <c r="L734">
        <f t="shared" si="34"/>
        <v>0</v>
      </c>
      <c r="M734" t="str">
        <f>_xlfn.XLOOKUP(B734,customer_orders!A:A,customer_orders!D:D)</f>
        <v>Shopify</v>
      </c>
      <c r="N734" t="str">
        <f>_xlfn.XLOOKUP(C734,inventory!B:B,inventory!C:C)</f>
        <v>West Valley</v>
      </c>
      <c r="O734">
        <f>IF(_xlfn.XLOOKUP(C734,products!A:A,products!E:E)="NULL",0,_xlfn.XLOOKUP(C734,products!A:A,products!E:E))</f>
        <v>58.66</v>
      </c>
      <c r="P734">
        <f t="shared" si="35"/>
        <v>102.74000000000001</v>
      </c>
      <c r="Q734" s="2" t="str">
        <f>_xlfn.XLOOKUP(I734,products!B:B,products!D:D)</f>
        <v>Pet</v>
      </c>
    </row>
    <row r="735" spans="1:17">
      <c r="A735">
        <v>734</v>
      </c>
      <c r="B735">
        <v>1299</v>
      </c>
      <c r="C735">
        <v>135</v>
      </c>
      <c r="D735">
        <v>6</v>
      </c>
      <c r="E735">
        <v>41.03</v>
      </c>
      <c r="F735">
        <v>13.74</v>
      </c>
      <c r="G735">
        <f t="shared" si="33"/>
        <v>232.44</v>
      </c>
      <c r="H735" t="str">
        <f>_xlfn.XLOOKUP(B735,customer_orders!A:A,customer_orders!F:F)</f>
        <v>2026-04</v>
      </c>
      <c r="I735" t="str">
        <f>_xlfn.XLOOKUP(C735,products!A:A,products!B:B)</f>
        <v>SKU-0135</v>
      </c>
      <c r="J735" t="str">
        <f>_xlfn.XLOOKUP(B735,customer_orders!A:A,customer_orders!G:G)</f>
        <v>2026-w18</v>
      </c>
      <c r="K735">
        <f>IFERROR(_xlfn.XLOOKUP(B735,shipments!B:B,shipments!H:H),0)</f>
        <v>0</v>
      </c>
      <c r="L735">
        <f t="shared" si="34"/>
        <v>0</v>
      </c>
      <c r="M735" t="str">
        <f>_xlfn.XLOOKUP(B735,customer_orders!A:A,customer_orders!D:D)</f>
        <v>Shopify</v>
      </c>
      <c r="N735" t="str">
        <f>_xlfn.XLOOKUP(C735,inventory!B:B,inventory!C:C)</f>
        <v>Lehi</v>
      </c>
      <c r="O735">
        <f>IF(_xlfn.XLOOKUP(C735,products!A:A,products!E:E)="NULL",0,_xlfn.XLOOKUP(C735,products!A:A,products!E:E))</f>
        <v>48.81</v>
      </c>
      <c r="P735">
        <f t="shared" si="35"/>
        <v>183.63</v>
      </c>
      <c r="Q735" s="2" t="str">
        <f>_xlfn.XLOOKUP(I735,products!B:B,products!D:D)</f>
        <v>Kitchen</v>
      </c>
    </row>
    <row r="736" spans="1:17">
      <c r="A736">
        <v>735</v>
      </c>
      <c r="B736">
        <v>1300</v>
      </c>
      <c r="C736">
        <v>89</v>
      </c>
      <c r="D736">
        <v>5</v>
      </c>
      <c r="E736">
        <v>126</v>
      </c>
      <c r="F736">
        <v>0</v>
      </c>
      <c r="G736">
        <f t="shared" si="33"/>
        <v>630</v>
      </c>
      <c r="H736" t="str">
        <f>_xlfn.XLOOKUP(B736,customer_orders!A:A,customer_orders!F:F)</f>
        <v>2026-01</v>
      </c>
      <c r="I736" t="str">
        <f>_xlfn.XLOOKUP(C736,products!A:A,products!B:B)</f>
        <v>SKU-0089</v>
      </c>
      <c r="J736" t="str">
        <f>_xlfn.XLOOKUP(B736,customer_orders!A:A,customer_orders!G:G)</f>
        <v>2026-w03</v>
      </c>
      <c r="K736">
        <f>IFERROR(_xlfn.XLOOKUP(B736,shipments!B:B,shipments!H:H),0)</f>
        <v>37.86</v>
      </c>
      <c r="L736">
        <f t="shared" si="34"/>
        <v>0.06</v>
      </c>
      <c r="M736" t="str">
        <f>_xlfn.XLOOKUP(B736,customer_orders!A:A,customer_orders!D:D)</f>
        <v>Amazon</v>
      </c>
      <c r="N736" t="str">
        <f>_xlfn.XLOOKUP(C736,inventory!B:B,inventory!C:C)</f>
        <v>South Jordan</v>
      </c>
      <c r="O736">
        <f>IF(_xlfn.XLOOKUP(C736,products!A:A,products!E:E)="NULL",0,_xlfn.XLOOKUP(C736,products!A:A,products!E:E))</f>
        <v>150.76</v>
      </c>
      <c r="P736">
        <f t="shared" si="35"/>
        <v>479.24</v>
      </c>
      <c r="Q736" s="2" t="str">
        <f>_xlfn.XLOOKUP(I736,products!B:B,products!D:D)</f>
        <v>Electronics</v>
      </c>
    </row>
    <row r="737" spans="1:17">
      <c r="A737">
        <v>736</v>
      </c>
      <c r="B737">
        <v>1300</v>
      </c>
      <c r="C737">
        <v>107</v>
      </c>
      <c r="D737">
        <v>4</v>
      </c>
      <c r="E737">
        <v>223.34</v>
      </c>
      <c r="F737">
        <v>3.51</v>
      </c>
      <c r="G737">
        <f t="shared" si="33"/>
        <v>889.85</v>
      </c>
      <c r="H737" t="str">
        <f>_xlfn.XLOOKUP(B737,customer_orders!A:A,customer_orders!F:F)</f>
        <v>2026-01</v>
      </c>
      <c r="I737" t="str">
        <f>_xlfn.XLOOKUP(C737,products!A:A,products!B:B)</f>
        <v>SKU-0107</v>
      </c>
      <c r="J737" t="str">
        <f>_xlfn.XLOOKUP(B737,customer_orders!A:A,customer_orders!G:G)</f>
        <v>2026-w03</v>
      </c>
      <c r="K737">
        <f>IFERROR(_xlfn.XLOOKUP(B737,shipments!B:B,shipments!H:H),0)</f>
        <v>37.86</v>
      </c>
      <c r="L737">
        <f t="shared" si="34"/>
        <v>0.04</v>
      </c>
      <c r="M737" t="str">
        <f>_xlfn.XLOOKUP(B737,customer_orders!A:A,customer_orders!D:D)</f>
        <v>Amazon</v>
      </c>
      <c r="N737" t="str">
        <f>_xlfn.XLOOKUP(C737,inventory!B:B,inventory!C:C)</f>
        <v>South Jordan</v>
      </c>
      <c r="O737">
        <f>IF(_xlfn.XLOOKUP(C737,products!A:A,products!E:E)="NULL",0,_xlfn.XLOOKUP(C737,products!A:A,products!E:E))</f>
        <v>81.23</v>
      </c>
      <c r="P737">
        <f t="shared" si="35"/>
        <v>808.62</v>
      </c>
      <c r="Q737" s="2" t="str">
        <f>_xlfn.XLOOKUP(I737,products!B:B,products!D:D)</f>
        <v>Pet</v>
      </c>
    </row>
    <row r="738" spans="1:17">
      <c r="A738">
        <v>737</v>
      </c>
      <c r="B738">
        <v>1300</v>
      </c>
      <c r="C738">
        <v>118</v>
      </c>
      <c r="D738">
        <v>7</v>
      </c>
      <c r="E738">
        <v>229.49</v>
      </c>
      <c r="F738">
        <v>0</v>
      </c>
      <c r="G738">
        <f t="shared" si="33"/>
        <v>1606.43</v>
      </c>
      <c r="H738" t="str">
        <f>_xlfn.XLOOKUP(B738,customer_orders!A:A,customer_orders!F:F)</f>
        <v>2026-01</v>
      </c>
      <c r="I738" t="str">
        <f>_xlfn.XLOOKUP(C738,products!A:A,products!B:B)</f>
        <v>SKU-0118</v>
      </c>
      <c r="J738" t="str">
        <f>_xlfn.XLOOKUP(B738,customer_orders!A:A,customer_orders!G:G)</f>
        <v>2026-w03</v>
      </c>
      <c r="K738">
        <f>IFERROR(_xlfn.XLOOKUP(B738,shipments!B:B,shipments!H:H),0)</f>
        <v>37.86</v>
      </c>
      <c r="L738">
        <f t="shared" si="34"/>
        <v>0.02</v>
      </c>
      <c r="M738" t="str">
        <f>_xlfn.XLOOKUP(B738,customer_orders!A:A,customer_orders!D:D)</f>
        <v>Amazon</v>
      </c>
      <c r="N738" t="str">
        <f>_xlfn.XLOOKUP(C738,inventory!B:B,inventory!C:C)</f>
        <v>Salt Lake City</v>
      </c>
      <c r="O738">
        <f>IF(_xlfn.XLOOKUP(C738,products!A:A,products!E:E)="NULL",0,_xlfn.XLOOKUP(C738,products!A:A,products!E:E))</f>
        <v>44.81</v>
      </c>
      <c r="P738">
        <f t="shared" si="35"/>
        <v>1561.6200000000001</v>
      </c>
      <c r="Q738" s="2" t="str">
        <f>_xlfn.XLOOKUP(I738,products!B:B,products!D:D)</f>
        <v>Beauty</v>
      </c>
    </row>
    <row r="739" spans="1:17">
      <c r="A739">
        <v>738</v>
      </c>
      <c r="B739">
        <v>1300</v>
      </c>
      <c r="C739">
        <v>101</v>
      </c>
      <c r="D739">
        <v>1</v>
      </c>
      <c r="E739">
        <v>45.81</v>
      </c>
      <c r="F739">
        <v>0</v>
      </c>
      <c r="G739">
        <f t="shared" si="33"/>
        <v>45.81</v>
      </c>
      <c r="H739" t="str">
        <f>_xlfn.XLOOKUP(B739,customer_orders!A:A,customer_orders!F:F)</f>
        <v>2026-01</v>
      </c>
      <c r="I739" t="str">
        <f>_xlfn.XLOOKUP(C739,products!A:A,products!B:B)</f>
        <v>SKU-0101</v>
      </c>
      <c r="J739" t="str">
        <f>_xlfn.XLOOKUP(B739,customer_orders!A:A,customer_orders!G:G)</f>
        <v>2026-w03</v>
      </c>
      <c r="K739">
        <f>IFERROR(_xlfn.XLOOKUP(B739,shipments!B:B,shipments!H:H),0)</f>
        <v>37.86</v>
      </c>
      <c r="L739">
        <f t="shared" si="34"/>
        <v>0.83</v>
      </c>
      <c r="M739" t="str">
        <f>_xlfn.XLOOKUP(B739,customer_orders!A:A,customer_orders!D:D)</f>
        <v>Amazon</v>
      </c>
      <c r="N739" t="str">
        <f>_xlfn.XLOOKUP(C739,inventory!B:B,inventory!C:C)</f>
        <v>South Jordan</v>
      </c>
      <c r="O739">
        <f>IF(_xlfn.XLOOKUP(C739,products!A:A,products!E:E)="NULL",0,_xlfn.XLOOKUP(C739,products!A:A,products!E:E))</f>
        <v>173.83</v>
      </c>
      <c r="P739">
        <f t="shared" si="35"/>
        <v>-128.02000000000001</v>
      </c>
      <c r="Q739" s="2" t="str">
        <f>_xlfn.XLOOKUP(I739,products!B:B,products!D:D)</f>
        <v>Home</v>
      </c>
    </row>
    <row r="740" spans="1:17">
      <c r="A740">
        <v>739</v>
      </c>
      <c r="B740">
        <v>1301</v>
      </c>
      <c r="C740">
        <v>27</v>
      </c>
      <c r="D740">
        <v>6</v>
      </c>
      <c r="E740">
        <v>165.39</v>
      </c>
      <c r="F740">
        <v>0</v>
      </c>
      <c r="G740">
        <f t="shared" si="33"/>
        <v>992.33999999999992</v>
      </c>
      <c r="H740" t="str">
        <f>_xlfn.XLOOKUP(B740,customer_orders!A:A,customer_orders!F:F)</f>
        <v>2026-04</v>
      </c>
      <c r="I740" t="str">
        <f>_xlfn.XLOOKUP(C740,products!A:A,products!B:B)</f>
        <v>SKU-0027</v>
      </c>
      <c r="J740" t="str">
        <f>_xlfn.XLOOKUP(B740,customer_orders!A:A,customer_orders!G:G)</f>
        <v>2026-w16</v>
      </c>
      <c r="K740">
        <f>IFERROR(_xlfn.XLOOKUP(B740,shipments!B:B,shipments!H:H),0)</f>
        <v>9.18</v>
      </c>
      <c r="L740">
        <f t="shared" si="34"/>
        <v>0.01</v>
      </c>
      <c r="M740" t="str">
        <f>_xlfn.XLOOKUP(B740,customer_orders!A:A,customer_orders!D:D)</f>
        <v>Amazon</v>
      </c>
      <c r="N740" t="str">
        <f>_xlfn.XLOOKUP(C740,inventory!B:B,inventory!C:C)</f>
        <v>Salt Lake City</v>
      </c>
      <c r="O740">
        <f>IF(_xlfn.XLOOKUP(C740,products!A:A,products!E:E)="NULL",0,_xlfn.XLOOKUP(C740,products!A:A,products!E:E))</f>
        <v>33.9</v>
      </c>
      <c r="P740">
        <f t="shared" si="35"/>
        <v>958.43999999999994</v>
      </c>
      <c r="Q740" s="2" t="str">
        <f>_xlfn.XLOOKUP(I740,products!B:B,products!D:D)</f>
        <v>Pet</v>
      </c>
    </row>
    <row r="741" spans="1:17">
      <c r="A741">
        <v>740</v>
      </c>
      <c r="B741">
        <v>1302</v>
      </c>
      <c r="C741">
        <v>10</v>
      </c>
      <c r="D741">
        <v>1</v>
      </c>
      <c r="E741">
        <v>144.22</v>
      </c>
      <c r="F741">
        <v>0</v>
      </c>
      <c r="G741">
        <f t="shared" si="33"/>
        <v>144.22</v>
      </c>
      <c r="H741" t="str">
        <f>_xlfn.XLOOKUP(B741,customer_orders!A:A,customer_orders!F:F)</f>
        <v>2026-03</v>
      </c>
      <c r="I741" t="str">
        <f>_xlfn.XLOOKUP(C741,products!A:A,products!B:B)</f>
        <v>SKU-0010</v>
      </c>
      <c r="J741" t="str">
        <f>_xlfn.XLOOKUP(B741,customer_orders!A:A,customer_orders!G:G)</f>
        <v>2026-w14</v>
      </c>
      <c r="K741">
        <f>IFERROR(_xlfn.XLOOKUP(B741,shipments!B:B,shipments!H:H),0)</f>
        <v>15.66</v>
      </c>
      <c r="L741">
        <f t="shared" si="34"/>
        <v>0.11</v>
      </c>
      <c r="M741" t="str">
        <f>_xlfn.XLOOKUP(B741,customer_orders!A:A,customer_orders!D:D)</f>
        <v>Walmart</v>
      </c>
      <c r="N741" t="str">
        <f>_xlfn.XLOOKUP(C741,inventory!B:B,inventory!C:C)</f>
        <v>Draper</v>
      </c>
      <c r="O741">
        <f>IF(_xlfn.XLOOKUP(C741,products!A:A,products!E:E)="NULL",0,_xlfn.XLOOKUP(C741,products!A:A,products!E:E))</f>
        <v>71.52</v>
      </c>
      <c r="P741">
        <f t="shared" si="35"/>
        <v>72.7</v>
      </c>
      <c r="Q741" s="2" t="str">
        <f>_xlfn.XLOOKUP(I741,products!B:B,products!D:D)</f>
        <v>Beauty</v>
      </c>
    </row>
    <row r="742" spans="1:17">
      <c r="A742">
        <v>741</v>
      </c>
      <c r="B742">
        <v>1302</v>
      </c>
      <c r="C742">
        <v>84</v>
      </c>
      <c r="D742">
        <v>8</v>
      </c>
      <c r="E742">
        <v>150.28</v>
      </c>
      <c r="F742">
        <v>0</v>
      </c>
      <c r="G742">
        <f t="shared" si="33"/>
        <v>1202.24</v>
      </c>
      <c r="H742" t="str">
        <f>_xlfn.XLOOKUP(B742,customer_orders!A:A,customer_orders!F:F)</f>
        <v>2026-03</v>
      </c>
      <c r="I742" t="str">
        <f>_xlfn.XLOOKUP(C742,products!A:A,products!B:B)</f>
        <v>SKU-0084</v>
      </c>
      <c r="J742" t="str">
        <f>_xlfn.XLOOKUP(B742,customer_orders!A:A,customer_orders!G:G)</f>
        <v>2026-w14</v>
      </c>
      <c r="K742">
        <f>IFERROR(_xlfn.XLOOKUP(B742,shipments!B:B,shipments!H:H),0)</f>
        <v>15.66</v>
      </c>
      <c r="L742">
        <f t="shared" si="34"/>
        <v>0.01</v>
      </c>
      <c r="M742" t="str">
        <f>_xlfn.XLOOKUP(B742,customer_orders!A:A,customer_orders!D:D)</f>
        <v>Walmart</v>
      </c>
      <c r="N742" t="str">
        <f>_xlfn.XLOOKUP(C742,inventory!B:B,inventory!C:C)</f>
        <v>Draper</v>
      </c>
      <c r="O742">
        <f>IF(_xlfn.XLOOKUP(C742,products!A:A,products!E:E)="NULL",0,_xlfn.XLOOKUP(C742,products!A:A,products!E:E))</f>
        <v>135.13999999999999</v>
      </c>
      <c r="P742">
        <f t="shared" si="35"/>
        <v>1067.0999999999999</v>
      </c>
      <c r="Q742" s="2" t="str">
        <f>_xlfn.XLOOKUP(I742,products!B:B,products!D:D)</f>
        <v>Pet</v>
      </c>
    </row>
    <row r="743" spans="1:17">
      <c r="A743">
        <v>742</v>
      </c>
      <c r="B743">
        <v>1302</v>
      </c>
      <c r="C743">
        <v>22</v>
      </c>
      <c r="D743">
        <v>4</v>
      </c>
      <c r="E743">
        <v>159.69</v>
      </c>
      <c r="F743">
        <v>10.99</v>
      </c>
      <c r="G743">
        <f t="shared" si="33"/>
        <v>627.77</v>
      </c>
      <c r="H743" t="str">
        <f>_xlfn.XLOOKUP(B743,customer_orders!A:A,customer_orders!F:F)</f>
        <v>2026-03</v>
      </c>
      <c r="I743" t="str">
        <f>_xlfn.XLOOKUP(C743,products!A:A,products!B:B)</f>
        <v>SKU-0022</v>
      </c>
      <c r="J743" t="str">
        <f>_xlfn.XLOOKUP(B743,customer_orders!A:A,customer_orders!G:G)</f>
        <v>2026-w14</v>
      </c>
      <c r="K743">
        <f>IFERROR(_xlfn.XLOOKUP(B743,shipments!B:B,shipments!H:H),0)</f>
        <v>15.66</v>
      </c>
      <c r="L743">
        <f t="shared" si="34"/>
        <v>0.02</v>
      </c>
      <c r="M743" t="str">
        <f>_xlfn.XLOOKUP(B743,customer_orders!A:A,customer_orders!D:D)</f>
        <v>Walmart</v>
      </c>
      <c r="N743" t="str">
        <f>_xlfn.XLOOKUP(C743,inventory!B:B,inventory!C:C)</f>
        <v>Lehi</v>
      </c>
      <c r="O743">
        <f>IF(_xlfn.XLOOKUP(C743,products!A:A,products!E:E)="NULL",0,_xlfn.XLOOKUP(C743,products!A:A,products!E:E))</f>
        <v>138.34</v>
      </c>
      <c r="P743">
        <f t="shared" si="35"/>
        <v>489.42999999999995</v>
      </c>
      <c r="Q743" s="2" t="str">
        <f>_xlfn.XLOOKUP(I743,products!B:B,products!D:D)</f>
        <v>Sports</v>
      </c>
    </row>
    <row r="744" spans="1:17">
      <c r="A744">
        <v>743</v>
      </c>
      <c r="B744">
        <v>1302</v>
      </c>
      <c r="C744">
        <v>36</v>
      </c>
      <c r="D744">
        <v>8</v>
      </c>
      <c r="E744">
        <v>94.39</v>
      </c>
      <c r="F744">
        <v>0</v>
      </c>
      <c r="G744">
        <f t="shared" si="33"/>
        <v>755.12</v>
      </c>
      <c r="H744" t="str">
        <f>_xlfn.XLOOKUP(B744,customer_orders!A:A,customer_orders!F:F)</f>
        <v>2026-03</v>
      </c>
      <c r="I744" t="str">
        <f>_xlfn.XLOOKUP(C744,products!A:A,products!B:B)</f>
        <v>SKU-0036</v>
      </c>
      <c r="J744" t="str">
        <f>_xlfn.XLOOKUP(B744,customer_orders!A:A,customer_orders!G:G)</f>
        <v>2026-w14</v>
      </c>
      <c r="K744">
        <f>IFERROR(_xlfn.XLOOKUP(B744,shipments!B:B,shipments!H:H),0)</f>
        <v>15.66</v>
      </c>
      <c r="L744">
        <f t="shared" si="34"/>
        <v>0.02</v>
      </c>
      <c r="M744" t="str">
        <f>_xlfn.XLOOKUP(B744,customer_orders!A:A,customer_orders!D:D)</f>
        <v>Walmart</v>
      </c>
      <c r="N744" t="str">
        <f>_xlfn.XLOOKUP(C744,inventory!B:B,inventory!C:C)</f>
        <v>Draper</v>
      </c>
      <c r="O744">
        <f>IF(_xlfn.XLOOKUP(C744,products!A:A,products!E:E)="NULL",0,_xlfn.XLOOKUP(C744,products!A:A,products!E:E))</f>
        <v>78.83</v>
      </c>
      <c r="P744">
        <f t="shared" si="35"/>
        <v>676.29</v>
      </c>
      <c r="Q744" s="2" t="str">
        <f>_xlfn.XLOOKUP(I744,products!B:B,products!D:D)</f>
        <v>Pet</v>
      </c>
    </row>
    <row r="745" spans="1:17">
      <c r="A745">
        <v>744</v>
      </c>
      <c r="B745">
        <v>1303</v>
      </c>
      <c r="C745">
        <v>40</v>
      </c>
      <c r="D745">
        <v>8</v>
      </c>
      <c r="E745">
        <v>90.58</v>
      </c>
      <c r="F745">
        <v>0</v>
      </c>
      <c r="G745">
        <f t="shared" si="33"/>
        <v>724.64</v>
      </c>
      <c r="H745" t="str">
        <f>_xlfn.XLOOKUP(B745,customer_orders!A:A,customer_orders!F:F)</f>
        <v>2026-01</v>
      </c>
      <c r="I745" t="str">
        <f>_xlfn.XLOOKUP(C745,products!A:A,products!B:B)</f>
        <v>SKU-0040</v>
      </c>
      <c r="J745" t="str">
        <f>_xlfn.XLOOKUP(B745,customer_orders!A:A,customer_orders!G:G)</f>
        <v>2026-w04</v>
      </c>
      <c r="K745">
        <f>IFERROR(_xlfn.XLOOKUP(B745,shipments!B:B,shipments!H:H),0)</f>
        <v>4.54</v>
      </c>
      <c r="L745">
        <f t="shared" si="34"/>
        <v>0.01</v>
      </c>
      <c r="M745" t="str">
        <f>_xlfn.XLOOKUP(B745,customer_orders!A:A,customer_orders!D:D)</f>
        <v>Amazon</v>
      </c>
      <c r="N745" t="str">
        <f>_xlfn.XLOOKUP(C745,inventory!B:B,inventory!C:C)</f>
        <v>Salt Lake City</v>
      </c>
      <c r="O745">
        <f>IF(_xlfn.XLOOKUP(C745,products!A:A,products!E:E)="NULL",0,_xlfn.XLOOKUP(C745,products!A:A,products!E:E))</f>
        <v>177.43</v>
      </c>
      <c r="P745">
        <f t="shared" si="35"/>
        <v>547.21</v>
      </c>
      <c r="Q745" s="2" t="str">
        <f>_xlfn.XLOOKUP(I745,products!B:B,products!D:D)</f>
        <v>Office</v>
      </c>
    </row>
    <row r="746" spans="1:17">
      <c r="A746">
        <v>745</v>
      </c>
      <c r="B746">
        <v>1303</v>
      </c>
      <c r="C746">
        <v>9</v>
      </c>
      <c r="D746">
        <v>4</v>
      </c>
      <c r="E746">
        <v>235.32</v>
      </c>
      <c r="F746">
        <v>0</v>
      </c>
      <c r="G746">
        <f t="shared" si="33"/>
        <v>941.28</v>
      </c>
      <c r="H746" t="str">
        <f>_xlfn.XLOOKUP(B746,customer_orders!A:A,customer_orders!F:F)</f>
        <v>2026-01</v>
      </c>
      <c r="I746" t="str">
        <f>_xlfn.XLOOKUP(C746,products!A:A,products!B:B)</f>
        <v>SKU-0009</v>
      </c>
      <c r="J746" t="str">
        <f>_xlfn.XLOOKUP(B746,customer_orders!A:A,customer_orders!G:G)</f>
        <v>2026-w04</v>
      </c>
      <c r="K746">
        <f>IFERROR(_xlfn.XLOOKUP(B746,shipments!B:B,shipments!H:H),0)</f>
        <v>4.54</v>
      </c>
      <c r="L746">
        <f t="shared" si="34"/>
        <v>0</v>
      </c>
      <c r="M746" t="str">
        <f>_xlfn.XLOOKUP(B746,customer_orders!A:A,customer_orders!D:D)</f>
        <v>Amazon</v>
      </c>
      <c r="N746" t="str">
        <f>_xlfn.XLOOKUP(C746,inventory!B:B,inventory!C:C)</f>
        <v>Salt Lake City</v>
      </c>
      <c r="O746">
        <f>IF(_xlfn.XLOOKUP(C746,products!A:A,products!E:E)="NULL",0,_xlfn.XLOOKUP(C746,products!A:A,products!E:E))</f>
        <v>120.72</v>
      </c>
      <c r="P746">
        <f t="shared" si="35"/>
        <v>820.56</v>
      </c>
      <c r="Q746" s="2" t="str">
        <f>_xlfn.XLOOKUP(I746,products!B:B,products!D:D)</f>
        <v>Home</v>
      </c>
    </row>
    <row r="747" spans="1:17">
      <c r="A747">
        <v>746</v>
      </c>
      <c r="B747">
        <v>1303</v>
      </c>
      <c r="C747">
        <v>134</v>
      </c>
      <c r="D747">
        <v>2</v>
      </c>
      <c r="E747">
        <v>26.36</v>
      </c>
      <c r="F747">
        <v>0</v>
      </c>
      <c r="G747">
        <f t="shared" si="33"/>
        <v>52.72</v>
      </c>
      <c r="H747" t="str">
        <f>_xlfn.XLOOKUP(B747,customer_orders!A:A,customer_orders!F:F)</f>
        <v>2026-01</v>
      </c>
      <c r="I747" t="str">
        <f>_xlfn.XLOOKUP(C747,products!A:A,products!B:B)</f>
        <v>SKU-0134</v>
      </c>
      <c r="J747" t="str">
        <f>_xlfn.XLOOKUP(B747,customer_orders!A:A,customer_orders!G:G)</f>
        <v>2026-w04</v>
      </c>
      <c r="K747">
        <f>IFERROR(_xlfn.XLOOKUP(B747,shipments!B:B,shipments!H:H),0)</f>
        <v>4.54</v>
      </c>
      <c r="L747">
        <f t="shared" si="34"/>
        <v>0.09</v>
      </c>
      <c r="M747" t="str">
        <f>_xlfn.XLOOKUP(B747,customer_orders!A:A,customer_orders!D:D)</f>
        <v>Amazon</v>
      </c>
      <c r="N747" t="str">
        <f>_xlfn.XLOOKUP(C747,inventory!B:B,inventory!C:C)</f>
        <v>Draper</v>
      </c>
      <c r="O747">
        <f>IF(_xlfn.XLOOKUP(C747,products!A:A,products!E:E)="NULL",0,_xlfn.XLOOKUP(C747,products!A:A,products!E:E))</f>
        <v>19.079999999999998</v>
      </c>
      <c r="P747">
        <f t="shared" si="35"/>
        <v>33.64</v>
      </c>
      <c r="Q747" s="2" t="str">
        <f>_xlfn.XLOOKUP(I747,products!B:B,products!D:D)</f>
        <v>Pet</v>
      </c>
    </row>
    <row r="748" spans="1:17">
      <c r="A748">
        <v>747</v>
      </c>
      <c r="B748">
        <v>1304</v>
      </c>
      <c r="C748">
        <v>8</v>
      </c>
      <c r="D748">
        <v>1</v>
      </c>
      <c r="E748">
        <v>118.07</v>
      </c>
      <c r="F748">
        <v>0</v>
      </c>
      <c r="G748">
        <f t="shared" si="33"/>
        <v>118.07</v>
      </c>
      <c r="H748" t="str">
        <f>_xlfn.XLOOKUP(B748,customer_orders!A:A,customer_orders!F:F)</f>
        <v>2026-03</v>
      </c>
      <c r="I748" t="str">
        <f>_xlfn.XLOOKUP(C748,products!A:A,products!B:B)</f>
        <v>SKU-0008</v>
      </c>
      <c r="J748" t="str">
        <f>_xlfn.XLOOKUP(B748,customer_orders!A:A,customer_orders!G:G)</f>
        <v>2026-w10</v>
      </c>
      <c r="K748">
        <f>IFERROR(_xlfn.XLOOKUP(B748,shipments!B:B,shipments!H:H),0)</f>
        <v>49.83</v>
      </c>
      <c r="L748">
        <f t="shared" si="34"/>
        <v>0.42</v>
      </c>
      <c r="M748" t="str">
        <f>_xlfn.XLOOKUP(B748,customer_orders!A:A,customer_orders!D:D)</f>
        <v>Amazon</v>
      </c>
      <c r="N748" t="str">
        <f>_xlfn.XLOOKUP(C748,inventory!B:B,inventory!C:C)</f>
        <v>Salt Lake City</v>
      </c>
      <c r="O748">
        <f>IF(_xlfn.XLOOKUP(C748,products!A:A,products!E:E)="NULL",0,_xlfn.XLOOKUP(C748,products!A:A,products!E:E))</f>
        <v>159.94999999999999</v>
      </c>
      <c r="P748">
        <f t="shared" si="35"/>
        <v>-41.879999999999995</v>
      </c>
      <c r="Q748" s="2" t="str">
        <f>_xlfn.XLOOKUP(I748,products!B:B,products!D:D)</f>
        <v>Sports</v>
      </c>
    </row>
    <row r="749" spans="1:17">
      <c r="A749">
        <v>748</v>
      </c>
      <c r="B749">
        <v>1304</v>
      </c>
      <c r="C749">
        <v>17</v>
      </c>
      <c r="D749">
        <v>4</v>
      </c>
      <c r="E749">
        <v>299.3</v>
      </c>
      <c r="F749">
        <v>0</v>
      </c>
      <c r="G749">
        <f t="shared" si="33"/>
        <v>1197.2</v>
      </c>
      <c r="H749" t="str">
        <f>_xlfn.XLOOKUP(B749,customer_orders!A:A,customer_orders!F:F)</f>
        <v>2026-03</v>
      </c>
      <c r="I749" t="str">
        <f>_xlfn.XLOOKUP(C749,products!A:A,products!B:B)</f>
        <v>SKU-0017</v>
      </c>
      <c r="J749" t="str">
        <f>_xlfn.XLOOKUP(B749,customer_orders!A:A,customer_orders!G:G)</f>
        <v>2026-w10</v>
      </c>
      <c r="K749">
        <f>IFERROR(_xlfn.XLOOKUP(B749,shipments!B:B,shipments!H:H),0)</f>
        <v>49.83</v>
      </c>
      <c r="L749">
        <f t="shared" si="34"/>
        <v>0.04</v>
      </c>
      <c r="M749" t="str">
        <f>_xlfn.XLOOKUP(B749,customer_orders!A:A,customer_orders!D:D)</f>
        <v>Amazon</v>
      </c>
      <c r="N749" t="str">
        <f>_xlfn.XLOOKUP(C749,inventory!B:B,inventory!C:C)</f>
        <v>West Valley</v>
      </c>
      <c r="O749">
        <f>IF(_xlfn.XLOOKUP(C749,products!A:A,products!E:E)="NULL",0,_xlfn.XLOOKUP(C749,products!A:A,products!E:E))</f>
        <v>43.38</v>
      </c>
      <c r="P749">
        <f t="shared" si="35"/>
        <v>1153.82</v>
      </c>
      <c r="Q749" s="2" t="str">
        <f>_xlfn.XLOOKUP(I749,products!B:B,products!D:D)</f>
        <v>Office</v>
      </c>
    </row>
    <row r="750" spans="1:17">
      <c r="A750">
        <v>749</v>
      </c>
      <c r="B750">
        <v>1304</v>
      </c>
      <c r="C750">
        <v>43</v>
      </c>
      <c r="D750">
        <v>3</v>
      </c>
      <c r="E750">
        <v>277.02999999999997</v>
      </c>
      <c r="F750">
        <v>0</v>
      </c>
      <c r="G750">
        <f t="shared" si="33"/>
        <v>831.08999999999992</v>
      </c>
      <c r="H750" t="str">
        <f>_xlfn.XLOOKUP(B750,customer_orders!A:A,customer_orders!F:F)</f>
        <v>2026-03</v>
      </c>
      <c r="I750" t="str">
        <f>_xlfn.XLOOKUP(C750,products!A:A,products!B:B)</f>
        <v>SKU-0043</v>
      </c>
      <c r="J750" t="str">
        <f>_xlfn.XLOOKUP(B750,customer_orders!A:A,customer_orders!G:G)</f>
        <v>2026-w10</v>
      </c>
      <c r="K750">
        <f>IFERROR(_xlfn.XLOOKUP(B750,shipments!B:B,shipments!H:H),0)</f>
        <v>49.83</v>
      </c>
      <c r="L750">
        <f t="shared" si="34"/>
        <v>0.06</v>
      </c>
      <c r="M750" t="str">
        <f>_xlfn.XLOOKUP(B750,customer_orders!A:A,customer_orders!D:D)</f>
        <v>Amazon</v>
      </c>
      <c r="N750" t="str">
        <f>_xlfn.XLOOKUP(C750,inventory!B:B,inventory!C:C)</f>
        <v>Draper</v>
      </c>
      <c r="O750">
        <f>IF(_xlfn.XLOOKUP(C750,products!A:A,products!E:E)="NULL",0,_xlfn.XLOOKUP(C750,products!A:A,products!E:E))</f>
        <v>88.44</v>
      </c>
      <c r="P750">
        <f t="shared" si="35"/>
        <v>742.64999999999986</v>
      </c>
      <c r="Q750" s="2" t="str">
        <f>_xlfn.XLOOKUP(I750,products!B:B,products!D:D)</f>
        <v>Electronics</v>
      </c>
    </row>
    <row r="751" spans="1:17">
      <c r="A751">
        <v>750</v>
      </c>
      <c r="B751">
        <v>1304</v>
      </c>
      <c r="C751">
        <v>84</v>
      </c>
      <c r="D751">
        <v>6</v>
      </c>
      <c r="E751">
        <v>150.28</v>
      </c>
      <c r="F751">
        <v>0</v>
      </c>
      <c r="G751">
        <f t="shared" si="33"/>
        <v>901.68000000000006</v>
      </c>
      <c r="H751" t="str">
        <f>_xlfn.XLOOKUP(B751,customer_orders!A:A,customer_orders!F:F)</f>
        <v>2026-03</v>
      </c>
      <c r="I751" t="str">
        <f>_xlfn.XLOOKUP(C751,products!A:A,products!B:B)</f>
        <v>SKU-0084</v>
      </c>
      <c r="J751" t="str">
        <f>_xlfn.XLOOKUP(B751,customer_orders!A:A,customer_orders!G:G)</f>
        <v>2026-w10</v>
      </c>
      <c r="K751">
        <f>IFERROR(_xlfn.XLOOKUP(B751,shipments!B:B,shipments!H:H),0)</f>
        <v>49.83</v>
      </c>
      <c r="L751">
        <f t="shared" si="34"/>
        <v>0.06</v>
      </c>
      <c r="M751" t="str">
        <f>_xlfn.XLOOKUP(B751,customer_orders!A:A,customer_orders!D:D)</f>
        <v>Amazon</v>
      </c>
      <c r="N751" t="str">
        <f>_xlfn.XLOOKUP(C751,inventory!B:B,inventory!C:C)</f>
        <v>Draper</v>
      </c>
      <c r="O751">
        <f>IF(_xlfn.XLOOKUP(C751,products!A:A,products!E:E)="NULL",0,_xlfn.XLOOKUP(C751,products!A:A,products!E:E))</f>
        <v>135.13999999999999</v>
      </c>
      <c r="P751">
        <f t="shared" si="35"/>
        <v>766.54000000000008</v>
      </c>
      <c r="Q751" s="2" t="str">
        <f>_xlfn.XLOOKUP(I751,products!B:B,products!D:D)</f>
        <v>Pet</v>
      </c>
    </row>
    <row r="752" spans="1:17">
      <c r="A752">
        <v>751</v>
      </c>
      <c r="B752">
        <v>1305</v>
      </c>
      <c r="C752">
        <v>81</v>
      </c>
      <c r="D752">
        <v>1</v>
      </c>
      <c r="E752">
        <v>244.17</v>
      </c>
      <c r="F752">
        <v>6.45</v>
      </c>
      <c r="G752">
        <f t="shared" si="33"/>
        <v>237.72</v>
      </c>
      <c r="H752" t="str">
        <f>_xlfn.XLOOKUP(B752,customer_orders!A:A,customer_orders!F:F)</f>
        <v>2026-04</v>
      </c>
      <c r="I752" t="str">
        <f>_xlfn.XLOOKUP(C752,products!A:A,products!B:B)</f>
        <v>SKU-0081</v>
      </c>
      <c r="J752" t="str">
        <f>_xlfn.XLOOKUP(B752,customer_orders!A:A,customer_orders!G:G)</f>
        <v>2026-w14</v>
      </c>
      <c r="K752">
        <f>IFERROR(_xlfn.XLOOKUP(B752,shipments!B:B,shipments!H:H),0)</f>
        <v>0</v>
      </c>
      <c r="L752">
        <f t="shared" si="34"/>
        <v>0</v>
      </c>
      <c r="M752" t="str">
        <f>_xlfn.XLOOKUP(B752,customer_orders!A:A,customer_orders!D:D)</f>
        <v>Shopify</v>
      </c>
      <c r="N752" t="str">
        <f>_xlfn.XLOOKUP(C752,inventory!B:B,inventory!C:C)</f>
        <v>Lehi</v>
      </c>
      <c r="O752">
        <f>IF(_xlfn.XLOOKUP(C752,products!A:A,products!E:E)="NULL",0,_xlfn.XLOOKUP(C752,products!A:A,products!E:E))</f>
        <v>43.3</v>
      </c>
      <c r="P752">
        <f t="shared" si="35"/>
        <v>194.42000000000002</v>
      </c>
      <c r="Q752" s="2" t="str">
        <f>_xlfn.XLOOKUP(I752,products!B:B,products!D:D)</f>
        <v>Home</v>
      </c>
    </row>
    <row r="753" spans="1:17">
      <c r="A753">
        <v>752</v>
      </c>
      <c r="B753">
        <v>1305</v>
      </c>
      <c r="C753">
        <v>57</v>
      </c>
      <c r="D753">
        <v>2</v>
      </c>
      <c r="E753">
        <v>266.69</v>
      </c>
      <c r="F753">
        <v>0</v>
      </c>
      <c r="G753">
        <f t="shared" si="33"/>
        <v>533.38</v>
      </c>
      <c r="H753" t="str">
        <f>_xlfn.XLOOKUP(B753,customer_orders!A:A,customer_orders!F:F)</f>
        <v>2026-04</v>
      </c>
      <c r="I753" t="str">
        <f>_xlfn.XLOOKUP(C753,products!A:A,products!B:B)</f>
        <v>SKU-0057</v>
      </c>
      <c r="J753" t="str">
        <f>_xlfn.XLOOKUP(B753,customer_orders!A:A,customer_orders!G:G)</f>
        <v>2026-w14</v>
      </c>
      <c r="K753">
        <f>IFERROR(_xlfn.XLOOKUP(B753,shipments!B:B,shipments!H:H),0)</f>
        <v>0</v>
      </c>
      <c r="L753">
        <f t="shared" si="34"/>
        <v>0</v>
      </c>
      <c r="M753" t="str">
        <f>_xlfn.XLOOKUP(B753,customer_orders!A:A,customer_orders!D:D)</f>
        <v>Shopify</v>
      </c>
      <c r="N753" t="str">
        <f>_xlfn.XLOOKUP(C753,inventory!B:B,inventory!C:C)</f>
        <v>South Jordan</v>
      </c>
      <c r="O753">
        <f>IF(_xlfn.XLOOKUP(C753,products!A:A,products!E:E)="NULL",0,_xlfn.XLOOKUP(C753,products!A:A,products!E:E))</f>
        <v>18.170000000000002</v>
      </c>
      <c r="P753">
        <f t="shared" si="35"/>
        <v>515.21</v>
      </c>
      <c r="Q753" s="2" t="str">
        <f>_xlfn.XLOOKUP(I753,products!B:B,products!D:D)</f>
        <v>Electronics</v>
      </c>
    </row>
    <row r="754" spans="1:17">
      <c r="A754">
        <v>753</v>
      </c>
      <c r="B754">
        <v>1305</v>
      </c>
      <c r="C754">
        <v>95</v>
      </c>
      <c r="D754">
        <v>1</v>
      </c>
      <c r="E754">
        <v>75.319999999999993</v>
      </c>
      <c r="F754">
        <v>0</v>
      </c>
      <c r="G754">
        <f t="shared" si="33"/>
        <v>75.319999999999993</v>
      </c>
      <c r="H754" t="str">
        <f>_xlfn.XLOOKUP(B754,customer_orders!A:A,customer_orders!F:F)</f>
        <v>2026-04</v>
      </c>
      <c r="I754" t="str">
        <f>_xlfn.XLOOKUP(C754,products!A:A,products!B:B)</f>
        <v>SKU-0095</v>
      </c>
      <c r="J754" t="str">
        <f>_xlfn.XLOOKUP(B754,customer_orders!A:A,customer_orders!G:G)</f>
        <v>2026-w14</v>
      </c>
      <c r="K754">
        <f>IFERROR(_xlfn.XLOOKUP(B754,shipments!B:B,shipments!H:H),0)</f>
        <v>0</v>
      </c>
      <c r="L754">
        <f t="shared" si="34"/>
        <v>0</v>
      </c>
      <c r="M754" t="str">
        <f>_xlfn.XLOOKUP(B754,customer_orders!A:A,customer_orders!D:D)</f>
        <v>Shopify</v>
      </c>
      <c r="N754" t="str">
        <f>_xlfn.XLOOKUP(C754,inventory!B:B,inventory!C:C)</f>
        <v>Draper</v>
      </c>
      <c r="O754">
        <f>IF(_xlfn.XLOOKUP(C754,products!A:A,products!E:E)="NULL",0,_xlfn.XLOOKUP(C754,products!A:A,products!E:E))</f>
        <v>71.34</v>
      </c>
      <c r="P754">
        <f t="shared" si="35"/>
        <v>3.9799999999999898</v>
      </c>
      <c r="Q754" s="2" t="str">
        <f>_xlfn.XLOOKUP(I754,products!B:B,products!D:D)</f>
        <v>Electronics</v>
      </c>
    </row>
    <row r="755" spans="1:17">
      <c r="A755">
        <v>754</v>
      </c>
      <c r="B755">
        <v>1305</v>
      </c>
      <c r="C755">
        <v>106</v>
      </c>
      <c r="D755">
        <v>5</v>
      </c>
      <c r="E755">
        <v>65.2</v>
      </c>
      <c r="F755">
        <v>11.75</v>
      </c>
      <c r="G755">
        <f t="shared" si="33"/>
        <v>314.25</v>
      </c>
      <c r="H755" t="str">
        <f>_xlfn.XLOOKUP(B755,customer_orders!A:A,customer_orders!F:F)</f>
        <v>2026-04</v>
      </c>
      <c r="I755" t="str">
        <f>_xlfn.XLOOKUP(C755,products!A:A,products!B:B)</f>
        <v>SKU-0106</v>
      </c>
      <c r="J755" t="str">
        <f>_xlfn.XLOOKUP(B755,customer_orders!A:A,customer_orders!G:G)</f>
        <v>2026-w14</v>
      </c>
      <c r="K755">
        <f>IFERROR(_xlfn.XLOOKUP(B755,shipments!B:B,shipments!H:H),0)</f>
        <v>0</v>
      </c>
      <c r="L755">
        <f t="shared" si="34"/>
        <v>0</v>
      </c>
      <c r="M755" t="str">
        <f>_xlfn.XLOOKUP(B755,customer_orders!A:A,customer_orders!D:D)</f>
        <v>Shopify</v>
      </c>
      <c r="N755" t="str">
        <f>_xlfn.XLOOKUP(C755,inventory!B:B,inventory!C:C)</f>
        <v>Lehi</v>
      </c>
      <c r="O755">
        <f>IF(_xlfn.XLOOKUP(C755,products!A:A,products!E:E)="NULL",0,_xlfn.XLOOKUP(C755,products!A:A,products!E:E))</f>
        <v>0</v>
      </c>
      <c r="P755">
        <f t="shared" si="35"/>
        <v>314.25</v>
      </c>
      <c r="Q755" s="2" t="str">
        <f>_xlfn.XLOOKUP(I755,products!B:B,products!D:D)</f>
        <v>Toys</v>
      </c>
    </row>
    <row r="756" spans="1:17">
      <c r="A756">
        <v>755</v>
      </c>
      <c r="B756">
        <v>1306</v>
      </c>
      <c r="C756">
        <v>65</v>
      </c>
      <c r="D756">
        <v>2</v>
      </c>
      <c r="E756">
        <v>203.11</v>
      </c>
      <c r="F756">
        <v>9.4</v>
      </c>
      <c r="G756">
        <f t="shared" si="33"/>
        <v>396.82000000000005</v>
      </c>
      <c r="H756" t="str">
        <f>_xlfn.XLOOKUP(B756,customer_orders!A:A,customer_orders!F:F)</f>
        <v>2026-01</v>
      </c>
      <c r="I756" t="str">
        <f>_xlfn.XLOOKUP(C756,products!A:A,products!B:B)</f>
        <v>SKU-0065</v>
      </c>
      <c r="J756" t="str">
        <f>_xlfn.XLOOKUP(B756,customer_orders!A:A,customer_orders!G:G)</f>
        <v>2026-w05</v>
      </c>
      <c r="K756">
        <f>IFERROR(_xlfn.XLOOKUP(B756,shipments!B:B,shipments!H:H),0)</f>
        <v>42.87</v>
      </c>
      <c r="L756">
        <f t="shared" si="34"/>
        <v>0.11</v>
      </c>
      <c r="M756" t="str">
        <f>_xlfn.XLOOKUP(B756,customer_orders!A:A,customer_orders!D:D)</f>
        <v>Amazon</v>
      </c>
      <c r="N756" t="str">
        <f>_xlfn.XLOOKUP(C756,inventory!B:B,inventory!C:C)</f>
        <v>Salt Lake City</v>
      </c>
      <c r="O756">
        <f>IF(_xlfn.XLOOKUP(C756,products!A:A,products!E:E)="NULL",0,_xlfn.XLOOKUP(C756,products!A:A,products!E:E))</f>
        <v>44.01</v>
      </c>
      <c r="P756">
        <f t="shared" si="35"/>
        <v>352.81000000000006</v>
      </c>
      <c r="Q756" s="2" t="str">
        <f>_xlfn.XLOOKUP(I756,products!B:B,products!D:D)</f>
        <v>Sports</v>
      </c>
    </row>
    <row r="757" spans="1:17">
      <c r="A757">
        <v>756</v>
      </c>
      <c r="B757">
        <v>1306</v>
      </c>
      <c r="C757">
        <v>35</v>
      </c>
      <c r="D757">
        <v>6</v>
      </c>
      <c r="E757">
        <v>46.14</v>
      </c>
      <c r="F757">
        <v>0</v>
      </c>
      <c r="G757">
        <f t="shared" si="33"/>
        <v>276.84000000000003</v>
      </c>
      <c r="H757" t="str">
        <f>_xlfn.XLOOKUP(B757,customer_orders!A:A,customer_orders!F:F)</f>
        <v>2026-01</v>
      </c>
      <c r="I757" t="str">
        <f>_xlfn.XLOOKUP(C757,products!A:A,products!B:B)</f>
        <v>SKU-0035</v>
      </c>
      <c r="J757" t="str">
        <f>_xlfn.XLOOKUP(B757,customer_orders!A:A,customer_orders!G:G)</f>
        <v>2026-w05</v>
      </c>
      <c r="K757">
        <f>IFERROR(_xlfn.XLOOKUP(B757,shipments!B:B,shipments!H:H),0)</f>
        <v>42.87</v>
      </c>
      <c r="L757">
        <f t="shared" si="34"/>
        <v>0.15</v>
      </c>
      <c r="M757" t="str">
        <f>_xlfn.XLOOKUP(B757,customer_orders!A:A,customer_orders!D:D)</f>
        <v>Amazon</v>
      </c>
      <c r="N757" t="str">
        <f>_xlfn.XLOOKUP(C757,inventory!B:B,inventory!C:C)</f>
        <v>Salt Lake City</v>
      </c>
      <c r="O757">
        <f>IF(_xlfn.XLOOKUP(C757,products!A:A,products!E:E)="NULL",0,_xlfn.XLOOKUP(C757,products!A:A,products!E:E))</f>
        <v>145.1</v>
      </c>
      <c r="P757">
        <f t="shared" si="35"/>
        <v>131.74000000000004</v>
      </c>
      <c r="Q757" s="2" t="str">
        <f>_xlfn.XLOOKUP(I757,products!B:B,products!D:D)</f>
        <v>Office</v>
      </c>
    </row>
    <row r="758" spans="1:17">
      <c r="A758">
        <v>757</v>
      </c>
      <c r="B758">
        <v>1307</v>
      </c>
      <c r="C758">
        <v>60</v>
      </c>
      <c r="D758">
        <v>1</v>
      </c>
      <c r="E758">
        <v>115.8</v>
      </c>
      <c r="F758">
        <v>0</v>
      </c>
      <c r="G758">
        <f t="shared" si="33"/>
        <v>115.8</v>
      </c>
      <c r="H758" t="str">
        <f>_xlfn.XLOOKUP(B758,customer_orders!A:A,customer_orders!F:F)</f>
        <v>2026-05</v>
      </c>
      <c r="I758" t="str">
        <f>_xlfn.XLOOKUP(C758,products!A:A,products!B:B)</f>
        <v>SKU-0060</v>
      </c>
      <c r="J758" t="str">
        <f>_xlfn.XLOOKUP(B758,customer_orders!A:A,customer_orders!G:G)</f>
        <v>2026-w20</v>
      </c>
      <c r="K758">
        <f>IFERROR(_xlfn.XLOOKUP(B758,shipments!B:B,shipments!H:H),0)</f>
        <v>91.84</v>
      </c>
      <c r="L758">
        <f t="shared" si="34"/>
        <v>0.79</v>
      </c>
      <c r="M758" t="str">
        <f>_xlfn.XLOOKUP(B758,customer_orders!A:A,customer_orders!D:D)</f>
        <v>Shopify</v>
      </c>
      <c r="N758" t="str">
        <f>_xlfn.XLOOKUP(C758,inventory!B:B,inventory!C:C)</f>
        <v>Draper</v>
      </c>
      <c r="O758">
        <f>IF(_xlfn.XLOOKUP(C758,products!A:A,products!E:E)="NULL",0,_xlfn.XLOOKUP(C758,products!A:A,products!E:E))</f>
        <v>121.71</v>
      </c>
      <c r="P758">
        <f t="shared" si="35"/>
        <v>-5.9099999999999966</v>
      </c>
      <c r="Q758" s="2" t="str">
        <f>_xlfn.XLOOKUP(I758,products!B:B,products!D:D)</f>
        <v>Beauty</v>
      </c>
    </row>
    <row r="759" spans="1:17">
      <c r="A759">
        <v>758</v>
      </c>
      <c r="B759">
        <v>1308</v>
      </c>
      <c r="C759">
        <v>53</v>
      </c>
      <c r="D759">
        <v>1</v>
      </c>
      <c r="E759">
        <v>73.03</v>
      </c>
      <c r="F759">
        <v>4.33</v>
      </c>
      <c r="G759">
        <f t="shared" si="33"/>
        <v>68.7</v>
      </c>
      <c r="H759" t="str">
        <f>_xlfn.XLOOKUP(B759,customer_orders!A:A,customer_orders!F:F)</f>
        <v>2026-05</v>
      </c>
      <c r="I759" t="str">
        <f>_xlfn.XLOOKUP(C759,products!A:A,products!B:B)</f>
        <v>SKU-0053</v>
      </c>
      <c r="J759" t="str">
        <f>_xlfn.XLOOKUP(B759,customer_orders!A:A,customer_orders!G:G)</f>
        <v>2026-w19</v>
      </c>
      <c r="K759">
        <f>IFERROR(_xlfn.XLOOKUP(B759,shipments!B:B,shipments!H:H),0)</f>
        <v>0</v>
      </c>
      <c r="L759">
        <f t="shared" si="34"/>
        <v>0</v>
      </c>
      <c r="M759" t="str">
        <f>_xlfn.XLOOKUP(B759,customer_orders!A:A,customer_orders!D:D)</f>
        <v>Shopify</v>
      </c>
      <c r="N759" t="str">
        <f>_xlfn.XLOOKUP(C759,inventory!B:B,inventory!C:C)</f>
        <v>Unknown</v>
      </c>
      <c r="O759">
        <f>IF(_xlfn.XLOOKUP(C759,products!A:A,products!E:E)="NULL",0,_xlfn.XLOOKUP(C759,products!A:A,products!E:E))</f>
        <v>0</v>
      </c>
      <c r="P759">
        <f t="shared" si="35"/>
        <v>68.7</v>
      </c>
      <c r="Q759" s="2" t="str">
        <f>_xlfn.XLOOKUP(I759,products!B:B,products!D:D)</f>
        <v>Beauty</v>
      </c>
    </row>
    <row r="760" spans="1:17">
      <c r="A760">
        <v>759</v>
      </c>
      <c r="B760">
        <v>1308</v>
      </c>
      <c r="C760">
        <v>85</v>
      </c>
      <c r="D760">
        <v>3</v>
      </c>
      <c r="E760">
        <v>163.57</v>
      </c>
      <c r="F760">
        <v>0</v>
      </c>
      <c r="G760">
        <f t="shared" si="33"/>
        <v>490.71</v>
      </c>
      <c r="H760" t="str">
        <f>_xlfn.XLOOKUP(B760,customer_orders!A:A,customer_orders!F:F)</f>
        <v>2026-05</v>
      </c>
      <c r="I760" t="str">
        <f>_xlfn.XLOOKUP(C760,products!A:A,products!B:B)</f>
        <v>SKU-0085</v>
      </c>
      <c r="J760" t="str">
        <f>_xlfn.XLOOKUP(B760,customer_orders!A:A,customer_orders!G:G)</f>
        <v>2026-w19</v>
      </c>
      <c r="K760">
        <f>IFERROR(_xlfn.XLOOKUP(B760,shipments!B:B,shipments!H:H),0)</f>
        <v>0</v>
      </c>
      <c r="L760">
        <f t="shared" si="34"/>
        <v>0</v>
      </c>
      <c r="M760" t="str">
        <f>_xlfn.XLOOKUP(B760,customer_orders!A:A,customer_orders!D:D)</f>
        <v>Shopify</v>
      </c>
      <c r="N760" t="str">
        <f>_xlfn.XLOOKUP(C760,inventory!B:B,inventory!C:C)</f>
        <v>Draper</v>
      </c>
      <c r="O760">
        <f>IF(_xlfn.XLOOKUP(C760,products!A:A,products!E:E)="NULL",0,_xlfn.XLOOKUP(C760,products!A:A,products!E:E))</f>
        <v>139.02000000000001</v>
      </c>
      <c r="P760">
        <f t="shared" si="35"/>
        <v>351.68999999999994</v>
      </c>
      <c r="Q760" s="2" t="str">
        <f>_xlfn.XLOOKUP(I760,products!B:B,products!D:D)</f>
        <v>Beauty</v>
      </c>
    </row>
    <row r="761" spans="1:17">
      <c r="A761">
        <v>760</v>
      </c>
      <c r="B761">
        <v>1308</v>
      </c>
      <c r="C761">
        <v>134</v>
      </c>
      <c r="D761">
        <v>7</v>
      </c>
      <c r="E761">
        <v>26.36</v>
      </c>
      <c r="F761">
        <v>0</v>
      </c>
      <c r="G761">
        <f t="shared" si="33"/>
        <v>184.51999999999998</v>
      </c>
      <c r="H761" t="str">
        <f>_xlfn.XLOOKUP(B761,customer_orders!A:A,customer_orders!F:F)</f>
        <v>2026-05</v>
      </c>
      <c r="I761" t="str">
        <f>_xlfn.XLOOKUP(C761,products!A:A,products!B:B)</f>
        <v>SKU-0134</v>
      </c>
      <c r="J761" t="str">
        <f>_xlfn.XLOOKUP(B761,customer_orders!A:A,customer_orders!G:G)</f>
        <v>2026-w19</v>
      </c>
      <c r="K761">
        <f>IFERROR(_xlfn.XLOOKUP(B761,shipments!B:B,shipments!H:H),0)</f>
        <v>0</v>
      </c>
      <c r="L761">
        <f t="shared" si="34"/>
        <v>0</v>
      </c>
      <c r="M761" t="str">
        <f>_xlfn.XLOOKUP(B761,customer_orders!A:A,customer_orders!D:D)</f>
        <v>Shopify</v>
      </c>
      <c r="N761" t="str">
        <f>_xlfn.XLOOKUP(C761,inventory!B:B,inventory!C:C)</f>
        <v>Draper</v>
      </c>
      <c r="O761">
        <f>IF(_xlfn.XLOOKUP(C761,products!A:A,products!E:E)="NULL",0,_xlfn.XLOOKUP(C761,products!A:A,products!E:E))</f>
        <v>19.079999999999998</v>
      </c>
      <c r="P761">
        <f t="shared" si="35"/>
        <v>165.44</v>
      </c>
      <c r="Q761" s="2" t="str">
        <f>_xlfn.XLOOKUP(I761,products!B:B,products!D:D)</f>
        <v>Pet</v>
      </c>
    </row>
    <row r="762" spans="1:17">
      <c r="A762">
        <v>761</v>
      </c>
      <c r="B762">
        <v>1308</v>
      </c>
      <c r="C762">
        <v>7</v>
      </c>
      <c r="D762">
        <v>4</v>
      </c>
      <c r="E762">
        <v>292.33999999999997</v>
      </c>
      <c r="F762">
        <v>0</v>
      </c>
      <c r="G762">
        <f t="shared" si="33"/>
        <v>1169.3599999999999</v>
      </c>
      <c r="H762" t="str">
        <f>_xlfn.XLOOKUP(B762,customer_orders!A:A,customer_orders!F:F)</f>
        <v>2026-05</v>
      </c>
      <c r="I762" t="str">
        <f>_xlfn.XLOOKUP(C762,products!A:A,products!B:B)</f>
        <v>SKU-0007</v>
      </c>
      <c r="J762" t="str">
        <f>_xlfn.XLOOKUP(B762,customer_orders!A:A,customer_orders!G:G)</f>
        <v>2026-w19</v>
      </c>
      <c r="K762">
        <f>IFERROR(_xlfn.XLOOKUP(B762,shipments!B:B,shipments!H:H),0)</f>
        <v>0</v>
      </c>
      <c r="L762">
        <f t="shared" si="34"/>
        <v>0</v>
      </c>
      <c r="M762" t="str">
        <f>_xlfn.XLOOKUP(B762,customer_orders!A:A,customer_orders!D:D)</f>
        <v>Shopify</v>
      </c>
      <c r="N762" t="str">
        <f>_xlfn.XLOOKUP(C762,inventory!B:B,inventory!C:C)</f>
        <v>Unknown</v>
      </c>
      <c r="O762">
        <f>IF(_xlfn.XLOOKUP(C762,products!A:A,products!E:E)="NULL",0,_xlfn.XLOOKUP(C762,products!A:A,products!E:E))</f>
        <v>98.84</v>
      </c>
      <c r="P762">
        <f t="shared" si="35"/>
        <v>1070.52</v>
      </c>
      <c r="Q762" s="2" t="str">
        <f>_xlfn.XLOOKUP(I762,products!B:B,products!D:D)</f>
        <v>Electronics</v>
      </c>
    </row>
    <row r="763" spans="1:17">
      <c r="A763">
        <v>762</v>
      </c>
      <c r="B763">
        <v>1309</v>
      </c>
      <c r="C763">
        <v>57</v>
      </c>
      <c r="D763">
        <v>7</v>
      </c>
      <c r="E763">
        <v>266.69</v>
      </c>
      <c r="F763">
        <v>0</v>
      </c>
      <c r="G763">
        <f t="shared" si="33"/>
        <v>1866.83</v>
      </c>
      <c r="H763" t="str">
        <f>_xlfn.XLOOKUP(B763,customer_orders!A:A,customer_orders!F:F)</f>
        <v>2026-02</v>
      </c>
      <c r="I763" t="str">
        <f>_xlfn.XLOOKUP(C763,products!A:A,products!B:B)</f>
        <v>SKU-0057</v>
      </c>
      <c r="J763" t="str">
        <f>_xlfn.XLOOKUP(B763,customer_orders!A:A,customer_orders!G:G)</f>
        <v>2026-w09</v>
      </c>
      <c r="K763">
        <f>IFERROR(_xlfn.XLOOKUP(B763,shipments!B:B,shipments!H:H),0)</f>
        <v>77.59</v>
      </c>
      <c r="L763">
        <f t="shared" si="34"/>
        <v>0.04</v>
      </c>
      <c r="M763" t="str">
        <f>_xlfn.XLOOKUP(B763,customer_orders!A:A,customer_orders!D:D)</f>
        <v>Amazon</v>
      </c>
      <c r="N763" t="str">
        <f>_xlfn.XLOOKUP(C763,inventory!B:B,inventory!C:C)</f>
        <v>South Jordan</v>
      </c>
      <c r="O763">
        <f>IF(_xlfn.XLOOKUP(C763,products!A:A,products!E:E)="NULL",0,_xlfn.XLOOKUP(C763,products!A:A,products!E:E))</f>
        <v>18.170000000000002</v>
      </c>
      <c r="P763">
        <f t="shared" si="35"/>
        <v>1848.6599999999999</v>
      </c>
      <c r="Q763" s="2" t="str">
        <f>_xlfn.XLOOKUP(I763,products!B:B,products!D:D)</f>
        <v>Electronics</v>
      </c>
    </row>
    <row r="764" spans="1:17">
      <c r="A764">
        <v>763</v>
      </c>
      <c r="B764">
        <v>1309</v>
      </c>
      <c r="C764">
        <v>114</v>
      </c>
      <c r="D764">
        <v>1</v>
      </c>
      <c r="E764">
        <v>171.86</v>
      </c>
      <c r="F764">
        <v>1.9</v>
      </c>
      <c r="G764">
        <f t="shared" si="33"/>
        <v>169.96</v>
      </c>
      <c r="H764" t="str">
        <f>_xlfn.XLOOKUP(B764,customer_orders!A:A,customer_orders!F:F)</f>
        <v>2026-02</v>
      </c>
      <c r="I764" t="str">
        <f>_xlfn.XLOOKUP(C764,products!A:A,products!B:B)</f>
        <v>SKU-0114</v>
      </c>
      <c r="J764" t="str">
        <f>_xlfn.XLOOKUP(B764,customer_orders!A:A,customer_orders!G:G)</f>
        <v>2026-w09</v>
      </c>
      <c r="K764">
        <f>IFERROR(_xlfn.XLOOKUP(B764,shipments!B:B,shipments!H:H),0)</f>
        <v>77.59</v>
      </c>
      <c r="L764">
        <f t="shared" si="34"/>
        <v>0.46</v>
      </c>
      <c r="M764" t="str">
        <f>_xlfn.XLOOKUP(B764,customer_orders!A:A,customer_orders!D:D)</f>
        <v>Amazon</v>
      </c>
      <c r="N764" t="str">
        <f>_xlfn.XLOOKUP(C764,inventory!B:B,inventory!C:C)</f>
        <v>Salt Lake City</v>
      </c>
      <c r="O764">
        <f>IF(_xlfn.XLOOKUP(C764,products!A:A,products!E:E)="NULL",0,_xlfn.XLOOKUP(C764,products!A:A,products!E:E))</f>
        <v>179.41</v>
      </c>
      <c r="P764">
        <f t="shared" si="35"/>
        <v>-9.4499999999999886</v>
      </c>
      <c r="Q764" s="2" t="str">
        <f>_xlfn.XLOOKUP(I764,products!B:B,products!D:D)</f>
        <v>Kitchen</v>
      </c>
    </row>
    <row r="765" spans="1:17">
      <c r="A765">
        <v>764</v>
      </c>
      <c r="B765">
        <v>1310</v>
      </c>
      <c r="C765">
        <v>130</v>
      </c>
      <c r="D765">
        <v>2</v>
      </c>
      <c r="E765">
        <v>193.14</v>
      </c>
      <c r="F765">
        <v>6.97</v>
      </c>
      <c r="G765">
        <f t="shared" si="33"/>
        <v>379.30999999999995</v>
      </c>
      <c r="H765" t="str">
        <f>_xlfn.XLOOKUP(B765,customer_orders!A:A,customer_orders!F:F)</f>
        <v>2026-02</v>
      </c>
      <c r="I765" t="str">
        <f>_xlfn.XLOOKUP(C765,products!A:A,products!B:B)</f>
        <v>SKU-0130</v>
      </c>
      <c r="J765" t="str">
        <f>_xlfn.XLOOKUP(B765,customer_orders!A:A,customer_orders!G:G)</f>
        <v>2026-w07</v>
      </c>
      <c r="K765">
        <f>IFERROR(_xlfn.XLOOKUP(B765,shipments!B:B,shipments!H:H),0)</f>
        <v>32.880000000000003</v>
      </c>
      <c r="L765">
        <f t="shared" si="34"/>
        <v>0.09</v>
      </c>
      <c r="M765" t="str">
        <f>_xlfn.XLOOKUP(B765,customer_orders!A:A,customer_orders!D:D)</f>
        <v>Amazon</v>
      </c>
      <c r="N765" t="str">
        <f>_xlfn.XLOOKUP(C765,inventory!B:B,inventory!C:C)</f>
        <v>South Jordan</v>
      </c>
      <c r="O765">
        <f>IF(_xlfn.XLOOKUP(C765,products!A:A,products!E:E)="NULL",0,_xlfn.XLOOKUP(C765,products!A:A,products!E:E))</f>
        <v>142.87</v>
      </c>
      <c r="P765">
        <f t="shared" si="35"/>
        <v>236.43999999999994</v>
      </c>
      <c r="Q765" s="2" t="str">
        <f>_xlfn.XLOOKUP(I765,products!B:B,products!D:D)</f>
        <v>Beauty</v>
      </c>
    </row>
    <row r="766" spans="1:17">
      <c r="A766">
        <v>765</v>
      </c>
      <c r="B766">
        <v>1310</v>
      </c>
      <c r="C766">
        <v>80</v>
      </c>
      <c r="D766">
        <v>3</v>
      </c>
      <c r="E766">
        <v>84.54</v>
      </c>
      <c r="F766">
        <v>0</v>
      </c>
      <c r="G766">
        <f t="shared" si="33"/>
        <v>253.62</v>
      </c>
      <c r="H766" t="str">
        <f>_xlfn.XLOOKUP(B766,customer_orders!A:A,customer_orders!F:F)</f>
        <v>2026-02</v>
      </c>
      <c r="I766" t="str">
        <f>_xlfn.XLOOKUP(C766,products!A:A,products!B:B)</f>
        <v>SKU-0080</v>
      </c>
      <c r="J766" t="str">
        <f>_xlfn.XLOOKUP(B766,customer_orders!A:A,customer_orders!G:G)</f>
        <v>2026-w07</v>
      </c>
      <c r="K766">
        <f>IFERROR(_xlfn.XLOOKUP(B766,shipments!B:B,shipments!H:H),0)</f>
        <v>32.880000000000003</v>
      </c>
      <c r="L766">
        <f t="shared" si="34"/>
        <v>0.13</v>
      </c>
      <c r="M766" t="str">
        <f>_xlfn.XLOOKUP(B766,customer_orders!A:A,customer_orders!D:D)</f>
        <v>Amazon</v>
      </c>
      <c r="N766" t="str">
        <f>_xlfn.XLOOKUP(C766,inventory!B:B,inventory!C:C)</f>
        <v>Salt Lake City</v>
      </c>
      <c r="O766">
        <f>IF(_xlfn.XLOOKUP(C766,products!A:A,products!E:E)="NULL",0,_xlfn.XLOOKUP(C766,products!A:A,products!E:E))</f>
        <v>91.52</v>
      </c>
      <c r="P766">
        <f t="shared" si="35"/>
        <v>162.10000000000002</v>
      </c>
      <c r="Q766" s="2" t="str">
        <f>_xlfn.XLOOKUP(I766,products!B:B,products!D:D)</f>
        <v>Beauty</v>
      </c>
    </row>
    <row r="767" spans="1:17">
      <c r="A767">
        <v>766</v>
      </c>
      <c r="B767">
        <v>1311</v>
      </c>
      <c r="C767">
        <v>43</v>
      </c>
      <c r="D767">
        <v>8</v>
      </c>
      <c r="E767">
        <v>277.02999999999997</v>
      </c>
      <c r="F767">
        <v>7.18</v>
      </c>
      <c r="G767">
        <f t="shared" si="33"/>
        <v>2209.06</v>
      </c>
      <c r="H767" t="str">
        <f>_xlfn.XLOOKUP(B767,customer_orders!A:A,customer_orders!F:F)</f>
        <v>2026-05</v>
      </c>
      <c r="I767" t="str">
        <f>_xlfn.XLOOKUP(C767,products!A:A,products!B:B)</f>
        <v>SKU-0043</v>
      </c>
      <c r="J767" t="str">
        <f>_xlfn.XLOOKUP(B767,customer_orders!A:A,customer_orders!G:G)</f>
        <v>2026-w19</v>
      </c>
      <c r="K767">
        <f>IFERROR(_xlfn.XLOOKUP(B767,shipments!B:B,shipments!H:H),0)</f>
        <v>39.479999999999997</v>
      </c>
      <c r="L767">
        <f t="shared" si="34"/>
        <v>0.02</v>
      </c>
      <c r="M767" t="str">
        <f>_xlfn.XLOOKUP(B767,customer_orders!A:A,customer_orders!D:D)</f>
        <v>Ebay</v>
      </c>
      <c r="N767" t="str">
        <f>_xlfn.XLOOKUP(C767,inventory!B:B,inventory!C:C)</f>
        <v>Draper</v>
      </c>
      <c r="O767">
        <f>IF(_xlfn.XLOOKUP(C767,products!A:A,products!E:E)="NULL",0,_xlfn.XLOOKUP(C767,products!A:A,products!E:E))</f>
        <v>88.44</v>
      </c>
      <c r="P767">
        <f t="shared" si="35"/>
        <v>2120.62</v>
      </c>
      <c r="Q767" s="2" t="str">
        <f>_xlfn.XLOOKUP(I767,products!B:B,products!D:D)</f>
        <v>Electronics</v>
      </c>
    </row>
    <row r="768" spans="1:17">
      <c r="A768">
        <v>767</v>
      </c>
      <c r="B768">
        <v>1311</v>
      </c>
      <c r="C768">
        <v>40</v>
      </c>
      <c r="D768">
        <v>8</v>
      </c>
      <c r="E768">
        <v>90.58</v>
      </c>
      <c r="F768">
        <v>1.28</v>
      </c>
      <c r="G768">
        <f t="shared" si="33"/>
        <v>723.36</v>
      </c>
      <c r="H768" t="str">
        <f>_xlfn.XLOOKUP(B768,customer_orders!A:A,customer_orders!F:F)</f>
        <v>2026-05</v>
      </c>
      <c r="I768" t="str">
        <f>_xlfn.XLOOKUP(C768,products!A:A,products!B:B)</f>
        <v>SKU-0040</v>
      </c>
      <c r="J768" t="str">
        <f>_xlfn.XLOOKUP(B768,customer_orders!A:A,customer_orders!G:G)</f>
        <v>2026-w19</v>
      </c>
      <c r="K768">
        <f>IFERROR(_xlfn.XLOOKUP(B768,shipments!B:B,shipments!H:H),0)</f>
        <v>39.479999999999997</v>
      </c>
      <c r="L768">
        <f t="shared" si="34"/>
        <v>0.05</v>
      </c>
      <c r="M768" t="str">
        <f>_xlfn.XLOOKUP(B768,customer_orders!A:A,customer_orders!D:D)</f>
        <v>Ebay</v>
      </c>
      <c r="N768" t="str">
        <f>_xlfn.XLOOKUP(C768,inventory!B:B,inventory!C:C)</f>
        <v>Salt Lake City</v>
      </c>
      <c r="O768">
        <f>IF(_xlfn.XLOOKUP(C768,products!A:A,products!E:E)="NULL",0,_xlfn.XLOOKUP(C768,products!A:A,products!E:E))</f>
        <v>177.43</v>
      </c>
      <c r="P768">
        <f t="shared" si="35"/>
        <v>545.93000000000006</v>
      </c>
      <c r="Q768" s="2" t="str">
        <f>_xlfn.XLOOKUP(I768,products!B:B,products!D:D)</f>
        <v>Office</v>
      </c>
    </row>
    <row r="769" spans="1:17">
      <c r="A769">
        <v>768</v>
      </c>
      <c r="B769">
        <v>1311</v>
      </c>
      <c r="C769">
        <v>110</v>
      </c>
      <c r="D769">
        <v>2</v>
      </c>
      <c r="E769">
        <v>112</v>
      </c>
      <c r="F769">
        <v>0</v>
      </c>
      <c r="G769">
        <f t="shared" si="33"/>
        <v>224</v>
      </c>
      <c r="H769" t="str">
        <f>_xlfn.XLOOKUP(B769,customer_orders!A:A,customer_orders!F:F)</f>
        <v>2026-05</v>
      </c>
      <c r="I769" t="str">
        <f>_xlfn.XLOOKUP(C769,products!A:A,products!B:B)</f>
        <v>SKU-0110</v>
      </c>
      <c r="J769" t="str">
        <f>_xlfn.XLOOKUP(B769,customer_orders!A:A,customer_orders!G:G)</f>
        <v>2026-w19</v>
      </c>
      <c r="K769">
        <f>IFERROR(_xlfn.XLOOKUP(B769,shipments!B:B,shipments!H:H),0)</f>
        <v>39.479999999999997</v>
      </c>
      <c r="L769">
        <f t="shared" si="34"/>
        <v>0.18</v>
      </c>
      <c r="M769" t="str">
        <f>_xlfn.XLOOKUP(B769,customer_orders!A:A,customer_orders!D:D)</f>
        <v>Ebay</v>
      </c>
      <c r="N769" t="str">
        <f>_xlfn.XLOOKUP(C769,inventory!B:B,inventory!C:C)</f>
        <v>Draper</v>
      </c>
      <c r="O769">
        <f>IF(_xlfn.XLOOKUP(C769,products!A:A,products!E:E)="NULL",0,_xlfn.XLOOKUP(C769,products!A:A,products!E:E))</f>
        <v>144.62</v>
      </c>
      <c r="P769">
        <f t="shared" si="35"/>
        <v>79.38</v>
      </c>
      <c r="Q769" s="2" t="str">
        <f>_xlfn.XLOOKUP(I769,products!B:B,products!D:D)</f>
        <v>Beauty</v>
      </c>
    </row>
    <row r="770" spans="1:17">
      <c r="A770">
        <v>769</v>
      </c>
      <c r="B770">
        <v>1311</v>
      </c>
      <c r="C770">
        <v>138</v>
      </c>
      <c r="D770">
        <v>3</v>
      </c>
      <c r="E770">
        <v>106.5</v>
      </c>
      <c r="F770">
        <v>0</v>
      </c>
      <c r="G770">
        <f t="shared" si="33"/>
        <v>319.5</v>
      </c>
      <c r="H770" t="str">
        <f>_xlfn.XLOOKUP(B770,customer_orders!A:A,customer_orders!F:F)</f>
        <v>2026-05</v>
      </c>
      <c r="I770" t="str">
        <f>_xlfn.XLOOKUP(C770,products!A:A,products!B:B)</f>
        <v>SKU-0138</v>
      </c>
      <c r="J770" t="str">
        <f>_xlfn.XLOOKUP(B770,customer_orders!A:A,customer_orders!G:G)</f>
        <v>2026-w19</v>
      </c>
      <c r="K770">
        <f>IFERROR(_xlfn.XLOOKUP(B770,shipments!B:B,shipments!H:H),0)</f>
        <v>39.479999999999997</v>
      </c>
      <c r="L770">
        <f t="shared" si="34"/>
        <v>0.12</v>
      </c>
      <c r="M770" t="str">
        <f>_xlfn.XLOOKUP(B770,customer_orders!A:A,customer_orders!D:D)</f>
        <v>Ebay</v>
      </c>
      <c r="N770" t="str">
        <f>_xlfn.XLOOKUP(C770,inventory!B:B,inventory!C:C)</f>
        <v>South Jordan</v>
      </c>
      <c r="O770">
        <f>IF(_xlfn.XLOOKUP(C770,products!A:A,products!E:E)="NULL",0,_xlfn.XLOOKUP(C770,products!A:A,products!E:E))</f>
        <v>76.459999999999994</v>
      </c>
      <c r="P770">
        <f t="shared" si="35"/>
        <v>243.04000000000002</v>
      </c>
      <c r="Q770" s="2" t="str">
        <f>_xlfn.XLOOKUP(I770,products!B:B,products!D:D)</f>
        <v>Pet</v>
      </c>
    </row>
    <row r="771" spans="1:17">
      <c r="A771">
        <v>770</v>
      </c>
      <c r="B771">
        <v>1312</v>
      </c>
      <c r="C771">
        <v>40</v>
      </c>
      <c r="D771">
        <v>4</v>
      </c>
      <c r="E771">
        <v>90.58</v>
      </c>
      <c r="F771">
        <v>0</v>
      </c>
      <c r="G771">
        <f t="shared" ref="G771:G834" si="36">E771*D771-F771</f>
        <v>362.32</v>
      </c>
      <c r="H771" t="str">
        <f>_xlfn.XLOOKUP(B771,customer_orders!A:A,customer_orders!F:F)</f>
        <v>2026-03</v>
      </c>
      <c r="I771" t="str">
        <f>_xlfn.XLOOKUP(C771,products!A:A,products!B:B)</f>
        <v>SKU-0040</v>
      </c>
      <c r="J771" t="str">
        <f>_xlfn.XLOOKUP(B771,customer_orders!A:A,customer_orders!G:G)</f>
        <v>2026-w13</v>
      </c>
      <c r="K771">
        <f>IFERROR(_xlfn.XLOOKUP(B771,shipments!B:B,shipments!H:H),0)</f>
        <v>39.71</v>
      </c>
      <c r="L771">
        <f t="shared" ref="L771:L834" si="37">ROUND(K771/G771,2)</f>
        <v>0.11</v>
      </c>
      <c r="M771" t="str">
        <f>_xlfn.XLOOKUP(B771,customer_orders!A:A,customer_orders!D:D)</f>
        <v>Shopify</v>
      </c>
      <c r="N771" t="str">
        <f>_xlfn.XLOOKUP(C771,inventory!B:B,inventory!C:C)</f>
        <v>Salt Lake City</v>
      </c>
      <c r="O771">
        <f>IF(_xlfn.XLOOKUP(C771,products!A:A,products!E:E)="NULL",0,_xlfn.XLOOKUP(C771,products!A:A,products!E:E))</f>
        <v>177.43</v>
      </c>
      <c r="P771">
        <f t="shared" ref="P771:P834" si="38">G771-O771</f>
        <v>184.89</v>
      </c>
      <c r="Q771" s="2" t="str">
        <f>_xlfn.XLOOKUP(I771,products!B:B,products!D:D)</f>
        <v>Office</v>
      </c>
    </row>
    <row r="772" spans="1:17">
      <c r="A772">
        <v>771</v>
      </c>
      <c r="B772">
        <v>1312</v>
      </c>
      <c r="C772">
        <v>126</v>
      </c>
      <c r="D772">
        <v>7</v>
      </c>
      <c r="E772">
        <v>32.17</v>
      </c>
      <c r="F772">
        <v>13.96</v>
      </c>
      <c r="G772">
        <f t="shared" si="36"/>
        <v>211.23</v>
      </c>
      <c r="H772" t="str">
        <f>_xlfn.XLOOKUP(B772,customer_orders!A:A,customer_orders!F:F)</f>
        <v>2026-03</v>
      </c>
      <c r="I772" t="str">
        <f>_xlfn.XLOOKUP(C772,products!A:A,products!B:B)</f>
        <v>SKU-0126</v>
      </c>
      <c r="J772" t="str">
        <f>_xlfn.XLOOKUP(B772,customer_orders!A:A,customer_orders!G:G)</f>
        <v>2026-w13</v>
      </c>
      <c r="K772">
        <f>IFERROR(_xlfn.XLOOKUP(B772,shipments!B:B,shipments!H:H),0)</f>
        <v>39.71</v>
      </c>
      <c r="L772">
        <f t="shared" si="37"/>
        <v>0.19</v>
      </c>
      <c r="M772" t="str">
        <f>_xlfn.XLOOKUP(B772,customer_orders!A:A,customer_orders!D:D)</f>
        <v>Shopify</v>
      </c>
      <c r="N772" t="str">
        <f>_xlfn.XLOOKUP(C772,inventory!B:B,inventory!C:C)</f>
        <v>South Jordan</v>
      </c>
      <c r="O772">
        <f>IF(_xlfn.XLOOKUP(C772,products!A:A,products!E:E)="NULL",0,_xlfn.XLOOKUP(C772,products!A:A,products!E:E))</f>
        <v>104.51</v>
      </c>
      <c r="P772">
        <f t="shared" si="38"/>
        <v>106.71999999999998</v>
      </c>
      <c r="Q772" s="2" t="str">
        <f>_xlfn.XLOOKUP(I772,products!B:B,products!D:D)</f>
        <v>Office</v>
      </c>
    </row>
    <row r="773" spans="1:17">
      <c r="A773">
        <v>772</v>
      </c>
      <c r="B773">
        <v>1313</v>
      </c>
      <c r="C773">
        <v>112</v>
      </c>
      <c r="D773">
        <v>5</v>
      </c>
      <c r="E773">
        <v>154.88</v>
      </c>
      <c r="F773">
        <v>0</v>
      </c>
      <c r="G773">
        <f t="shared" si="36"/>
        <v>774.4</v>
      </c>
      <c r="H773" t="str">
        <f>_xlfn.XLOOKUP(B773,customer_orders!A:A,customer_orders!F:F)</f>
        <v>2026-02</v>
      </c>
      <c r="I773" t="str">
        <f>_xlfn.XLOOKUP(C773,products!A:A,products!B:B)</f>
        <v>SKU-0112</v>
      </c>
      <c r="J773" t="str">
        <f>_xlfn.XLOOKUP(B773,customer_orders!A:A,customer_orders!G:G)</f>
        <v>2026-w06</v>
      </c>
      <c r="K773">
        <f>IFERROR(_xlfn.XLOOKUP(B773,shipments!B:B,shipments!H:H),0)</f>
        <v>111.48</v>
      </c>
      <c r="L773">
        <f t="shared" si="37"/>
        <v>0.14000000000000001</v>
      </c>
      <c r="M773" t="str">
        <f>_xlfn.XLOOKUP(B773,customer_orders!A:A,customer_orders!D:D)</f>
        <v>Amazon</v>
      </c>
      <c r="N773" t="str">
        <f>_xlfn.XLOOKUP(C773,inventory!B:B,inventory!C:C)</f>
        <v>South Jordan</v>
      </c>
      <c r="O773">
        <f>IF(_xlfn.XLOOKUP(C773,products!A:A,products!E:E)="NULL",0,_xlfn.XLOOKUP(C773,products!A:A,products!E:E))</f>
        <v>118.03</v>
      </c>
      <c r="P773">
        <f t="shared" si="38"/>
        <v>656.37</v>
      </c>
      <c r="Q773" s="2" t="str">
        <f>_xlfn.XLOOKUP(I773,products!B:B,products!D:D)</f>
        <v>Beauty</v>
      </c>
    </row>
    <row r="774" spans="1:17">
      <c r="A774">
        <v>773</v>
      </c>
      <c r="B774">
        <v>1313</v>
      </c>
      <c r="C774">
        <v>131</v>
      </c>
      <c r="D774">
        <v>8</v>
      </c>
      <c r="E774">
        <v>57.46</v>
      </c>
      <c r="F774">
        <v>0</v>
      </c>
      <c r="G774">
        <f t="shared" si="36"/>
        <v>459.68</v>
      </c>
      <c r="H774" t="str">
        <f>_xlfn.XLOOKUP(B774,customer_orders!A:A,customer_orders!F:F)</f>
        <v>2026-02</v>
      </c>
      <c r="I774" t="str">
        <f>_xlfn.XLOOKUP(C774,products!A:A,products!B:B)</f>
        <v>SKU-0131</v>
      </c>
      <c r="J774" t="str">
        <f>_xlfn.XLOOKUP(B774,customer_orders!A:A,customer_orders!G:G)</f>
        <v>2026-w06</v>
      </c>
      <c r="K774">
        <f>IFERROR(_xlfn.XLOOKUP(B774,shipments!B:B,shipments!H:H),0)</f>
        <v>111.48</v>
      </c>
      <c r="L774">
        <f t="shared" si="37"/>
        <v>0.24</v>
      </c>
      <c r="M774" t="str">
        <f>_xlfn.XLOOKUP(B774,customer_orders!A:A,customer_orders!D:D)</f>
        <v>Amazon</v>
      </c>
      <c r="N774" t="str">
        <f>_xlfn.XLOOKUP(C774,inventory!B:B,inventory!C:C)</f>
        <v>Salt Lake City</v>
      </c>
      <c r="O774">
        <f>IF(_xlfn.XLOOKUP(C774,products!A:A,products!E:E)="NULL",0,_xlfn.XLOOKUP(C774,products!A:A,products!E:E))</f>
        <v>44.34</v>
      </c>
      <c r="P774">
        <f t="shared" si="38"/>
        <v>415.34000000000003</v>
      </c>
      <c r="Q774" s="2" t="str">
        <f>_xlfn.XLOOKUP(I774,products!B:B,products!D:D)</f>
        <v>Home</v>
      </c>
    </row>
    <row r="775" spans="1:17">
      <c r="A775">
        <v>774</v>
      </c>
      <c r="B775">
        <v>1314</v>
      </c>
      <c r="C775">
        <v>38</v>
      </c>
      <c r="D775">
        <v>5</v>
      </c>
      <c r="E775">
        <v>256.88</v>
      </c>
      <c r="F775">
        <v>0</v>
      </c>
      <c r="G775">
        <f t="shared" si="36"/>
        <v>1284.4000000000001</v>
      </c>
      <c r="H775" t="str">
        <f>_xlfn.XLOOKUP(B775,customer_orders!A:A,customer_orders!F:F)</f>
        <v>2026-04</v>
      </c>
      <c r="I775" t="str">
        <f>_xlfn.XLOOKUP(C775,products!A:A,products!B:B)</f>
        <v>SKU-0038</v>
      </c>
      <c r="J775" t="str">
        <f>_xlfn.XLOOKUP(B775,customer_orders!A:A,customer_orders!G:G)</f>
        <v>2026-w14</v>
      </c>
      <c r="K775">
        <f>IFERROR(_xlfn.XLOOKUP(B775,shipments!B:B,shipments!H:H),0)</f>
        <v>71.09</v>
      </c>
      <c r="L775">
        <f t="shared" si="37"/>
        <v>0.06</v>
      </c>
      <c r="M775" t="str">
        <f>_xlfn.XLOOKUP(B775,customer_orders!A:A,customer_orders!D:D)</f>
        <v>Shopify</v>
      </c>
      <c r="N775" t="str">
        <f>_xlfn.XLOOKUP(C775,inventory!B:B,inventory!C:C)</f>
        <v>Unknown</v>
      </c>
      <c r="O775">
        <f>IF(_xlfn.XLOOKUP(C775,products!A:A,products!E:E)="NULL",0,_xlfn.XLOOKUP(C775,products!A:A,products!E:E))</f>
        <v>167.11</v>
      </c>
      <c r="P775">
        <f t="shared" si="38"/>
        <v>1117.29</v>
      </c>
      <c r="Q775" s="2" t="str">
        <f>_xlfn.XLOOKUP(I775,products!B:B,products!D:D)</f>
        <v>Electronics</v>
      </c>
    </row>
    <row r="776" spans="1:17">
      <c r="A776">
        <v>775</v>
      </c>
      <c r="B776">
        <v>1315</v>
      </c>
      <c r="C776">
        <v>21</v>
      </c>
      <c r="D776">
        <v>4</v>
      </c>
      <c r="E776">
        <v>60.07</v>
      </c>
      <c r="F776">
        <v>0</v>
      </c>
      <c r="G776">
        <f t="shared" si="36"/>
        <v>240.28</v>
      </c>
      <c r="H776" t="str">
        <f>_xlfn.XLOOKUP(B776,customer_orders!A:A,customer_orders!F:F)</f>
        <v>2026-01</v>
      </c>
      <c r="I776" t="str">
        <f>_xlfn.XLOOKUP(C776,products!A:A,products!B:B)</f>
        <v>SKU-0021</v>
      </c>
      <c r="J776" t="str">
        <f>_xlfn.XLOOKUP(B776,customer_orders!A:A,customer_orders!G:G)</f>
        <v>2026-w04</v>
      </c>
      <c r="K776">
        <f>IFERROR(_xlfn.XLOOKUP(B776,shipments!B:B,shipments!H:H),0)</f>
        <v>392.62</v>
      </c>
      <c r="L776">
        <f t="shared" si="37"/>
        <v>1.63</v>
      </c>
      <c r="M776" t="str">
        <f>_xlfn.XLOOKUP(B776,customer_orders!A:A,customer_orders!D:D)</f>
        <v>Shopify</v>
      </c>
      <c r="N776" t="str">
        <f>_xlfn.XLOOKUP(C776,inventory!B:B,inventory!C:C)</f>
        <v>Salt Lake City</v>
      </c>
      <c r="O776">
        <f>IF(_xlfn.XLOOKUP(C776,products!A:A,products!E:E)="NULL",0,_xlfn.XLOOKUP(C776,products!A:A,products!E:E))</f>
        <v>56.36</v>
      </c>
      <c r="P776">
        <f t="shared" si="38"/>
        <v>183.92000000000002</v>
      </c>
      <c r="Q776" s="2" t="str">
        <f>_xlfn.XLOOKUP(I776,products!B:B,products!D:D)</f>
        <v>Kitchen</v>
      </c>
    </row>
    <row r="777" spans="1:17">
      <c r="A777">
        <v>776</v>
      </c>
      <c r="B777">
        <v>1315</v>
      </c>
      <c r="C777">
        <v>110</v>
      </c>
      <c r="D777">
        <v>5</v>
      </c>
      <c r="E777">
        <v>112</v>
      </c>
      <c r="F777">
        <v>10.69</v>
      </c>
      <c r="G777">
        <f t="shared" si="36"/>
        <v>549.30999999999995</v>
      </c>
      <c r="H777" t="str">
        <f>_xlfn.XLOOKUP(B777,customer_orders!A:A,customer_orders!F:F)</f>
        <v>2026-01</v>
      </c>
      <c r="I777" t="str">
        <f>_xlfn.XLOOKUP(C777,products!A:A,products!B:B)</f>
        <v>SKU-0110</v>
      </c>
      <c r="J777" t="str">
        <f>_xlfn.XLOOKUP(B777,customer_orders!A:A,customer_orders!G:G)</f>
        <v>2026-w04</v>
      </c>
      <c r="K777">
        <f>IFERROR(_xlfn.XLOOKUP(B777,shipments!B:B,shipments!H:H),0)</f>
        <v>392.62</v>
      </c>
      <c r="L777">
        <f t="shared" si="37"/>
        <v>0.71</v>
      </c>
      <c r="M777" t="str">
        <f>_xlfn.XLOOKUP(B777,customer_orders!A:A,customer_orders!D:D)</f>
        <v>Shopify</v>
      </c>
      <c r="N777" t="str">
        <f>_xlfn.XLOOKUP(C777,inventory!B:B,inventory!C:C)</f>
        <v>Draper</v>
      </c>
      <c r="O777">
        <f>IF(_xlfn.XLOOKUP(C777,products!A:A,products!E:E)="NULL",0,_xlfn.XLOOKUP(C777,products!A:A,products!E:E))</f>
        <v>144.62</v>
      </c>
      <c r="P777">
        <f t="shared" si="38"/>
        <v>404.68999999999994</v>
      </c>
      <c r="Q777" s="2" t="str">
        <f>_xlfn.XLOOKUP(I777,products!B:B,products!D:D)</f>
        <v>Beauty</v>
      </c>
    </row>
    <row r="778" spans="1:17">
      <c r="A778">
        <v>777</v>
      </c>
      <c r="B778">
        <v>1315</v>
      </c>
      <c r="C778">
        <v>79</v>
      </c>
      <c r="D778">
        <v>7</v>
      </c>
      <c r="E778">
        <v>234.02</v>
      </c>
      <c r="F778">
        <v>0</v>
      </c>
      <c r="G778">
        <f t="shared" si="36"/>
        <v>1638.14</v>
      </c>
      <c r="H778" t="str">
        <f>_xlfn.XLOOKUP(B778,customer_orders!A:A,customer_orders!F:F)</f>
        <v>2026-01</v>
      </c>
      <c r="I778" t="str">
        <f>_xlfn.XLOOKUP(C778,products!A:A,products!B:B)</f>
        <v>SKU-0079</v>
      </c>
      <c r="J778" t="str">
        <f>_xlfn.XLOOKUP(B778,customer_orders!A:A,customer_orders!G:G)</f>
        <v>2026-w04</v>
      </c>
      <c r="K778">
        <f>IFERROR(_xlfn.XLOOKUP(B778,shipments!B:B,shipments!H:H),0)</f>
        <v>392.62</v>
      </c>
      <c r="L778">
        <f t="shared" si="37"/>
        <v>0.24</v>
      </c>
      <c r="M778" t="str">
        <f>_xlfn.XLOOKUP(B778,customer_orders!A:A,customer_orders!D:D)</f>
        <v>Shopify</v>
      </c>
      <c r="N778" t="str">
        <f>_xlfn.XLOOKUP(C778,inventory!B:B,inventory!C:C)</f>
        <v>Unknown</v>
      </c>
      <c r="O778">
        <f>IF(_xlfn.XLOOKUP(C778,products!A:A,products!E:E)="NULL",0,_xlfn.XLOOKUP(C778,products!A:A,products!E:E))</f>
        <v>111.97</v>
      </c>
      <c r="P778">
        <f t="shared" si="38"/>
        <v>1526.17</v>
      </c>
      <c r="Q778" s="2" t="str">
        <f>_xlfn.XLOOKUP(I778,products!B:B,products!D:D)</f>
        <v>Beauty</v>
      </c>
    </row>
    <row r="779" spans="1:17">
      <c r="A779">
        <v>778</v>
      </c>
      <c r="B779">
        <v>1315</v>
      </c>
      <c r="C779">
        <v>28</v>
      </c>
      <c r="D779">
        <v>6</v>
      </c>
      <c r="E779">
        <v>206.43</v>
      </c>
      <c r="F779">
        <v>0</v>
      </c>
      <c r="G779">
        <f t="shared" si="36"/>
        <v>1238.58</v>
      </c>
      <c r="H779" t="str">
        <f>_xlfn.XLOOKUP(B779,customer_orders!A:A,customer_orders!F:F)</f>
        <v>2026-01</v>
      </c>
      <c r="I779" t="str">
        <f>_xlfn.XLOOKUP(C779,products!A:A,products!B:B)</f>
        <v>SKU-0028</v>
      </c>
      <c r="J779" t="str">
        <f>_xlfn.XLOOKUP(B779,customer_orders!A:A,customer_orders!G:G)</f>
        <v>2026-w04</v>
      </c>
      <c r="K779">
        <f>IFERROR(_xlfn.XLOOKUP(B779,shipments!B:B,shipments!H:H),0)</f>
        <v>392.62</v>
      </c>
      <c r="L779">
        <f t="shared" si="37"/>
        <v>0.32</v>
      </c>
      <c r="M779" t="str">
        <f>_xlfn.XLOOKUP(B779,customer_orders!A:A,customer_orders!D:D)</f>
        <v>Shopify</v>
      </c>
      <c r="N779" t="str">
        <f>_xlfn.XLOOKUP(C779,inventory!B:B,inventory!C:C)</f>
        <v>West Valley</v>
      </c>
      <c r="O779">
        <f>IF(_xlfn.XLOOKUP(C779,products!A:A,products!E:E)="NULL",0,_xlfn.XLOOKUP(C779,products!A:A,products!E:E))</f>
        <v>74.819999999999993</v>
      </c>
      <c r="P779">
        <f t="shared" si="38"/>
        <v>1163.76</v>
      </c>
      <c r="Q779" s="2" t="str">
        <f>_xlfn.XLOOKUP(I779,products!B:B,products!D:D)</f>
        <v>Beauty</v>
      </c>
    </row>
    <row r="780" spans="1:17">
      <c r="A780">
        <v>779</v>
      </c>
      <c r="B780">
        <v>1316</v>
      </c>
      <c r="C780">
        <v>74</v>
      </c>
      <c r="D780">
        <v>7</v>
      </c>
      <c r="E780">
        <v>130.72999999999999</v>
      </c>
      <c r="F780">
        <v>0</v>
      </c>
      <c r="G780">
        <f t="shared" si="36"/>
        <v>915.1099999999999</v>
      </c>
      <c r="H780" t="str">
        <f>_xlfn.XLOOKUP(B780,customer_orders!A:A,customer_orders!F:F)</f>
        <v>2026-01</v>
      </c>
      <c r="I780" t="str">
        <f>_xlfn.XLOOKUP(C780,products!A:A,products!B:B)</f>
        <v>SKU0074</v>
      </c>
      <c r="J780" t="str">
        <f>_xlfn.XLOOKUP(B780,customer_orders!A:A,customer_orders!G:G)</f>
        <v>2026-w04</v>
      </c>
      <c r="K780">
        <f>IFERROR(_xlfn.XLOOKUP(B780,shipments!B:B,shipments!H:H),0)</f>
        <v>55.12</v>
      </c>
      <c r="L780">
        <f t="shared" si="37"/>
        <v>0.06</v>
      </c>
      <c r="M780" t="str">
        <f>_xlfn.XLOOKUP(B780,customer_orders!A:A,customer_orders!D:D)</f>
        <v>Walmart</v>
      </c>
      <c r="N780" t="str">
        <f>_xlfn.XLOOKUP(C780,inventory!B:B,inventory!C:C)</f>
        <v>Unknown</v>
      </c>
      <c r="O780">
        <f>IF(_xlfn.XLOOKUP(C780,products!A:A,products!E:E)="NULL",0,_xlfn.XLOOKUP(C780,products!A:A,products!E:E))</f>
        <v>104.59</v>
      </c>
      <c r="P780">
        <f t="shared" si="38"/>
        <v>810.51999999999987</v>
      </c>
      <c r="Q780" s="2" t="str">
        <f>_xlfn.XLOOKUP(I780,products!B:B,products!D:D)</f>
        <v>Toys</v>
      </c>
    </row>
    <row r="781" spans="1:17">
      <c r="A781">
        <v>780</v>
      </c>
      <c r="B781">
        <v>1316</v>
      </c>
      <c r="C781">
        <v>48</v>
      </c>
      <c r="D781">
        <v>3</v>
      </c>
      <c r="E781">
        <v>299.56</v>
      </c>
      <c r="F781">
        <v>0</v>
      </c>
      <c r="G781">
        <f t="shared" si="36"/>
        <v>898.68000000000006</v>
      </c>
      <c r="H781" t="str">
        <f>_xlfn.XLOOKUP(B781,customer_orders!A:A,customer_orders!F:F)</f>
        <v>2026-01</v>
      </c>
      <c r="I781" t="str">
        <f>_xlfn.XLOOKUP(C781,products!A:A,products!B:B)</f>
        <v>SKU-0048</v>
      </c>
      <c r="J781" t="str">
        <f>_xlfn.XLOOKUP(B781,customer_orders!A:A,customer_orders!G:G)</f>
        <v>2026-w04</v>
      </c>
      <c r="K781">
        <f>IFERROR(_xlfn.XLOOKUP(B781,shipments!B:B,shipments!H:H),0)</f>
        <v>55.12</v>
      </c>
      <c r="L781">
        <f t="shared" si="37"/>
        <v>0.06</v>
      </c>
      <c r="M781" t="str">
        <f>_xlfn.XLOOKUP(B781,customer_orders!A:A,customer_orders!D:D)</f>
        <v>Walmart</v>
      </c>
      <c r="N781" t="str">
        <f>_xlfn.XLOOKUP(C781,inventory!B:B,inventory!C:C)</f>
        <v>Salt Lake City</v>
      </c>
      <c r="O781">
        <f>IF(_xlfn.XLOOKUP(C781,products!A:A,products!E:E)="NULL",0,_xlfn.XLOOKUP(C781,products!A:A,products!E:E))</f>
        <v>85.2</v>
      </c>
      <c r="P781">
        <f t="shared" si="38"/>
        <v>813.48</v>
      </c>
      <c r="Q781" s="2" t="str">
        <f>_xlfn.XLOOKUP(I781,products!B:B,products!D:D)</f>
        <v>Home</v>
      </c>
    </row>
    <row r="782" spans="1:17">
      <c r="A782">
        <v>781</v>
      </c>
      <c r="B782">
        <v>1316</v>
      </c>
      <c r="C782">
        <v>129</v>
      </c>
      <c r="D782">
        <v>2</v>
      </c>
      <c r="E782">
        <v>95.57</v>
      </c>
      <c r="F782">
        <v>0</v>
      </c>
      <c r="G782">
        <f t="shared" si="36"/>
        <v>191.14</v>
      </c>
      <c r="H782" t="str">
        <f>_xlfn.XLOOKUP(B782,customer_orders!A:A,customer_orders!F:F)</f>
        <v>2026-01</v>
      </c>
      <c r="I782" t="str">
        <f>_xlfn.XLOOKUP(C782,products!A:A,products!B:B)</f>
        <v>SKU-0129</v>
      </c>
      <c r="J782" t="str">
        <f>_xlfn.XLOOKUP(B782,customer_orders!A:A,customer_orders!G:G)</f>
        <v>2026-w04</v>
      </c>
      <c r="K782">
        <f>IFERROR(_xlfn.XLOOKUP(B782,shipments!B:B,shipments!H:H),0)</f>
        <v>55.12</v>
      </c>
      <c r="L782">
        <f t="shared" si="37"/>
        <v>0.28999999999999998</v>
      </c>
      <c r="M782" t="str">
        <f>_xlfn.XLOOKUP(B782,customer_orders!A:A,customer_orders!D:D)</f>
        <v>Walmart</v>
      </c>
      <c r="N782" t="str">
        <f>_xlfn.XLOOKUP(C782,inventory!B:B,inventory!C:C)</f>
        <v>South Jordan</v>
      </c>
      <c r="O782">
        <f>IF(_xlfn.XLOOKUP(C782,products!A:A,products!E:E)="NULL",0,_xlfn.XLOOKUP(C782,products!A:A,products!E:E))</f>
        <v>55.42</v>
      </c>
      <c r="P782">
        <f t="shared" si="38"/>
        <v>135.71999999999997</v>
      </c>
      <c r="Q782" s="2" t="str">
        <f>_xlfn.XLOOKUP(I782,products!B:B,products!D:D)</f>
        <v>Electronics</v>
      </c>
    </row>
    <row r="783" spans="1:17">
      <c r="A783">
        <v>782</v>
      </c>
      <c r="B783">
        <v>1316</v>
      </c>
      <c r="C783">
        <v>48</v>
      </c>
      <c r="D783">
        <v>4</v>
      </c>
      <c r="E783">
        <v>299.56</v>
      </c>
      <c r="F783">
        <v>0</v>
      </c>
      <c r="G783">
        <f t="shared" si="36"/>
        <v>1198.24</v>
      </c>
      <c r="H783" t="str">
        <f>_xlfn.XLOOKUP(B783,customer_orders!A:A,customer_orders!F:F)</f>
        <v>2026-01</v>
      </c>
      <c r="I783" t="str">
        <f>_xlfn.XLOOKUP(C783,products!A:A,products!B:B)</f>
        <v>SKU-0048</v>
      </c>
      <c r="J783" t="str">
        <f>_xlfn.XLOOKUP(B783,customer_orders!A:A,customer_orders!G:G)</f>
        <v>2026-w04</v>
      </c>
      <c r="K783">
        <f>IFERROR(_xlfn.XLOOKUP(B783,shipments!B:B,shipments!H:H),0)</f>
        <v>55.12</v>
      </c>
      <c r="L783">
        <f t="shared" si="37"/>
        <v>0.05</v>
      </c>
      <c r="M783" t="str">
        <f>_xlfn.XLOOKUP(B783,customer_orders!A:A,customer_orders!D:D)</f>
        <v>Walmart</v>
      </c>
      <c r="N783" t="str">
        <f>_xlfn.XLOOKUP(C783,inventory!B:B,inventory!C:C)</f>
        <v>Salt Lake City</v>
      </c>
      <c r="O783">
        <f>IF(_xlfn.XLOOKUP(C783,products!A:A,products!E:E)="NULL",0,_xlfn.XLOOKUP(C783,products!A:A,products!E:E))</f>
        <v>85.2</v>
      </c>
      <c r="P783">
        <f t="shared" si="38"/>
        <v>1113.04</v>
      </c>
      <c r="Q783" s="2" t="str">
        <f>_xlfn.XLOOKUP(I783,products!B:B,products!D:D)</f>
        <v>Home</v>
      </c>
    </row>
    <row r="784" spans="1:17">
      <c r="A784">
        <v>783</v>
      </c>
      <c r="B784">
        <v>1317</v>
      </c>
      <c r="C784">
        <v>17</v>
      </c>
      <c r="D784">
        <v>6</v>
      </c>
      <c r="E784">
        <v>299.3</v>
      </c>
      <c r="F784">
        <v>0</v>
      </c>
      <c r="G784">
        <f t="shared" si="36"/>
        <v>1795.8000000000002</v>
      </c>
      <c r="H784" t="str">
        <f>_xlfn.XLOOKUP(B784,customer_orders!A:A,customer_orders!F:F)</f>
        <v>2026-03</v>
      </c>
      <c r="I784" t="str">
        <f>_xlfn.XLOOKUP(C784,products!A:A,products!B:B)</f>
        <v>SKU-0017</v>
      </c>
      <c r="J784" t="str">
        <f>_xlfn.XLOOKUP(B784,customer_orders!A:A,customer_orders!G:G)</f>
        <v>2026-w12</v>
      </c>
      <c r="K784">
        <f>IFERROR(_xlfn.XLOOKUP(B784,shipments!B:B,shipments!H:H),0)</f>
        <v>15.23</v>
      </c>
      <c r="L784">
        <f t="shared" si="37"/>
        <v>0.01</v>
      </c>
      <c r="M784" t="str">
        <f>_xlfn.XLOOKUP(B784,customer_orders!A:A,customer_orders!D:D)</f>
        <v>Walmart</v>
      </c>
      <c r="N784" t="str">
        <f>_xlfn.XLOOKUP(C784,inventory!B:B,inventory!C:C)</f>
        <v>West Valley</v>
      </c>
      <c r="O784">
        <f>IF(_xlfn.XLOOKUP(C784,products!A:A,products!E:E)="NULL",0,_xlfn.XLOOKUP(C784,products!A:A,products!E:E))</f>
        <v>43.38</v>
      </c>
      <c r="P784">
        <f t="shared" si="38"/>
        <v>1752.42</v>
      </c>
      <c r="Q784" s="2" t="str">
        <f>_xlfn.XLOOKUP(I784,products!B:B,products!D:D)</f>
        <v>Office</v>
      </c>
    </row>
    <row r="785" spans="1:17">
      <c r="A785">
        <v>784</v>
      </c>
      <c r="B785">
        <v>1317</v>
      </c>
      <c r="C785">
        <v>123</v>
      </c>
      <c r="D785">
        <v>8</v>
      </c>
      <c r="E785">
        <v>210.64</v>
      </c>
      <c r="F785">
        <v>0</v>
      </c>
      <c r="G785">
        <f t="shared" si="36"/>
        <v>1685.12</v>
      </c>
      <c r="H785" t="str">
        <f>_xlfn.XLOOKUP(B785,customer_orders!A:A,customer_orders!F:F)</f>
        <v>2026-03</v>
      </c>
      <c r="I785" t="str">
        <f>_xlfn.XLOOKUP(C785,products!A:A,products!B:B)</f>
        <v>SKU-0123</v>
      </c>
      <c r="J785" t="str">
        <f>_xlfn.XLOOKUP(B785,customer_orders!A:A,customer_orders!G:G)</f>
        <v>2026-w12</v>
      </c>
      <c r="K785">
        <f>IFERROR(_xlfn.XLOOKUP(B785,shipments!B:B,shipments!H:H),0)</f>
        <v>15.23</v>
      </c>
      <c r="L785">
        <f t="shared" si="37"/>
        <v>0.01</v>
      </c>
      <c r="M785" t="str">
        <f>_xlfn.XLOOKUP(B785,customer_orders!A:A,customer_orders!D:D)</f>
        <v>Walmart</v>
      </c>
      <c r="N785" t="str">
        <f>_xlfn.XLOOKUP(C785,inventory!B:B,inventory!C:C)</f>
        <v>Lehi</v>
      </c>
      <c r="O785">
        <f>IF(_xlfn.XLOOKUP(C785,products!A:A,products!E:E)="NULL",0,_xlfn.XLOOKUP(C785,products!A:A,products!E:E))</f>
        <v>105.98</v>
      </c>
      <c r="P785">
        <f t="shared" si="38"/>
        <v>1579.1399999999999</v>
      </c>
      <c r="Q785" s="2" t="str">
        <f>_xlfn.XLOOKUP(I785,products!B:B,products!D:D)</f>
        <v>Pet</v>
      </c>
    </row>
    <row r="786" spans="1:17">
      <c r="A786">
        <v>785</v>
      </c>
      <c r="B786">
        <v>1317</v>
      </c>
      <c r="C786">
        <v>3</v>
      </c>
      <c r="D786">
        <v>1</v>
      </c>
      <c r="E786">
        <v>22.56</v>
      </c>
      <c r="F786">
        <v>0</v>
      </c>
      <c r="G786">
        <f t="shared" si="36"/>
        <v>22.56</v>
      </c>
      <c r="H786" t="str">
        <f>_xlfn.XLOOKUP(B786,customer_orders!A:A,customer_orders!F:F)</f>
        <v>2026-03</v>
      </c>
      <c r="I786" t="str">
        <f>_xlfn.XLOOKUP(C786,products!A:A,products!B:B)</f>
        <v>SKU-0003</v>
      </c>
      <c r="J786" t="str">
        <f>_xlfn.XLOOKUP(B786,customer_orders!A:A,customer_orders!G:G)</f>
        <v>2026-w12</v>
      </c>
      <c r="K786">
        <f>IFERROR(_xlfn.XLOOKUP(B786,shipments!B:B,shipments!H:H),0)</f>
        <v>15.23</v>
      </c>
      <c r="L786">
        <f t="shared" si="37"/>
        <v>0.68</v>
      </c>
      <c r="M786" t="str">
        <f>_xlfn.XLOOKUP(B786,customer_orders!A:A,customer_orders!D:D)</f>
        <v>Walmart</v>
      </c>
      <c r="N786" t="str">
        <f>_xlfn.XLOOKUP(C786,inventory!B:B,inventory!C:C)</f>
        <v>South Jordan</v>
      </c>
      <c r="O786">
        <f>IF(_xlfn.XLOOKUP(C786,products!A:A,products!E:E)="NULL",0,_xlfn.XLOOKUP(C786,products!A:A,products!E:E))</f>
        <v>93.44</v>
      </c>
      <c r="P786">
        <f t="shared" si="38"/>
        <v>-70.88</v>
      </c>
      <c r="Q786" s="2" t="str">
        <f>_xlfn.XLOOKUP(I786,products!B:B,products!D:D)</f>
        <v>Beauty</v>
      </c>
    </row>
    <row r="787" spans="1:17">
      <c r="A787">
        <v>786</v>
      </c>
      <c r="B787">
        <v>1318</v>
      </c>
      <c r="C787">
        <v>87</v>
      </c>
      <c r="D787">
        <v>6</v>
      </c>
      <c r="E787">
        <v>124.17</v>
      </c>
      <c r="F787">
        <v>0</v>
      </c>
      <c r="G787">
        <f t="shared" si="36"/>
        <v>745.02</v>
      </c>
      <c r="H787" t="str">
        <f>_xlfn.XLOOKUP(B787,customer_orders!A:A,customer_orders!F:F)</f>
        <v>2026-03</v>
      </c>
      <c r="I787" t="str">
        <f>_xlfn.XLOOKUP(C787,products!A:A,products!B:B)</f>
        <v>SKU-0087</v>
      </c>
      <c r="J787" t="str">
        <f>_xlfn.XLOOKUP(B787,customer_orders!A:A,customer_orders!G:G)</f>
        <v>2026-w11</v>
      </c>
      <c r="K787">
        <f>IFERROR(_xlfn.XLOOKUP(B787,shipments!B:B,shipments!H:H),0)</f>
        <v>18.260000000000002</v>
      </c>
      <c r="L787">
        <f t="shared" si="37"/>
        <v>0.02</v>
      </c>
      <c r="M787" t="str">
        <f>_xlfn.XLOOKUP(B787,customer_orders!A:A,customer_orders!D:D)</f>
        <v>Walmart</v>
      </c>
      <c r="N787" t="str">
        <f>_xlfn.XLOOKUP(C787,inventory!B:B,inventory!C:C)</f>
        <v>Unknown</v>
      </c>
      <c r="O787">
        <f>IF(_xlfn.XLOOKUP(C787,products!A:A,products!E:E)="NULL",0,_xlfn.XLOOKUP(C787,products!A:A,products!E:E))</f>
        <v>31.4</v>
      </c>
      <c r="P787">
        <f t="shared" si="38"/>
        <v>713.62</v>
      </c>
      <c r="Q787" s="2" t="str">
        <f>_xlfn.XLOOKUP(I787,products!B:B,products!D:D)</f>
        <v>Home</v>
      </c>
    </row>
    <row r="788" spans="1:17">
      <c r="A788">
        <v>787</v>
      </c>
      <c r="B788">
        <v>1318</v>
      </c>
      <c r="C788">
        <v>81</v>
      </c>
      <c r="D788">
        <v>4</v>
      </c>
      <c r="E788">
        <v>244.17</v>
      </c>
      <c r="F788">
        <v>14.17</v>
      </c>
      <c r="G788">
        <f t="shared" si="36"/>
        <v>962.51</v>
      </c>
      <c r="H788" t="str">
        <f>_xlfn.XLOOKUP(B788,customer_orders!A:A,customer_orders!F:F)</f>
        <v>2026-03</v>
      </c>
      <c r="I788" t="str">
        <f>_xlfn.XLOOKUP(C788,products!A:A,products!B:B)</f>
        <v>SKU-0081</v>
      </c>
      <c r="J788" t="str">
        <f>_xlfn.XLOOKUP(B788,customer_orders!A:A,customer_orders!G:G)</f>
        <v>2026-w11</v>
      </c>
      <c r="K788">
        <f>IFERROR(_xlfn.XLOOKUP(B788,shipments!B:B,shipments!H:H),0)</f>
        <v>18.260000000000002</v>
      </c>
      <c r="L788">
        <f t="shared" si="37"/>
        <v>0.02</v>
      </c>
      <c r="M788" t="str">
        <f>_xlfn.XLOOKUP(B788,customer_orders!A:A,customer_orders!D:D)</f>
        <v>Walmart</v>
      </c>
      <c r="N788" t="str">
        <f>_xlfn.XLOOKUP(C788,inventory!B:B,inventory!C:C)</f>
        <v>Lehi</v>
      </c>
      <c r="O788">
        <f>IF(_xlfn.XLOOKUP(C788,products!A:A,products!E:E)="NULL",0,_xlfn.XLOOKUP(C788,products!A:A,products!E:E))</f>
        <v>43.3</v>
      </c>
      <c r="P788">
        <f t="shared" si="38"/>
        <v>919.21</v>
      </c>
      <c r="Q788" s="2" t="str">
        <f>_xlfn.XLOOKUP(I788,products!B:B,products!D:D)</f>
        <v>Home</v>
      </c>
    </row>
    <row r="789" spans="1:17">
      <c r="A789">
        <v>788</v>
      </c>
      <c r="B789">
        <v>1318</v>
      </c>
      <c r="C789">
        <v>97</v>
      </c>
      <c r="D789">
        <v>1</v>
      </c>
      <c r="E789">
        <v>168.73</v>
      </c>
      <c r="F789">
        <v>0</v>
      </c>
      <c r="G789">
        <f t="shared" si="36"/>
        <v>168.73</v>
      </c>
      <c r="H789" t="str">
        <f>_xlfn.XLOOKUP(B789,customer_orders!A:A,customer_orders!F:F)</f>
        <v>2026-03</v>
      </c>
      <c r="I789" t="str">
        <f>_xlfn.XLOOKUP(C789,products!A:A,products!B:B)</f>
        <v>SKU-0097</v>
      </c>
      <c r="J789" t="str">
        <f>_xlfn.XLOOKUP(B789,customer_orders!A:A,customer_orders!G:G)</f>
        <v>2026-w11</v>
      </c>
      <c r="K789">
        <f>IFERROR(_xlfn.XLOOKUP(B789,shipments!B:B,shipments!H:H),0)</f>
        <v>18.260000000000002</v>
      </c>
      <c r="L789">
        <f t="shared" si="37"/>
        <v>0.11</v>
      </c>
      <c r="M789" t="str">
        <f>_xlfn.XLOOKUP(B789,customer_orders!A:A,customer_orders!D:D)</f>
        <v>Walmart</v>
      </c>
      <c r="N789" t="str">
        <f>_xlfn.XLOOKUP(C789,inventory!B:B,inventory!C:C)</f>
        <v>West Valley</v>
      </c>
      <c r="O789">
        <f>IF(_xlfn.XLOOKUP(C789,products!A:A,products!E:E)="NULL",0,_xlfn.XLOOKUP(C789,products!A:A,products!E:E))</f>
        <v>8.39</v>
      </c>
      <c r="P789">
        <f t="shared" si="38"/>
        <v>160.33999999999997</v>
      </c>
      <c r="Q789" s="2" t="str">
        <f>_xlfn.XLOOKUP(I789,products!B:B,products!D:D)</f>
        <v>Home</v>
      </c>
    </row>
    <row r="790" spans="1:17">
      <c r="A790">
        <v>789</v>
      </c>
      <c r="B790">
        <v>1318</v>
      </c>
      <c r="C790">
        <v>26</v>
      </c>
      <c r="D790">
        <v>1</v>
      </c>
      <c r="E790">
        <v>166.82</v>
      </c>
      <c r="F790">
        <v>7.4</v>
      </c>
      <c r="G790">
        <f t="shared" si="36"/>
        <v>159.41999999999999</v>
      </c>
      <c r="H790" t="str">
        <f>_xlfn.XLOOKUP(B790,customer_orders!A:A,customer_orders!F:F)</f>
        <v>2026-03</v>
      </c>
      <c r="I790" t="str">
        <f>_xlfn.XLOOKUP(C790,products!A:A,products!B:B)</f>
        <v>SKU-0026</v>
      </c>
      <c r="J790" t="str">
        <f>_xlfn.XLOOKUP(B790,customer_orders!A:A,customer_orders!G:G)</f>
        <v>2026-w11</v>
      </c>
      <c r="K790">
        <f>IFERROR(_xlfn.XLOOKUP(B790,shipments!B:B,shipments!H:H),0)</f>
        <v>18.260000000000002</v>
      </c>
      <c r="L790">
        <f t="shared" si="37"/>
        <v>0.11</v>
      </c>
      <c r="M790" t="str">
        <f>_xlfn.XLOOKUP(B790,customer_orders!A:A,customer_orders!D:D)</f>
        <v>Walmart</v>
      </c>
      <c r="N790" t="str">
        <f>_xlfn.XLOOKUP(C790,inventory!B:B,inventory!C:C)</f>
        <v>Unknown</v>
      </c>
      <c r="O790">
        <f>IF(_xlfn.XLOOKUP(C790,products!A:A,products!E:E)="NULL",0,_xlfn.XLOOKUP(C790,products!A:A,products!E:E))</f>
        <v>176.15</v>
      </c>
      <c r="P790">
        <f t="shared" si="38"/>
        <v>-16.730000000000018</v>
      </c>
      <c r="Q790" s="2" t="str">
        <f>_xlfn.XLOOKUP(I790,products!B:B,products!D:D)</f>
        <v>Pet</v>
      </c>
    </row>
    <row r="791" spans="1:17">
      <c r="A791">
        <v>790</v>
      </c>
      <c r="B791">
        <v>1319</v>
      </c>
      <c r="C791">
        <v>132</v>
      </c>
      <c r="D791">
        <v>7</v>
      </c>
      <c r="E791">
        <v>240.9</v>
      </c>
      <c r="F791">
        <v>0</v>
      </c>
      <c r="G791">
        <f t="shared" si="36"/>
        <v>1686.3</v>
      </c>
      <c r="H791" t="str">
        <f>_xlfn.XLOOKUP(B791,customer_orders!A:A,customer_orders!F:F)</f>
        <v>2026-04</v>
      </c>
      <c r="I791" t="str">
        <f>_xlfn.XLOOKUP(C791,products!A:A,products!B:B)</f>
        <v>SKU-0132</v>
      </c>
      <c r="J791" t="str">
        <f>_xlfn.XLOOKUP(B791,customer_orders!A:A,customer_orders!G:G)</f>
        <v>2026-w18</v>
      </c>
      <c r="K791">
        <f>IFERROR(_xlfn.XLOOKUP(B791,shipments!B:B,shipments!H:H),0)</f>
        <v>89.18</v>
      </c>
      <c r="L791">
        <f t="shared" si="37"/>
        <v>0.05</v>
      </c>
      <c r="M791" t="str">
        <f>_xlfn.XLOOKUP(B791,customer_orders!A:A,customer_orders!D:D)</f>
        <v>Shopify</v>
      </c>
      <c r="N791" t="str">
        <f>_xlfn.XLOOKUP(C791,inventory!B:B,inventory!C:C)</f>
        <v>Salt Lake City</v>
      </c>
      <c r="O791">
        <f>IF(_xlfn.XLOOKUP(C791,products!A:A,products!E:E)="NULL",0,_xlfn.XLOOKUP(C791,products!A:A,products!E:E))</f>
        <v>15.44</v>
      </c>
      <c r="P791">
        <f t="shared" si="38"/>
        <v>1670.86</v>
      </c>
      <c r="Q791" s="2" t="str">
        <f>_xlfn.XLOOKUP(I791,products!B:B,products!D:D)</f>
        <v>Toys</v>
      </c>
    </row>
    <row r="792" spans="1:17">
      <c r="A792">
        <v>791</v>
      </c>
      <c r="B792">
        <v>1319</v>
      </c>
      <c r="C792">
        <v>83</v>
      </c>
      <c r="D792">
        <v>1</v>
      </c>
      <c r="E792">
        <v>269.23</v>
      </c>
      <c r="F792">
        <v>0</v>
      </c>
      <c r="G792">
        <f t="shared" si="36"/>
        <v>269.23</v>
      </c>
      <c r="H792" t="str">
        <f>_xlfn.XLOOKUP(B792,customer_orders!A:A,customer_orders!F:F)</f>
        <v>2026-04</v>
      </c>
      <c r="I792" t="str">
        <f>_xlfn.XLOOKUP(C792,products!A:A,products!B:B)</f>
        <v>SKU-0083</v>
      </c>
      <c r="J792" t="str">
        <f>_xlfn.XLOOKUP(B792,customer_orders!A:A,customer_orders!G:G)</f>
        <v>2026-w18</v>
      </c>
      <c r="K792">
        <f>IFERROR(_xlfn.XLOOKUP(B792,shipments!B:B,shipments!H:H),0)</f>
        <v>89.18</v>
      </c>
      <c r="L792">
        <f t="shared" si="37"/>
        <v>0.33</v>
      </c>
      <c r="M792" t="str">
        <f>_xlfn.XLOOKUP(B792,customer_orders!A:A,customer_orders!D:D)</f>
        <v>Shopify</v>
      </c>
      <c r="N792" t="str">
        <f>_xlfn.XLOOKUP(C792,inventory!B:B,inventory!C:C)</f>
        <v>Salt Lake City</v>
      </c>
      <c r="O792">
        <f>IF(_xlfn.XLOOKUP(C792,products!A:A,products!E:E)="NULL",0,_xlfn.XLOOKUP(C792,products!A:A,products!E:E))</f>
        <v>147.63</v>
      </c>
      <c r="P792">
        <f t="shared" si="38"/>
        <v>121.60000000000002</v>
      </c>
      <c r="Q792" s="2" t="str">
        <f>_xlfn.XLOOKUP(I792,products!B:B,products!D:D)</f>
        <v>Pet</v>
      </c>
    </row>
    <row r="793" spans="1:17">
      <c r="A793">
        <v>792</v>
      </c>
      <c r="B793">
        <v>1319</v>
      </c>
      <c r="C793">
        <v>84</v>
      </c>
      <c r="D793">
        <v>8</v>
      </c>
      <c r="E793">
        <v>150.28</v>
      </c>
      <c r="F793">
        <v>4.2699999999999996</v>
      </c>
      <c r="G793">
        <f t="shared" si="36"/>
        <v>1197.97</v>
      </c>
      <c r="H793" t="str">
        <f>_xlfn.XLOOKUP(B793,customer_orders!A:A,customer_orders!F:F)</f>
        <v>2026-04</v>
      </c>
      <c r="I793" t="str">
        <f>_xlfn.XLOOKUP(C793,products!A:A,products!B:B)</f>
        <v>SKU-0084</v>
      </c>
      <c r="J793" t="str">
        <f>_xlfn.XLOOKUP(B793,customer_orders!A:A,customer_orders!G:G)</f>
        <v>2026-w18</v>
      </c>
      <c r="K793">
        <f>IFERROR(_xlfn.XLOOKUP(B793,shipments!B:B,shipments!H:H),0)</f>
        <v>89.18</v>
      </c>
      <c r="L793">
        <f t="shared" si="37"/>
        <v>7.0000000000000007E-2</v>
      </c>
      <c r="M793" t="str">
        <f>_xlfn.XLOOKUP(B793,customer_orders!A:A,customer_orders!D:D)</f>
        <v>Shopify</v>
      </c>
      <c r="N793" t="str">
        <f>_xlfn.XLOOKUP(C793,inventory!B:B,inventory!C:C)</f>
        <v>Draper</v>
      </c>
      <c r="O793">
        <f>IF(_xlfn.XLOOKUP(C793,products!A:A,products!E:E)="NULL",0,_xlfn.XLOOKUP(C793,products!A:A,products!E:E))</f>
        <v>135.13999999999999</v>
      </c>
      <c r="P793">
        <f t="shared" si="38"/>
        <v>1062.83</v>
      </c>
      <c r="Q793" s="2" t="str">
        <f>_xlfn.XLOOKUP(I793,products!B:B,products!D:D)</f>
        <v>Pet</v>
      </c>
    </row>
    <row r="794" spans="1:17">
      <c r="A794">
        <v>793</v>
      </c>
      <c r="B794">
        <v>1319</v>
      </c>
      <c r="C794">
        <v>103</v>
      </c>
      <c r="D794">
        <v>2</v>
      </c>
      <c r="E794">
        <v>241.92</v>
      </c>
      <c r="F794">
        <v>5.88</v>
      </c>
      <c r="G794">
        <f t="shared" si="36"/>
        <v>477.96</v>
      </c>
      <c r="H794" t="str">
        <f>_xlfn.XLOOKUP(B794,customer_orders!A:A,customer_orders!F:F)</f>
        <v>2026-04</v>
      </c>
      <c r="I794" t="str">
        <f>_xlfn.XLOOKUP(C794,products!A:A,products!B:B)</f>
        <v>SKU-0103</v>
      </c>
      <c r="J794" t="str">
        <f>_xlfn.XLOOKUP(B794,customer_orders!A:A,customer_orders!G:G)</f>
        <v>2026-w18</v>
      </c>
      <c r="K794">
        <f>IFERROR(_xlfn.XLOOKUP(B794,shipments!B:B,shipments!H:H),0)</f>
        <v>89.18</v>
      </c>
      <c r="L794">
        <f t="shared" si="37"/>
        <v>0.19</v>
      </c>
      <c r="M794" t="str">
        <f>_xlfn.XLOOKUP(B794,customer_orders!A:A,customer_orders!D:D)</f>
        <v>Shopify</v>
      </c>
      <c r="N794" t="str">
        <f>_xlfn.XLOOKUP(C794,inventory!B:B,inventory!C:C)</f>
        <v>Draper</v>
      </c>
      <c r="O794">
        <f>IF(_xlfn.XLOOKUP(C794,products!A:A,products!E:E)="NULL",0,_xlfn.XLOOKUP(C794,products!A:A,products!E:E))</f>
        <v>145.97</v>
      </c>
      <c r="P794">
        <f t="shared" si="38"/>
        <v>331.99</v>
      </c>
      <c r="Q794" s="2" t="str">
        <f>_xlfn.XLOOKUP(I794,products!B:B,products!D:D)</f>
        <v>Sports</v>
      </c>
    </row>
    <row r="795" spans="1:17">
      <c r="A795">
        <v>794</v>
      </c>
      <c r="B795">
        <v>1320</v>
      </c>
      <c r="C795">
        <v>78</v>
      </c>
      <c r="D795">
        <v>8</v>
      </c>
      <c r="E795">
        <v>71.75</v>
      </c>
      <c r="F795">
        <v>3.35</v>
      </c>
      <c r="G795">
        <f t="shared" si="36"/>
        <v>570.65</v>
      </c>
      <c r="H795" t="str">
        <f>_xlfn.XLOOKUP(B795,customer_orders!A:A,customer_orders!F:F)</f>
        <v>2026-05</v>
      </c>
      <c r="I795" t="str">
        <f>_xlfn.XLOOKUP(C795,products!A:A,products!B:B)</f>
        <v>SKU-0078</v>
      </c>
      <c r="J795" t="str">
        <f>_xlfn.XLOOKUP(B795,customer_orders!A:A,customer_orders!G:G)</f>
        <v>2026-w20</v>
      </c>
      <c r="K795">
        <f>IFERROR(_xlfn.XLOOKUP(B795,shipments!B:B,shipments!H:H),0)</f>
        <v>31.94</v>
      </c>
      <c r="L795">
        <f t="shared" si="37"/>
        <v>0.06</v>
      </c>
      <c r="M795" t="str">
        <f>_xlfn.XLOOKUP(B795,customer_orders!A:A,customer_orders!D:D)</f>
        <v>Shopify</v>
      </c>
      <c r="N795" t="str">
        <f>_xlfn.XLOOKUP(C795,inventory!B:B,inventory!C:C)</f>
        <v>Draper</v>
      </c>
      <c r="O795">
        <f>IF(_xlfn.XLOOKUP(C795,products!A:A,products!E:E)="NULL",0,_xlfn.XLOOKUP(C795,products!A:A,products!E:E))</f>
        <v>44.31</v>
      </c>
      <c r="P795">
        <f t="shared" si="38"/>
        <v>526.33999999999992</v>
      </c>
      <c r="Q795" s="2" t="str">
        <f>_xlfn.XLOOKUP(I795,products!B:B,products!D:D)</f>
        <v>Beauty</v>
      </c>
    </row>
    <row r="796" spans="1:17">
      <c r="A796">
        <v>795</v>
      </c>
      <c r="B796">
        <v>1321</v>
      </c>
      <c r="C796">
        <v>99</v>
      </c>
      <c r="D796">
        <v>5</v>
      </c>
      <c r="E796">
        <v>50.97</v>
      </c>
      <c r="F796">
        <v>0</v>
      </c>
      <c r="G796">
        <f t="shared" si="36"/>
        <v>254.85</v>
      </c>
      <c r="H796" t="str">
        <f>_xlfn.XLOOKUP(B796,customer_orders!A:A,customer_orders!F:F)</f>
        <v>2026-04</v>
      </c>
      <c r="I796" t="str">
        <f>_xlfn.XLOOKUP(C796,products!A:A,products!B:B)</f>
        <v>SKU-0099</v>
      </c>
      <c r="J796" t="str">
        <f>_xlfn.XLOOKUP(B796,customer_orders!A:A,customer_orders!G:G)</f>
        <v>2026-w17</v>
      </c>
      <c r="K796">
        <f>IFERROR(_xlfn.XLOOKUP(B796,shipments!B:B,shipments!H:H),0)</f>
        <v>109.58</v>
      </c>
      <c r="L796">
        <f t="shared" si="37"/>
        <v>0.43</v>
      </c>
      <c r="M796" t="str">
        <f>_xlfn.XLOOKUP(B796,customer_orders!A:A,customer_orders!D:D)</f>
        <v>Amazon</v>
      </c>
      <c r="N796" t="str">
        <f>_xlfn.XLOOKUP(C796,inventory!B:B,inventory!C:C)</f>
        <v>Lehi</v>
      </c>
      <c r="O796">
        <f>IF(_xlfn.XLOOKUP(C796,products!A:A,products!E:E)="NULL",0,_xlfn.XLOOKUP(C796,products!A:A,products!E:E))</f>
        <v>31.67</v>
      </c>
      <c r="P796">
        <f t="shared" si="38"/>
        <v>223.18</v>
      </c>
      <c r="Q796" s="2" t="str">
        <f>_xlfn.XLOOKUP(I796,products!B:B,products!D:D)</f>
        <v>Electronics</v>
      </c>
    </row>
    <row r="797" spans="1:17">
      <c r="A797">
        <v>796</v>
      </c>
      <c r="B797">
        <v>1321</v>
      </c>
      <c r="C797">
        <v>122</v>
      </c>
      <c r="D797">
        <v>2</v>
      </c>
      <c r="E797">
        <v>151.15</v>
      </c>
      <c r="F797">
        <v>10.32</v>
      </c>
      <c r="G797">
        <f t="shared" si="36"/>
        <v>291.98</v>
      </c>
      <c r="H797" t="str">
        <f>_xlfn.XLOOKUP(B797,customer_orders!A:A,customer_orders!F:F)</f>
        <v>2026-04</v>
      </c>
      <c r="I797" t="str">
        <f>_xlfn.XLOOKUP(C797,products!A:A,products!B:B)</f>
        <v>SKU-0122</v>
      </c>
      <c r="J797" t="str">
        <f>_xlfn.XLOOKUP(B797,customer_orders!A:A,customer_orders!G:G)</f>
        <v>2026-w17</v>
      </c>
      <c r="K797">
        <f>IFERROR(_xlfn.XLOOKUP(B797,shipments!B:B,shipments!H:H),0)</f>
        <v>109.58</v>
      </c>
      <c r="L797">
        <f t="shared" si="37"/>
        <v>0.38</v>
      </c>
      <c r="M797" t="str">
        <f>_xlfn.XLOOKUP(B797,customer_orders!A:A,customer_orders!D:D)</f>
        <v>Amazon</v>
      </c>
      <c r="N797" t="str">
        <f>_xlfn.XLOOKUP(C797,inventory!B:B,inventory!C:C)</f>
        <v>South Jordan</v>
      </c>
      <c r="O797">
        <f>IF(_xlfn.XLOOKUP(C797,products!A:A,products!E:E)="NULL",0,_xlfn.XLOOKUP(C797,products!A:A,products!E:E))</f>
        <v>169.69</v>
      </c>
      <c r="P797">
        <f t="shared" si="38"/>
        <v>122.29000000000002</v>
      </c>
      <c r="Q797" s="2" t="str">
        <f>_xlfn.XLOOKUP(I797,products!B:B,products!D:D)</f>
        <v>Electronics</v>
      </c>
    </row>
    <row r="798" spans="1:17">
      <c r="A798">
        <v>797</v>
      </c>
      <c r="B798">
        <v>1321</v>
      </c>
      <c r="C798">
        <v>24</v>
      </c>
      <c r="D798">
        <v>6</v>
      </c>
      <c r="E798">
        <v>20.55</v>
      </c>
      <c r="F798">
        <v>0</v>
      </c>
      <c r="G798">
        <f t="shared" si="36"/>
        <v>123.30000000000001</v>
      </c>
      <c r="H798" t="str">
        <f>_xlfn.XLOOKUP(B798,customer_orders!A:A,customer_orders!F:F)</f>
        <v>2026-04</v>
      </c>
      <c r="I798" t="str">
        <f>_xlfn.XLOOKUP(C798,products!A:A,products!B:B)</f>
        <v>SKU-0024</v>
      </c>
      <c r="J798" t="str">
        <f>_xlfn.XLOOKUP(B798,customer_orders!A:A,customer_orders!G:G)</f>
        <v>2026-w17</v>
      </c>
      <c r="K798">
        <f>IFERROR(_xlfn.XLOOKUP(B798,shipments!B:B,shipments!H:H),0)</f>
        <v>109.58</v>
      </c>
      <c r="L798">
        <f t="shared" si="37"/>
        <v>0.89</v>
      </c>
      <c r="M798" t="str">
        <f>_xlfn.XLOOKUP(B798,customer_orders!A:A,customer_orders!D:D)</f>
        <v>Amazon</v>
      </c>
      <c r="N798" t="str">
        <f>_xlfn.XLOOKUP(C798,inventory!B:B,inventory!C:C)</f>
        <v>Draper</v>
      </c>
      <c r="O798">
        <f>IF(_xlfn.XLOOKUP(C798,products!A:A,products!E:E)="NULL",0,_xlfn.XLOOKUP(C798,products!A:A,products!E:E))</f>
        <v>61.73</v>
      </c>
      <c r="P798">
        <f t="shared" si="38"/>
        <v>61.570000000000014</v>
      </c>
      <c r="Q798" s="2" t="str">
        <f>_xlfn.XLOOKUP(I798,products!B:B,products!D:D)</f>
        <v>Electronics</v>
      </c>
    </row>
    <row r="799" spans="1:17">
      <c r="A799">
        <v>798</v>
      </c>
      <c r="B799">
        <v>1322</v>
      </c>
      <c r="C799">
        <v>75</v>
      </c>
      <c r="D799">
        <v>2</v>
      </c>
      <c r="E799">
        <v>180.3</v>
      </c>
      <c r="F799">
        <v>0</v>
      </c>
      <c r="G799">
        <f t="shared" si="36"/>
        <v>360.6</v>
      </c>
      <c r="H799" t="str">
        <f>_xlfn.XLOOKUP(B799,customer_orders!A:A,customer_orders!F:F)</f>
        <v>2026-04</v>
      </c>
      <c r="I799" t="str">
        <f>_xlfn.XLOOKUP(C799,products!A:A,products!B:B)</f>
        <v>SKU-0075</v>
      </c>
      <c r="J799" t="str">
        <f>_xlfn.XLOOKUP(B799,customer_orders!A:A,customer_orders!G:G)</f>
        <v>2026-w17</v>
      </c>
      <c r="K799">
        <f>IFERROR(_xlfn.XLOOKUP(B799,shipments!B:B,shipments!H:H),0)</f>
        <v>70.45</v>
      </c>
      <c r="L799">
        <f t="shared" si="37"/>
        <v>0.2</v>
      </c>
      <c r="M799" t="str">
        <f>_xlfn.XLOOKUP(B799,customer_orders!A:A,customer_orders!D:D)</f>
        <v>Shopify</v>
      </c>
      <c r="N799" t="str">
        <f>_xlfn.XLOOKUP(C799,inventory!B:B,inventory!C:C)</f>
        <v>Salt Lake City</v>
      </c>
      <c r="O799">
        <f>IF(_xlfn.XLOOKUP(C799,products!A:A,products!E:E)="NULL",0,_xlfn.XLOOKUP(C799,products!A:A,products!E:E))</f>
        <v>80.23</v>
      </c>
      <c r="P799">
        <f t="shared" si="38"/>
        <v>280.37</v>
      </c>
      <c r="Q799" s="2" t="str">
        <f>_xlfn.XLOOKUP(I799,products!B:B,products!D:D)</f>
        <v>Sports</v>
      </c>
    </row>
    <row r="800" spans="1:17">
      <c r="A800">
        <v>799</v>
      </c>
      <c r="B800">
        <v>1323</v>
      </c>
      <c r="C800">
        <v>100</v>
      </c>
      <c r="D800">
        <v>7</v>
      </c>
      <c r="E800">
        <v>233.57</v>
      </c>
      <c r="F800">
        <v>0</v>
      </c>
      <c r="G800">
        <f t="shared" si="36"/>
        <v>1634.99</v>
      </c>
      <c r="H800" t="str">
        <f>_xlfn.XLOOKUP(B800,customer_orders!A:A,customer_orders!F:F)</f>
        <v>2026-01</v>
      </c>
      <c r="I800" t="str">
        <f>_xlfn.XLOOKUP(C800,products!A:A,products!B:B)</f>
        <v>SKU-0100</v>
      </c>
      <c r="J800" t="str">
        <f>_xlfn.XLOOKUP(B800,customer_orders!A:A,customer_orders!G:G)</f>
        <v>2026-w01</v>
      </c>
      <c r="K800">
        <f>IFERROR(_xlfn.XLOOKUP(B800,shipments!B:B,shipments!H:H),0)</f>
        <v>0</v>
      </c>
      <c r="L800">
        <f t="shared" si="37"/>
        <v>0</v>
      </c>
      <c r="M800" t="str">
        <f>_xlfn.XLOOKUP(B800,customer_orders!A:A,customer_orders!D:D)</f>
        <v>Amazon</v>
      </c>
      <c r="N800" t="str">
        <f>_xlfn.XLOOKUP(C800,inventory!B:B,inventory!C:C)</f>
        <v>Lehi</v>
      </c>
      <c r="O800">
        <f>IF(_xlfn.XLOOKUP(C800,products!A:A,products!E:E)="NULL",0,_xlfn.XLOOKUP(C800,products!A:A,products!E:E))</f>
        <v>127.41</v>
      </c>
      <c r="P800">
        <f t="shared" si="38"/>
        <v>1507.58</v>
      </c>
      <c r="Q800" s="2" t="str">
        <f>_xlfn.XLOOKUP(I800,products!B:B,products!D:D)</f>
        <v>Beauty</v>
      </c>
    </row>
    <row r="801" spans="1:17">
      <c r="A801">
        <v>800</v>
      </c>
      <c r="B801">
        <v>1323</v>
      </c>
      <c r="C801">
        <v>33</v>
      </c>
      <c r="D801">
        <v>4</v>
      </c>
      <c r="E801">
        <v>42.63</v>
      </c>
      <c r="F801">
        <v>0</v>
      </c>
      <c r="G801">
        <f t="shared" si="36"/>
        <v>170.52</v>
      </c>
      <c r="H801" t="str">
        <f>_xlfn.XLOOKUP(B801,customer_orders!A:A,customer_orders!F:F)</f>
        <v>2026-01</v>
      </c>
      <c r="I801" t="str">
        <f>_xlfn.XLOOKUP(C801,products!A:A,products!B:B)</f>
        <v>SKU-0033</v>
      </c>
      <c r="J801" t="str">
        <f>_xlfn.XLOOKUP(B801,customer_orders!A:A,customer_orders!G:G)</f>
        <v>2026-w01</v>
      </c>
      <c r="K801">
        <f>IFERROR(_xlfn.XLOOKUP(B801,shipments!B:B,shipments!H:H),0)</f>
        <v>0</v>
      </c>
      <c r="L801">
        <f t="shared" si="37"/>
        <v>0</v>
      </c>
      <c r="M801" t="str">
        <f>_xlfn.XLOOKUP(B801,customer_orders!A:A,customer_orders!D:D)</f>
        <v>Amazon</v>
      </c>
      <c r="N801" t="str">
        <f>_xlfn.XLOOKUP(C801,inventory!B:B,inventory!C:C)</f>
        <v>South Jordan</v>
      </c>
      <c r="O801">
        <f>IF(_xlfn.XLOOKUP(C801,products!A:A,products!E:E)="NULL",0,_xlfn.XLOOKUP(C801,products!A:A,products!E:E))</f>
        <v>38.32</v>
      </c>
      <c r="P801">
        <f t="shared" si="38"/>
        <v>132.20000000000002</v>
      </c>
      <c r="Q801" s="2" t="str">
        <f>_xlfn.XLOOKUP(I801,products!B:B,products!D:D)</f>
        <v>Pet</v>
      </c>
    </row>
    <row r="802" spans="1:17">
      <c r="A802">
        <v>801</v>
      </c>
      <c r="B802">
        <v>1324</v>
      </c>
      <c r="C802">
        <v>128</v>
      </c>
      <c r="D802">
        <v>8</v>
      </c>
      <c r="E802">
        <v>143.38999999999999</v>
      </c>
      <c r="F802">
        <v>0</v>
      </c>
      <c r="G802">
        <f t="shared" si="36"/>
        <v>1147.1199999999999</v>
      </c>
      <c r="H802" t="str">
        <f>_xlfn.XLOOKUP(B802,customer_orders!A:A,customer_orders!F:F)</f>
        <v>2026-04</v>
      </c>
      <c r="I802" t="str">
        <f>_xlfn.XLOOKUP(C802,products!A:A,products!B:B)</f>
        <v>SKU-0128</v>
      </c>
      <c r="J802" t="str">
        <f>_xlfn.XLOOKUP(B802,customer_orders!A:A,customer_orders!G:G)</f>
        <v>2026-w18</v>
      </c>
      <c r="K802">
        <f>IFERROR(_xlfn.XLOOKUP(B802,shipments!B:B,shipments!H:H),0)</f>
        <v>0</v>
      </c>
      <c r="L802">
        <f t="shared" si="37"/>
        <v>0</v>
      </c>
      <c r="M802" t="str">
        <f>_xlfn.XLOOKUP(B802,customer_orders!A:A,customer_orders!D:D)</f>
        <v>Shopify</v>
      </c>
      <c r="N802" t="str">
        <f>_xlfn.XLOOKUP(C802,inventory!B:B,inventory!C:C)</f>
        <v>West Valley</v>
      </c>
      <c r="O802">
        <f>IF(_xlfn.XLOOKUP(C802,products!A:A,products!E:E)="NULL",0,_xlfn.XLOOKUP(C802,products!A:A,products!E:E))</f>
        <v>5.47</v>
      </c>
      <c r="P802">
        <f t="shared" si="38"/>
        <v>1141.6499999999999</v>
      </c>
      <c r="Q802" s="2" t="str">
        <f>_xlfn.XLOOKUP(I802,products!B:B,products!D:D)</f>
        <v>Home</v>
      </c>
    </row>
    <row r="803" spans="1:17">
      <c r="A803">
        <v>802</v>
      </c>
      <c r="B803">
        <v>1324</v>
      </c>
      <c r="C803">
        <v>38</v>
      </c>
      <c r="D803">
        <v>1</v>
      </c>
      <c r="E803">
        <v>256.88</v>
      </c>
      <c r="F803">
        <v>0</v>
      </c>
      <c r="G803">
        <f t="shared" si="36"/>
        <v>256.88</v>
      </c>
      <c r="H803" t="str">
        <f>_xlfn.XLOOKUP(B803,customer_orders!A:A,customer_orders!F:F)</f>
        <v>2026-04</v>
      </c>
      <c r="I803" t="str">
        <f>_xlfn.XLOOKUP(C803,products!A:A,products!B:B)</f>
        <v>SKU-0038</v>
      </c>
      <c r="J803" t="str">
        <f>_xlfn.XLOOKUP(B803,customer_orders!A:A,customer_orders!G:G)</f>
        <v>2026-w18</v>
      </c>
      <c r="K803">
        <f>IFERROR(_xlfn.XLOOKUP(B803,shipments!B:B,shipments!H:H),0)</f>
        <v>0</v>
      </c>
      <c r="L803">
        <f t="shared" si="37"/>
        <v>0</v>
      </c>
      <c r="M803" t="str">
        <f>_xlfn.XLOOKUP(B803,customer_orders!A:A,customer_orders!D:D)</f>
        <v>Shopify</v>
      </c>
      <c r="N803" t="str">
        <f>_xlfn.XLOOKUP(C803,inventory!B:B,inventory!C:C)</f>
        <v>Unknown</v>
      </c>
      <c r="O803">
        <f>IF(_xlfn.XLOOKUP(C803,products!A:A,products!E:E)="NULL",0,_xlfn.XLOOKUP(C803,products!A:A,products!E:E))</f>
        <v>167.11</v>
      </c>
      <c r="P803">
        <f t="shared" si="38"/>
        <v>89.769999999999982</v>
      </c>
      <c r="Q803" s="2" t="str">
        <f>_xlfn.XLOOKUP(I803,products!B:B,products!D:D)</f>
        <v>Electronics</v>
      </c>
    </row>
    <row r="804" spans="1:17">
      <c r="A804">
        <v>803</v>
      </c>
      <c r="B804">
        <v>1325</v>
      </c>
      <c r="C804">
        <v>56</v>
      </c>
      <c r="D804">
        <v>8</v>
      </c>
      <c r="E804">
        <v>172.23</v>
      </c>
      <c r="F804">
        <v>5.08</v>
      </c>
      <c r="G804">
        <f t="shared" si="36"/>
        <v>1372.76</v>
      </c>
      <c r="H804" t="str">
        <f>_xlfn.XLOOKUP(B804,customer_orders!A:A,customer_orders!F:F)</f>
        <v>2026-02</v>
      </c>
      <c r="I804" t="str">
        <f>_xlfn.XLOOKUP(C804,products!A:A,products!B:B)</f>
        <v>SKU-0056</v>
      </c>
      <c r="J804" t="str">
        <f>_xlfn.XLOOKUP(B804,customer_orders!A:A,customer_orders!G:G)</f>
        <v>2026-w06</v>
      </c>
      <c r="K804">
        <f>IFERROR(_xlfn.XLOOKUP(B804,shipments!B:B,shipments!H:H),0)</f>
        <v>0</v>
      </c>
      <c r="L804">
        <f t="shared" si="37"/>
        <v>0</v>
      </c>
      <c r="M804" t="str">
        <f>_xlfn.XLOOKUP(B804,customer_orders!A:A,customer_orders!D:D)</f>
        <v>Shopify</v>
      </c>
      <c r="N804" t="str">
        <f>_xlfn.XLOOKUP(C804,inventory!B:B,inventory!C:C)</f>
        <v>South Jordan</v>
      </c>
      <c r="O804">
        <f>IF(_xlfn.XLOOKUP(C804,products!A:A,products!E:E)="NULL",0,_xlfn.XLOOKUP(C804,products!A:A,products!E:E))</f>
        <v>134.72</v>
      </c>
      <c r="P804">
        <f t="shared" si="38"/>
        <v>1238.04</v>
      </c>
      <c r="Q804" s="2" t="str">
        <f>_xlfn.XLOOKUP(I804,products!B:B,products!D:D)</f>
        <v>Sports</v>
      </c>
    </row>
    <row r="805" spans="1:17">
      <c r="A805">
        <v>804</v>
      </c>
      <c r="B805">
        <v>1325</v>
      </c>
      <c r="C805">
        <v>16</v>
      </c>
      <c r="D805">
        <v>6</v>
      </c>
      <c r="E805">
        <v>168.61</v>
      </c>
      <c r="F805">
        <v>0</v>
      </c>
      <c r="G805">
        <f t="shared" si="36"/>
        <v>1011.6600000000001</v>
      </c>
      <c r="H805" t="str">
        <f>_xlfn.XLOOKUP(B805,customer_orders!A:A,customer_orders!F:F)</f>
        <v>2026-02</v>
      </c>
      <c r="I805" t="str">
        <f>_xlfn.XLOOKUP(C805,products!A:A,products!B:B)</f>
        <v>SKU-0016</v>
      </c>
      <c r="J805" t="str">
        <f>_xlfn.XLOOKUP(B805,customer_orders!A:A,customer_orders!G:G)</f>
        <v>2026-w06</v>
      </c>
      <c r="K805">
        <f>IFERROR(_xlfn.XLOOKUP(B805,shipments!B:B,shipments!H:H),0)</f>
        <v>0</v>
      </c>
      <c r="L805">
        <f t="shared" si="37"/>
        <v>0</v>
      </c>
      <c r="M805" t="str">
        <f>_xlfn.XLOOKUP(B805,customer_orders!A:A,customer_orders!D:D)</f>
        <v>Shopify</v>
      </c>
      <c r="N805" t="str">
        <f>_xlfn.XLOOKUP(C805,inventory!B:B,inventory!C:C)</f>
        <v>Draper</v>
      </c>
      <c r="O805">
        <f>IF(_xlfn.XLOOKUP(C805,products!A:A,products!E:E)="NULL",0,_xlfn.XLOOKUP(C805,products!A:A,products!E:E))</f>
        <v>135.37</v>
      </c>
      <c r="P805">
        <f t="shared" si="38"/>
        <v>876.29000000000008</v>
      </c>
      <c r="Q805" s="2" t="str">
        <f>_xlfn.XLOOKUP(I805,products!B:B,products!D:D)</f>
        <v>Toys</v>
      </c>
    </row>
    <row r="806" spans="1:17">
      <c r="A806">
        <v>805</v>
      </c>
      <c r="B806">
        <v>1325</v>
      </c>
      <c r="C806">
        <v>58</v>
      </c>
      <c r="D806">
        <v>1</v>
      </c>
      <c r="E806">
        <v>57.21</v>
      </c>
      <c r="F806">
        <v>0</v>
      </c>
      <c r="G806">
        <f t="shared" si="36"/>
        <v>57.21</v>
      </c>
      <c r="H806" t="str">
        <f>_xlfn.XLOOKUP(B806,customer_orders!A:A,customer_orders!F:F)</f>
        <v>2026-02</v>
      </c>
      <c r="I806" t="str">
        <f>_xlfn.XLOOKUP(C806,products!A:A,products!B:B)</f>
        <v>SKU-0058</v>
      </c>
      <c r="J806" t="str">
        <f>_xlfn.XLOOKUP(B806,customer_orders!A:A,customer_orders!G:G)</f>
        <v>2026-w06</v>
      </c>
      <c r="K806">
        <f>IFERROR(_xlfn.XLOOKUP(B806,shipments!B:B,shipments!H:H),0)</f>
        <v>0</v>
      </c>
      <c r="L806">
        <f t="shared" si="37"/>
        <v>0</v>
      </c>
      <c r="M806" t="str">
        <f>_xlfn.XLOOKUP(B806,customer_orders!A:A,customer_orders!D:D)</f>
        <v>Shopify</v>
      </c>
      <c r="N806" t="str">
        <f>_xlfn.XLOOKUP(C806,inventory!B:B,inventory!C:C)</f>
        <v>South Jordan</v>
      </c>
      <c r="O806">
        <f>IF(_xlfn.XLOOKUP(C806,products!A:A,products!E:E)="NULL",0,_xlfn.XLOOKUP(C806,products!A:A,products!E:E))</f>
        <v>106.94</v>
      </c>
      <c r="P806">
        <f t="shared" si="38"/>
        <v>-49.73</v>
      </c>
      <c r="Q806" s="2" t="str">
        <f>_xlfn.XLOOKUP(I806,products!B:B,products!D:D)</f>
        <v>Electronics</v>
      </c>
    </row>
    <row r="807" spans="1:17">
      <c r="A807">
        <v>806</v>
      </c>
      <c r="B807">
        <v>1325</v>
      </c>
      <c r="C807">
        <v>125</v>
      </c>
      <c r="D807">
        <v>7</v>
      </c>
      <c r="E807">
        <v>273.92</v>
      </c>
      <c r="F807">
        <v>0</v>
      </c>
      <c r="G807">
        <f t="shared" si="36"/>
        <v>1917.44</v>
      </c>
      <c r="H807" t="str">
        <f>_xlfn.XLOOKUP(B807,customer_orders!A:A,customer_orders!F:F)</f>
        <v>2026-02</v>
      </c>
      <c r="I807" t="str">
        <f>_xlfn.XLOOKUP(C807,products!A:A,products!B:B)</f>
        <v>SKU-0125</v>
      </c>
      <c r="J807" t="str">
        <f>_xlfn.XLOOKUP(B807,customer_orders!A:A,customer_orders!G:G)</f>
        <v>2026-w06</v>
      </c>
      <c r="K807">
        <f>IFERROR(_xlfn.XLOOKUP(B807,shipments!B:B,shipments!H:H),0)</f>
        <v>0</v>
      </c>
      <c r="L807">
        <f t="shared" si="37"/>
        <v>0</v>
      </c>
      <c r="M807" t="str">
        <f>_xlfn.XLOOKUP(B807,customer_orders!A:A,customer_orders!D:D)</f>
        <v>Shopify</v>
      </c>
      <c r="N807" t="str">
        <f>_xlfn.XLOOKUP(C807,inventory!B:B,inventory!C:C)</f>
        <v>Draper</v>
      </c>
      <c r="O807">
        <f>IF(_xlfn.XLOOKUP(C807,products!A:A,products!E:E)="NULL",0,_xlfn.XLOOKUP(C807,products!A:A,products!E:E))</f>
        <v>71.569999999999993</v>
      </c>
      <c r="P807">
        <f t="shared" si="38"/>
        <v>1845.8700000000001</v>
      </c>
      <c r="Q807" s="2" t="str">
        <f>_xlfn.XLOOKUP(I807,products!B:B,products!D:D)</f>
        <v>Beauty</v>
      </c>
    </row>
    <row r="808" spans="1:17">
      <c r="A808">
        <v>807</v>
      </c>
      <c r="B808">
        <v>1326</v>
      </c>
      <c r="C808">
        <v>90</v>
      </c>
      <c r="D808">
        <v>7</v>
      </c>
      <c r="E808">
        <v>115.25</v>
      </c>
      <c r="F808">
        <v>0</v>
      </c>
      <c r="G808">
        <f t="shared" si="36"/>
        <v>806.75</v>
      </c>
      <c r="H808" t="str">
        <f>_xlfn.XLOOKUP(B808,customer_orders!A:A,customer_orders!F:F)</f>
        <v>2026-04</v>
      </c>
      <c r="I808" t="str">
        <f>_xlfn.XLOOKUP(C808,products!A:A,products!B:B)</f>
        <v>SKU-0090</v>
      </c>
      <c r="J808" t="str">
        <f>_xlfn.XLOOKUP(B808,customer_orders!A:A,customer_orders!G:G)</f>
        <v>2026-w15</v>
      </c>
      <c r="K808">
        <f>IFERROR(_xlfn.XLOOKUP(B808,shipments!B:B,shipments!H:H),0)</f>
        <v>0</v>
      </c>
      <c r="L808">
        <f t="shared" si="37"/>
        <v>0</v>
      </c>
      <c r="M808" t="str">
        <f>_xlfn.XLOOKUP(B808,customer_orders!A:A,customer_orders!D:D)</f>
        <v>Walmart</v>
      </c>
      <c r="N808" t="str">
        <f>_xlfn.XLOOKUP(C808,inventory!B:B,inventory!C:C)</f>
        <v>Salt Lake City</v>
      </c>
      <c r="O808">
        <f>IF(_xlfn.XLOOKUP(C808,products!A:A,products!E:E)="NULL",0,_xlfn.XLOOKUP(C808,products!A:A,products!E:E))</f>
        <v>6.03</v>
      </c>
      <c r="P808">
        <f t="shared" si="38"/>
        <v>800.72</v>
      </c>
      <c r="Q808" s="2" t="str">
        <f>_xlfn.XLOOKUP(I808,products!B:B,products!D:D)</f>
        <v>Office</v>
      </c>
    </row>
    <row r="809" spans="1:17">
      <c r="A809">
        <v>808</v>
      </c>
      <c r="B809">
        <v>1326</v>
      </c>
      <c r="C809">
        <v>73</v>
      </c>
      <c r="D809">
        <v>4</v>
      </c>
      <c r="E809">
        <v>134.83000000000001</v>
      </c>
      <c r="F809">
        <v>10.82</v>
      </c>
      <c r="G809">
        <f t="shared" si="36"/>
        <v>528.5</v>
      </c>
      <c r="H809" t="str">
        <f>_xlfn.XLOOKUP(B809,customer_orders!A:A,customer_orders!F:F)</f>
        <v>2026-04</v>
      </c>
      <c r="I809" t="str">
        <f>_xlfn.XLOOKUP(C809,products!A:A,products!B:B)</f>
        <v>SKU-0073</v>
      </c>
      <c r="J809" t="str">
        <f>_xlfn.XLOOKUP(B809,customer_orders!A:A,customer_orders!G:G)</f>
        <v>2026-w15</v>
      </c>
      <c r="K809">
        <f>IFERROR(_xlfn.XLOOKUP(B809,shipments!B:B,shipments!H:H),0)</f>
        <v>0</v>
      </c>
      <c r="L809">
        <f t="shared" si="37"/>
        <v>0</v>
      </c>
      <c r="M809" t="str">
        <f>_xlfn.XLOOKUP(B809,customer_orders!A:A,customer_orders!D:D)</f>
        <v>Walmart</v>
      </c>
      <c r="N809" t="str">
        <f>_xlfn.XLOOKUP(C809,inventory!B:B,inventory!C:C)</f>
        <v>Draper</v>
      </c>
      <c r="O809">
        <f>IF(_xlfn.XLOOKUP(C809,products!A:A,products!E:E)="NULL",0,_xlfn.XLOOKUP(C809,products!A:A,products!E:E))</f>
        <v>27.28</v>
      </c>
      <c r="P809">
        <f t="shared" si="38"/>
        <v>501.22</v>
      </c>
      <c r="Q809" s="2" t="str">
        <f>_xlfn.XLOOKUP(I809,products!B:B,products!D:D)</f>
        <v>Sports</v>
      </c>
    </row>
    <row r="810" spans="1:17">
      <c r="A810">
        <v>809</v>
      </c>
      <c r="B810">
        <v>1326</v>
      </c>
      <c r="C810">
        <v>25</v>
      </c>
      <c r="D810">
        <v>3</v>
      </c>
      <c r="E810">
        <v>265.23</v>
      </c>
      <c r="F810">
        <v>0</v>
      </c>
      <c r="G810">
        <f t="shared" si="36"/>
        <v>795.69</v>
      </c>
      <c r="H810" t="str">
        <f>_xlfn.XLOOKUP(B810,customer_orders!A:A,customer_orders!F:F)</f>
        <v>2026-04</v>
      </c>
      <c r="I810" t="str">
        <f>_xlfn.XLOOKUP(C810,products!A:A,products!B:B)</f>
        <v>SKU-0025</v>
      </c>
      <c r="J810" t="str">
        <f>_xlfn.XLOOKUP(B810,customer_orders!A:A,customer_orders!G:G)</f>
        <v>2026-w15</v>
      </c>
      <c r="K810">
        <f>IFERROR(_xlfn.XLOOKUP(B810,shipments!B:B,shipments!H:H),0)</f>
        <v>0</v>
      </c>
      <c r="L810">
        <f t="shared" si="37"/>
        <v>0</v>
      </c>
      <c r="M810" t="str">
        <f>_xlfn.XLOOKUP(B810,customer_orders!A:A,customer_orders!D:D)</f>
        <v>Walmart</v>
      </c>
      <c r="N810" t="str">
        <f>_xlfn.XLOOKUP(C810,inventory!B:B,inventory!C:C)</f>
        <v>Salt Lake City</v>
      </c>
      <c r="O810">
        <f>IF(_xlfn.XLOOKUP(C810,products!A:A,products!E:E)="NULL",0,_xlfn.XLOOKUP(C810,products!A:A,products!E:E))</f>
        <v>15.14</v>
      </c>
      <c r="P810">
        <f t="shared" si="38"/>
        <v>780.55000000000007</v>
      </c>
      <c r="Q810" s="2" t="str">
        <f>_xlfn.XLOOKUP(I810,products!B:B,products!D:D)</f>
        <v>Sports</v>
      </c>
    </row>
    <row r="811" spans="1:17">
      <c r="A811">
        <v>810</v>
      </c>
      <c r="B811">
        <v>1326</v>
      </c>
      <c r="C811">
        <v>78</v>
      </c>
      <c r="D811">
        <v>8</v>
      </c>
      <c r="E811">
        <v>71.75</v>
      </c>
      <c r="F811">
        <v>0</v>
      </c>
      <c r="G811">
        <f t="shared" si="36"/>
        <v>574</v>
      </c>
      <c r="H811" t="str">
        <f>_xlfn.XLOOKUP(B811,customer_orders!A:A,customer_orders!F:F)</f>
        <v>2026-04</v>
      </c>
      <c r="I811" t="str">
        <f>_xlfn.XLOOKUP(C811,products!A:A,products!B:B)</f>
        <v>SKU-0078</v>
      </c>
      <c r="J811" t="str">
        <f>_xlfn.XLOOKUP(B811,customer_orders!A:A,customer_orders!G:G)</f>
        <v>2026-w15</v>
      </c>
      <c r="K811">
        <f>IFERROR(_xlfn.XLOOKUP(B811,shipments!B:B,shipments!H:H),0)</f>
        <v>0</v>
      </c>
      <c r="L811">
        <f t="shared" si="37"/>
        <v>0</v>
      </c>
      <c r="M811" t="str">
        <f>_xlfn.XLOOKUP(B811,customer_orders!A:A,customer_orders!D:D)</f>
        <v>Walmart</v>
      </c>
      <c r="N811" t="str">
        <f>_xlfn.XLOOKUP(C811,inventory!B:B,inventory!C:C)</f>
        <v>Draper</v>
      </c>
      <c r="O811">
        <f>IF(_xlfn.XLOOKUP(C811,products!A:A,products!E:E)="NULL",0,_xlfn.XLOOKUP(C811,products!A:A,products!E:E))</f>
        <v>44.31</v>
      </c>
      <c r="P811">
        <f t="shared" si="38"/>
        <v>529.69000000000005</v>
      </c>
      <c r="Q811" s="2" t="str">
        <f>_xlfn.XLOOKUP(I811,products!B:B,products!D:D)</f>
        <v>Beauty</v>
      </c>
    </row>
    <row r="812" spans="1:17">
      <c r="A812">
        <v>811</v>
      </c>
      <c r="B812">
        <v>1327</v>
      </c>
      <c r="C812">
        <v>51</v>
      </c>
      <c r="D812">
        <v>1</v>
      </c>
      <c r="E812">
        <v>204.07</v>
      </c>
      <c r="F812">
        <v>0</v>
      </c>
      <c r="G812">
        <f t="shared" si="36"/>
        <v>204.07</v>
      </c>
      <c r="H812" t="str">
        <f>_xlfn.XLOOKUP(B812,customer_orders!A:A,customer_orders!F:F)</f>
        <v>2026-05</v>
      </c>
      <c r="I812" t="str">
        <f>_xlfn.XLOOKUP(C812,products!A:A,products!B:B)</f>
        <v>SKU-0051</v>
      </c>
      <c r="J812" t="str">
        <f>_xlfn.XLOOKUP(B812,customer_orders!A:A,customer_orders!G:G)</f>
        <v>2026-w19</v>
      </c>
      <c r="K812">
        <f>IFERROR(_xlfn.XLOOKUP(B812,shipments!B:B,shipments!H:H),0)</f>
        <v>0</v>
      </c>
      <c r="L812">
        <f t="shared" si="37"/>
        <v>0</v>
      </c>
      <c r="M812" t="str">
        <f>_xlfn.XLOOKUP(B812,customer_orders!A:A,customer_orders!D:D)</f>
        <v>Shopify</v>
      </c>
      <c r="N812" t="str">
        <f>_xlfn.XLOOKUP(C812,inventory!B:B,inventory!C:C)</f>
        <v>South Jordan</v>
      </c>
      <c r="O812">
        <f>IF(_xlfn.XLOOKUP(C812,products!A:A,products!E:E)="NULL",0,_xlfn.XLOOKUP(C812,products!A:A,products!E:E))</f>
        <v>57.39</v>
      </c>
      <c r="P812">
        <f t="shared" si="38"/>
        <v>146.68</v>
      </c>
      <c r="Q812" s="2" t="str">
        <f>_xlfn.XLOOKUP(I812,products!B:B,products!D:D)</f>
        <v>Electronics</v>
      </c>
    </row>
    <row r="813" spans="1:17">
      <c r="A813">
        <v>812</v>
      </c>
      <c r="B813">
        <v>1327</v>
      </c>
      <c r="C813">
        <v>38</v>
      </c>
      <c r="D813">
        <v>7</v>
      </c>
      <c r="E813">
        <v>256.88</v>
      </c>
      <c r="F813">
        <v>14.31</v>
      </c>
      <c r="G813">
        <f t="shared" si="36"/>
        <v>1783.85</v>
      </c>
      <c r="H813" t="str">
        <f>_xlfn.XLOOKUP(B813,customer_orders!A:A,customer_orders!F:F)</f>
        <v>2026-05</v>
      </c>
      <c r="I813" t="str">
        <f>_xlfn.XLOOKUP(C813,products!A:A,products!B:B)</f>
        <v>SKU-0038</v>
      </c>
      <c r="J813" t="str">
        <f>_xlfn.XLOOKUP(B813,customer_orders!A:A,customer_orders!G:G)</f>
        <v>2026-w19</v>
      </c>
      <c r="K813">
        <f>IFERROR(_xlfn.XLOOKUP(B813,shipments!B:B,shipments!H:H),0)</f>
        <v>0</v>
      </c>
      <c r="L813">
        <f t="shared" si="37"/>
        <v>0</v>
      </c>
      <c r="M813" t="str">
        <f>_xlfn.XLOOKUP(B813,customer_orders!A:A,customer_orders!D:D)</f>
        <v>Shopify</v>
      </c>
      <c r="N813" t="str">
        <f>_xlfn.XLOOKUP(C813,inventory!B:B,inventory!C:C)</f>
        <v>Unknown</v>
      </c>
      <c r="O813">
        <f>IF(_xlfn.XLOOKUP(C813,products!A:A,products!E:E)="NULL",0,_xlfn.XLOOKUP(C813,products!A:A,products!E:E))</f>
        <v>167.11</v>
      </c>
      <c r="P813">
        <f t="shared" si="38"/>
        <v>1616.7399999999998</v>
      </c>
      <c r="Q813" s="2" t="str">
        <f>_xlfn.XLOOKUP(I813,products!B:B,products!D:D)</f>
        <v>Electronics</v>
      </c>
    </row>
    <row r="814" spans="1:17">
      <c r="A814">
        <v>813</v>
      </c>
      <c r="B814">
        <v>1328</v>
      </c>
      <c r="C814">
        <v>46</v>
      </c>
      <c r="D814">
        <v>1</v>
      </c>
      <c r="E814">
        <v>219.11</v>
      </c>
      <c r="F814">
        <v>0</v>
      </c>
      <c r="G814">
        <f t="shared" si="36"/>
        <v>219.11</v>
      </c>
      <c r="H814" t="str">
        <f>_xlfn.XLOOKUP(B814,customer_orders!A:A,customer_orders!F:F)</f>
        <v>2026-02</v>
      </c>
      <c r="I814" t="str">
        <f>_xlfn.XLOOKUP(C814,products!A:A,products!B:B)</f>
        <v>SKU-0046</v>
      </c>
      <c r="J814" t="str">
        <f>_xlfn.XLOOKUP(B814,customer_orders!A:A,customer_orders!G:G)</f>
        <v>2026-w07</v>
      </c>
      <c r="K814">
        <f>IFERROR(_xlfn.XLOOKUP(B814,shipments!B:B,shipments!H:H),0)</f>
        <v>94</v>
      </c>
      <c r="L814">
        <f t="shared" si="37"/>
        <v>0.43</v>
      </c>
      <c r="M814" t="str">
        <f>_xlfn.XLOOKUP(B814,customer_orders!A:A,customer_orders!D:D)</f>
        <v>Amazon</v>
      </c>
      <c r="N814" t="str">
        <f>_xlfn.XLOOKUP(C814,inventory!B:B,inventory!C:C)</f>
        <v>Unknown</v>
      </c>
      <c r="O814">
        <f>IF(_xlfn.XLOOKUP(C814,products!A:A,products!E:E)="NULL",0,_xlfn.XLOOKUP(C814,products!A:A,products!E:E))</f>
        <v>40.75</v>
      </c>
      <c r="P814">
        <f t="shared" si="38"/>
        <v>178.36</v>
      </c>
      <c r="Q814" s="2" t="str">
        <f>_xlfn.XLOOKUP(I814,products!B:B,products!D:D)</f>
        <v>Kitchen</v>
      </c>
    </row>
    <row r="815" spans="1:17">
      <c r="A815">
        <v>814</v>
      </c>
      <c r="B815">
        <v>1328</v>
      </c>
      <c r="C815">
        <v>112</v>
      </c>
      <c r="D815">
        <v>3</v>
      </c>
      <c r="E815">
        <v>154.88</v>
      </c>
      <c r="F815">
        <v>9.7799999999999994</v>
      </c>
      <c r="G815">
        <f t="shared" si="36"/>
        <v>454.86</v>
      </c>
      <c r="H815" t="str">
        <f>_xlfn.XLOOKUP(B815,customer_orders!A:A,customer_orders!F:F)</f>
        <v>2026-02</v>
      </c>
      <c r="I815" t="str">
        <f>_xlfn.XLOOKUP(C815,products!A:A,products!B:B)</f>
        <v>SKU-0112</v>
      </c>
      <c r="J815" t="str">
        <f>_xlfn.XLOOKUP(B815,customer_orders!A:A,customer_orders!G:G)</f>
        <v>2026-w07</v>
      </c>
      <c r="K815">
        <f>IFERROR(_xlfn.XLOOKUP(B815,shipments!B:B,shipments!H:H),0)</f>
        <v>94</v>
      </c>
      <c r="L815">
        <f t="shared" si="37"/>
        <v>0.21</v>
      </c>
      <c r="M815" t="str">
        <f>_xlfn.XLOOKUP(B815,customer_orders!A:A,customer_orders!D:D)</f>
        <v>Amazon</v>
      </c>
      <c r="N815" t="str">
        <f>_xlfn.XLOOKUP(C815,inventory!B:B,inventory!C:C)</f>
        <v>South Jordan</v>
      </c>
      <c r="O815">
        <f>IF(_xlfn.XLOOKUP(C815,products!A:A,products!E:E)="NULL",0,_xlfn.XLOOKUP(C815,products!A:A,products!E:E))</f>
        <v>118.03</v>
      </c>
      <c r="P815">
        <f t="shared" si="38"/>
        <v>336.83000000000004</v>
      </c>
      <c r="Q815" s="2" t="str">
        <f>_xlfn.XLOOKUP(I815,products!B:B,products!D:D)</f>
        <v>Beauty</v>
      </c>
    </row>
    <row r="816" spans="1:17">
      <c r="A816">
        <v>815</v>
      </c>
      <c r="B816">
        <v>1328</v>
      </c>
      <c r="C816">
        <v>63</v>
      </c>
      <c r="D816">
        <v>1</v>
      </c>
      <c r="E816">
        <v>214.86</v>
      </c>
      <c r="F816">
        <v>2.66</v>
      </c>
      <c r="G816">
        <f t="shared" si="36"/>
        <v>212.20000000000002</v>
      </c>
      <c r="H816" t="str">
        <f>_xlfn.XLOOKUP(B816,customer_orders!A:A,customer_orders!F:F)</f>
        <v>2026-02</v>
      </c>
      <c r="I816" t="str">
        <f>_xlfn.XLOOKUP(C816,products!A:A,products!B:B)</f>
        <v>SKU-0063</v>
      </c>
      <c r="J816" t="str">
        <f>_xlfn.XLOOKUP(B816,customer_orders!A:A,customer_orders!G:G)</f>
        <v>2026-w07</v>
      </c>
      <c r="K816">
        <f>IFERROR(_xlfn.XLOOKUP(B816,shipments!B:B,shipments!H:H),0)</f>
        <v>94</v>
      </c>
      <c r="L816">
        <f t="shared" si="37"/>
        <v>0.44</v>
      </c>
      <c r="M816" t="str">
        <f>_xlfn.XLOOKUP(B816,customer_orders!A:A,customer_orders!D:D)</f>
        <v>Amazon</v>
      </c>
      <c r="N816" t="str">
        <f>_xlfn.XLOOKUP(C816,inventory!B:B,inventory!C:C)</f>
        <v>Salt Lake City</v>
      </c>
      <c r="O816">
        <f>IF(_xlfn.XLOOKUP(C816,products!A:A,products!E:E)="NULL",0,_xlfn.XLOOKUP(C816,products!A:A,products!E:E))</f>
        <v>32.86</v>
      </c>
      <c r="P816">
        <f t="shared" si="38"/>
        <v>179.34000000000003</v>
      </c>
      <c r="Q816" s="2" t="str">
        <f>_xlfn.XLOOKUP(I816,products!B:B,products!D:D)</f>
        <v>Beauty</v>
      </c>
    </row>
    <row r="817" spans="1:17">
      <c r="A817">
        <v>816</v>
      </c>
      <c r="B817">
        <v>1328</v>
      </c>
      <c r="C817">
        <v>126</v>
      </c>
      <c r="D817">
        <v>5</v>
      </c>
      <c r="E817">
        <v>32.17</v>
      </c>
      <c r="F817">
        <v>0</v>
      </c>
      <c r="G817">
        <f t="shared" si="36"/>
        <v>160.85000000000002</v>
      </c>
      <c r="H817" t="str">
        <f>_xlfn.XLOOKUP(B817,customer_orders!A:A,customer_orders!F:F)</f>
        <v>2026-02</v>
      </c>
      <c r="I817" t="str">
        <f>_xlfn.XLOOKUP(C817,products!A:A,products!B:B)</f>
        <v>SKU-0126</v>
      </c>
      <c r="J817" t="str">
        <f>_xlfn.XLOOKUP(B817,customer_orders!A:A,customer_orders!G:G)</f>
        <v>2026-w07</v>
      </c>
      <c r="K817">
        <f>IFERROR(_xlfn.XLOOKUP(B817,shipments!B:B,shipments!H:H),0)</f>
        <v>94</v>
      </c>
      <c r="L817">
        <f t="shared" si="37"/>
        <v>0.57999999999999996</v>
      </c>
      <c r="M817" t="str">
        <f>_xlfn.XLOOKUP(B817,customer_orders!A:A,customer_orders!D:D)</f>
        <v>Amazon</v>
      </c>
      <c r="N817" t="str">
        <f>_xlfn.XLOOKUP(C817,inventory!B:B,inventory!C:C)</f>
        <v>South Jordan</v>
      </c>
      <c r="O817">
        <f>IF(_xlfn.XLOOKUP(C817,products!A:A,products!E:E)="NULL",0,_xlfn.XLOOKUP(C817,products!A:A,products!E:E))</f>
        <v>104.51</v>
      </c>
      <c r="P817">
        <f t="shared" si="38"/>
        <v>56.340000000000018</v>
      </c>
      <c r="Q817" s="2" t="str">
        <f>_xlfn.XLOOKUP(I817,products!B:B,products!D:D)</f>
        <v>Office</v>
      </c>
    </row>
    <row r="818" spans="1:17">
      <c r="A818">
        <v>817</v>
      </c>
      <c r="B818">
        <v>1329</v>
      </c>
      <c r="C818">
        <v>95</v>
      </c>
      <c r="D818">
        <v>1</v>
      </c>
      <c r="E818">
        <v>75.319999999999993</v>
      </c>
      <c r="F818">
        <v>0</v>
      </c>
      <c r="G818">
        <f t="shared" si="36"/>
        <v>75.319999999999993</v>
      </c>
      <c r="H818" t="str">
        <f>_xlfn.XLOOKUP(B818,customer_orders!A:A,customer_orders!F:F)</f>
        <v>2026-04</v>
      </c>
      <c r="I818" t="str">
        <f>_xlfn.XLOOKUP(C818,products!A:A,products!B:B)</f>
        <v>SKU-0095</v>
      </c>
      <c r="J818" t="str">
        <f>_xlfn.XLOOKUP(B818,customer_orders!A:A,customer_orders!G:G)</f>
        <v>2026-w15</v>
      </c>
      <c r="K818">
        <f>IFERROR(_xlfn.XLOOKUP(B818,shipments!B:B,shipments!H:H),0)</f>
        <v>0</v>
      </c>
      <c r="L818">
        <f t="shared" si="37"/>
        <v>0</v>
      </c>
      <c r="M818" t="str">
        <f>_xlfn.XLOOKUP(B818,customer_orders!A:A,customer_orders!D:D)</f>
        <v>Shopify</v>
      </c>
      <c r="N818" t="str">
        <f>_xlfn.XLOOKUP(C818,inventory!B:B,inventory!C:C)</f>
        <v>Draper</v>
      </c>
      <c r="O818">
        <f>IF(_xlfn.XLOOKUP(C818,products!A:A,products!E:E)="NULL",0,_xlfn.XLOOKUP(C818,products!A:A,products!E:E))</f>
        <v>71.34</v>
      </c>
      <c r="P818">
        <f t="shared" si="38"/>
        <v>3.9799999999999898</v>
      </c>
      <c r="Q818" s="2" t="str">
        <f>_xlfn.XLOOKUP(I818,products!B:B,products!D:D)</f>
        <v>Electronics</v>
      </c>
    </row>
    <row r="819" spans="1:17">
      <c r="A819">
        <v>818</v>
      </c>
      <c r="B819">
        <v>1329</v>
      </c>
      <c r="C819">
        <v>32</v>
      </c>
      <c r="D819">
        <v>8</v>
      </c>
      <c r="E819">
        <v>221.16</v>
      </c>
      <c r="F819">
        <v>0</v>
      </c>
      <c r="G819">
        <f t="shared" si="36"/>
        <v>1769.28</v>
      </c>
      <c r="H819" t="str">
        <f>_xlfn.XLOOKUP(B819,customer_orders!A:A,customer_orders!F:F)</f>
        <v>2026-04</v>
      </c>
      <c r="I819" t="str">
        <f>_xlfn.XLOOKUP(C819,products!A:A,products!B:B)</f>
        <v>SKU-0032</v>
      </c>
      <c r="J819" t="str">
        <f>_xlfn.XLOOKUP(B819,customer_orders!A:A,customer_orders!G:G)</f>
        <v>2026-w15</v>
      </c>
      <c r="K819">
        <f>IFERROR(_xlfn.XLOOKUP(B819,shipments!B:B,shipments!H:H),0)</f>
        <v>0</v>
      </c>
      <c r="L819">
        <f t="shared" si="37"/>
        <v>0</v>
      </c>
      <c r="M819" t="str">
        <f>_xlfn.XLOOKUP(B819,customer_orders!A:A,customer_orders!D:D)</f>
        <v>Shopify</v>
      </c>
      <c r="N819" t="str">
        <f>_xlfn.XLOOKUP(C819,inventory!B:B,inventory!C:C)</f>
        <v>Salt Lake City</v>
      </c>
      <c r="O819">
        <f>IF(_xlfn.XLOOKUP(C819,products!A:A,products!E:E)="NULL",0,_xlfn.XLOOKUP(C819,products!A:A,products!E:E))</f>
        <v>99.37</v>
      </c>
      <c r="P819">
        <f t="shared" si="38"/>
        <v>1669.9099999999999</v>
      </c>
      <c r="Q819" s="2" t="str">
        <f>_xlfn.XLOOKUP(I819,products!B:B,products!D:D)</f>
        <v>Pet</v>
      </c>
    </row>
    <row r="820" spans="1:17">
      <c r="A820">
        <v>819</v>
      </c>
      <c r="B820">
        <v>1329</v>
      </c>
      <c r="C820">
        <v>6</v>
      </c>
      <c r="D820">
        <v>8</v>
      </c>
      <c r="E820">
        <v>256.54000000000002</v>
      </c>
      <c r="F820">
        <v>0</v>
      </c>
      <c r="G820">
        <f t="shared" si="36"/>
        <v>2052.3200000000002</v>
      </c>
      <c r="H820" t="str">
        <f>_xlfn.XLOOKUP(B820,customer_orders!A:A,customer_orders!F:F)</f>
        <v>2026-04</v>
      </c>
      <c r="I820" t="str">
        <f>_xlfn.XLOOKUP(C820,products!A:A,products!B:B)</f>
        <v>SKU-0006</v>
      </c>
      <c r="J820" t="str">
        <f>_xlfn.XLOOKUP(B820,customer_orders!A:A,customer_orders!G:G)</f>
        <v>2026-w15</v>
      </c>
      <c r="K820">
        <f>IFERROR(_xlfn.XLOOKUP(B820,shipments!B:B,shipments!H:H),0)</f>
        <v>0</v>
      </c>
      <c r="L820">
        <f t="shared" si="37"/>
        <v>0</v>
      </c>
      <c r="M820" t="str">
        <f>_xlfn.XLOOKUP(B820,customer_orders!A:A,customer_orders!D:D)</f>
        <v>Shopify</v>
      </c>
      <c r="N820" t="str">
        <f>_xlfn.XLOOKUP(C820,inventory!B:B,inventory!C:C)</f>
        <v>South Jordan</v>
      </c>
      <c r="O820">
        <f>IF(_xlfn.XLOOKUP(C820,products!A:A,products!E:E)="NULL",0,_xlfn.XLOOKUP(C820,products!A:A,products!E:E))</f>
        <v>21.93</v>
      </c>
      <c r="P820">
        <f t="shared" si="38"/>
        <v>2030.39</v>
      </c>
      <c r="Q820" s="2" t="str">
        <f>_xlfn.XLOOKUP(I820,products!B:B,products!D:D)</f>
        <v>Home</v>
      </c>
    </row>
    <row r="821" spans="1:17">
      <c r="A821">
        <v>820</v>
      </c>
      <c r="B821">
        <v>1329</v>
      </c>
      <c r="C821">
        <v>47</v>
      </c>
      <c r="D821">
        <v>7</v>
      </c>
      <c r="E821">
        <v>100.5</v>
      </c>
      <c r="F821">
        <v>7.78</v>
      </c>
      <c r="G821">
        <f t="shared" si="36"/>
        <v>695.72</v>
      </c>
      <c r="H821" t="str">
        <f>_xlfn.XLOOKUP(B821,customer_orders!A:A,customer_orders!F:F)</f>
        <v>2026-04</v>
      </c>
      <c r="I821" t="str">
        <f>_xlfn.XLOOKUP(C821,products!A:A,products!B:B)</f>
        <v>SKU-0047</v>
      </c>
      <c r="J821" t="str">
        <f>_xlfn.XLOOKUP(B821,customer_orders!A:A,customer_orders!G:G)</f>
        <v>2026-w15</v>
      </c>
      <c r="K821">
        <f>IFERROR(_xlfn.XLOOKUP(B821,shipments!B:B,shipments!H:H),0)</f>
        <v>0</v>
      </c>
      <c r="L821">
        <f t="shared" si="37"/>
        <v>0</v>
      </c>
      <c r="M821" t="str">
        <f>_xlfn.XLOOKUP(B821,customer_orders!A:A,customer_orders!D:D)</f>
        <v>Shopify</v>
      </c>
      <c r="N821" t="str">
        <f>_xlfn.XLOOKUP(C821,inventory!B:B,inventory!C:C)</f>
        <v>Salt Lake City</v>
      </c>
      <c r="O821">
        <f>IF(_xlfn.XLOOKUP(C821,products!A:A,products!E:E)="NULL",0,_xlfn.XLOOKUP(C821,products!A:A,products!E:E))</f>
        <v>122.55</v>
      </c>
      <c r="P821">
        <f t="shared" si="38"/>
        <v>573.17000000000007</v>
      </c>
      <c r="Q821" s="2" t="str">
        <f>_xlfn.XLOOKUP(I821,products!B:B,products!D:D)</f>
        <v>Office</v>
      </c>
    </row>
    <row r="822" spans="1:17">
      <c r="A822">
        <v>821</v>
      </c>
      <c r="B822">
        <v>1330</v>
      </c>
      <c r="C822">
        <v>104</v>
      </c>
      <c r="D822">
        <v>1</v>
      </c>
      <c r="E822">
        <v>199.55</v>
      </c>
      <c r="F822">
        <v>6.51</v>
      </c>
      <c r="G822">
        <f t="shared" si="36"/>
        <v>193.04000000000002</v>
      </c>
      <c r="H822" t="str">
        <f>_xlfn.XLOOKUP(B822,customer_orders!A:A,customer_orders!F:F)</f>
        <v>2026-02</v>
      </c>
      <c r="I822" t="str">
        <f>_xlfn.XLOOKUP(C822,products!A:A,products!B:B)</f>
        <v>SKU-0104</v>
      </c>
      <c r="J822" t="str">
        <f>_xlfn.XLOOKUP(B822,customer_orders!A:A,customer_orders!G:G)</f>
        <v>2026-w06</v>
      </c>
      <c r="K822">
        <f>IFERROR(_xlfn.XLOOKUP(B822,shipments!B:B,shipments!H:H),0)</f>
        <v>103.99</v>
      </c>
      <c r="L822">
        <f t="shared" si="37"/>
        <v>0.54</v>
      </c>
      <c r="M822" t="str">
        <f>_xlfn.XLOOKUP(B822,customer_orders!A:A,customer_orders!D:D)</f>
        <v>Ebay</v>
      </c>
      <c r="N822" t="str">
        <f>_xlfn.XLOOKUP(C822,inventory!B:B,inventory!C:C)</f>
        <v>West Valley</v>
      </c>
      <c r="O822">
        <f>IF(_xlfn.XLOOKUP(C822,products!A:A,products!E:E)="NULL",0,_xlfn.XLOOKUP(C822,products!A:A,products!E:E))</f>
        <v>17.07</v>
      </c>
      <c r="P822">
        <f t="shared" si="38"/>
        <v>175.97000000000003</v>
      </c>
      <c r="Q822" s="2" t="str">
        <f>_xlfn.XLOOKUP(I822,products!B:B,products!D:D)</f>
        <v>Office</v>
      </c>
    </row>
    <row r="823" spans="1:17">
      <c r="A823">
        <v>822</v>
      </c>
      <c r="B823">
        <v>1330</v>
      </c>
      <c r="C823">
        <v>17</v>
      </c>
      <c r="D823">
        <v>2</v>
      </c>
      <c r="E823">
        <v>299.3</v>
      </c>
      <c r="F823">
        <v>0</v>
      </c>
      <c r="G823">
        <f t="shared" si="36"/>
        <v>598.6</v>
      </c>
      <c r="H823" t="str">
        <f>_xlfn.XLOOKUP(B823,customer_orders!A:A,customer_orders!F:F)</f>
        <v>2026-02</v>
      </c>
      <c r="I823" t="str">
        <f>_xlfn.XLOOKUP(C823,products!A:A,products!B:B)</f>
        <v>SKU-0017</v>
      </c>
      <c r="J823" t="str">
        <f>_xlfn.XLOOKUP(B823,customer_orders!A:A,customer_orders!G:G)</f>
        <v>2026-w06</v>
      </c>
      <c r="K823">
        <f>IFERROR(_xlfn.XLOOKUP(B823,shipments!B:B,shipments!H:H),0)</f>
        <v>103.99</v>
      </c>
      <c r="L823">
        <f t="shared" si="37"/>
        <v>0.17</v>
      </c>
      <c r="M823" t="str">
        <f>_xlfn.XLOOKUP(B823,customer_orders!A:A,customer_orders!D:D)</f>
        <v>Ebay</v>
      </c>
      <c r="N823" t="str">
        <f>_xlfn.XLOOKUP(C823,inventory!B:B,inventory!C:C)</f>
        <v>West Valley</v>
      </c>
      <c r="O823">
        <f>IF(_xlfn.XLOOKUP(C823,products!A:A,products!E:E)="NULL",0,_xlfn.XLOOKUP(C823,products!A:A,products!E:E))</f>
        <v>43.38</v>
      </c>
      <c r="P823">
        <f t="shared" si="38"/>
        <v>555.22</v>
      </c>
      <c r="Q823" s="2" t="str">
        <f>_xlfn.XLOOKUP(I823,products!B:B,products!D:D)</f>
        <v>Office</v>
      </c>
    </row>
    <row r="824" spans="1:17">
      <c r="A824">
        <v>823</v>
      </c>
      <c r="B824">
        <v>1331</v>
      </c>
      <c r="C824">
        <v>42</v>
      </c>
      <c r="D824">
        <v>2</v>
      </c>
      <c r="E824">
        <v>169.53</v>
      </c>
      <c r="F824">
        <v>0</v>
      </c>
      <c r="G824">
        <f t="shared" si="36"/>
        <v>339.06</v>
      </c>
      <c r="H824" t="str">
        <f>_xlfn.XLOOKUP(B824,customer_orders!A:A,customer_orders!F:F)</f>
        <v>2026-02</v>
      </c>
      <c r="I824" t="str">
        <f>_xlfn.XLOOKUP(C824,products!A:A,products!B:B)</f>
        <v>SKU-0042</v>
      </c>
      <c r="J824" t="str">
        <f>_xlfn.XLOOKUP(B824,customer_orders!A:A,customer_orders!G:G)</f>
        <v>2026-w06</v>
      </c>
      <c r="K824">
        <f>IFERROR(_xlfn.XLOOKUP(B824,shipments!B:B,shipments!H:H),0)</f>
        <v>117.34</v>
      </c>
      <c r="L824">
        <f t="shared" si="37"/>
        <v>0.35</v>
      </c>
      <c r="M824" t="str">
        <f>_xlfn.XLOOKUP(B824,customer_orders!A:A,customer_orders!D:D)</f>
        <v>Shopify</v>
      </c>
      <c r="N824" t="str">
        <f>_xlfn.XLOOKUP(C824,inventory!B:B,inventory!C:C)</f>
        <v>South Jordan</v>
      </c>
      <c r="O824">
        <f>IF(_xlfn.XLOOKUP(C824,products!A:A,products!E:E)="NULL",0,_xlfn.XLOOKUP(C824,products!A:A,products!E:E))</f>
        <v>106.36</v>
      </c>
      <c r="P824">
        <f t="shared" si="38"/>
        <v>232.7</v>
      </c>
      <c r="Q824" s="2" t="str">
        <f>_xlfn.XLOOKUP(I824,products!B:B,products!D:D)</f>
        <v>Beauty</v>
      </c>
    </row>
    <row r="825" spans="1:17">
      <c r="A825">
        <v>824</v>
      </c>
      <c r="B825">
        <v>1331</v>
      </c>
      <c r="C825">
        <v>22</v>
      </c>
      <c r="D825">
        <v>2</v>
      </c>
      <c r="E825">
        <v>159.69</v>
      </c>
      <c r="F825">
        <v>0</v>
      </c>
      <c r="G825">
        <f t="shared" si="36"/>
        <v>319.38</v>
      </c>
      <c r="H825" t="str">
        <f>_xlfn.XLOOKUP(B825,customer_orders!A:A,customer_orders!F:F)</f>
        <v>2026-02</v>
      </c>
      <c r="I825" t="str">
        <f>_xlfn.XLOOKUP(C825,products!A:A,products!B:B)</f>
        <v>SKU-0022</v>
      </c>
      <c r="J825" t="str">
        <f>_xlfn.XLOOKUP(B825,customer_orders!A:A,customer_orders!G:G)</f>
        <v>2026-w06</v>
      </c>
      <c r="K825">
        <f>IFERROR(_xlfn.XLOOKUP(B825,shipments!B:B,shipments!H:H),0)</f>
        <v>117.34</v>
      </c>
      <c r="L825">
        <f t="shared" si="37"/>
        <v>0.37</v>
      </c>
      <c r="M825" t="str">
        <f>_xlfn.XLOOKUP(B825,customer_orders!A:A,customer_orders!D:D)</f>
        <v>Shopify</v>
      </c>
      <c r="N825" t="str">
        <f>_xlfn.XLOOKUP(C825,inventory!B:B,inventory!C:C)</f>
        <v>Lehi</v>
      </c>
      <c r="O825">
        <f>IF(_xlfn.XLOOKUP(C825,products!A:A,products!E:E)="NULL",0,_xlfn.XLOOKUP(C825,products!A:A,products!E:E))</f>
        <v>138.34</v>
      </c>
      <c r="P825">
        <f t="shared" si="38"/>
        <v>181.04</v>
      </c>
      <c r="Q825" s="2" t="str">
        <f>_xlfn.XLOOKUP(I825,products!B:B,products!D:D)</f>
        <v>Sports</v>
      </c>
    </row>
    <row r="826" spans="1:17">
      <c r="A826">
        <v>825</v>
      </c>
      <c r="B826">
        <v>1332</v>
      </c>
      <c r="C826">
        <v>148</v>
      </c>
      <c r="D826">
        <v>8</v>
      </c>
      <c r="E826">
        <v>124.32</v>
      </c>
      <c r="F826">
        <v>0</v>
      </c>
      <c r="G826">
        <f t="shared" si="36"/>
        <v>994.56</v>
      </c>
      <c r="H826" t="str">
        <f>_xlfn.XLOOKUP(B826,customer_orders!A:A,customer_orders!F:F)</f>
        <v>2026-03</v>
      </c>
      <c r="I826" t="str">
        <f>_xlfn.XLOOKUP(C826,products!A:A,products!B:B)</f>
        <v>SKU0148</v>
      </c>
      <c r="J826" t="str">
        <f>_xlfn.XLOOKUP(B826,customer_orders!A:A,customer_orders!G:G)</f>
        <v>2026-w12</v>
      </c>
      <c r="K826">
        <f>IFERROR(_xlfn.XLOOKUP(B826,shipments!B:B,shipments!H:H),0)</f>
        <v>20.43</v>
      </c>
      <c r="L826">
        <f t="shared" si="37"/>
        <v>0.02</v>
      </c>
      <c r="M826" t="str">
        <f>_xlfn.XLOOKUP(B826,customer_orders!A:A,customer_orders!D:D)</f>
        <v>Amazon</v>
      </c>
      <c r="N826" t="str">
        <f>_xlfn.XLOOKUP(C826,inventory!B:B,inventory!C:C)</f>
        <v>Draper</v>
      </c>
      <c r="O826">
        <f>IF(_xlfn.XLOOKUP(C826,products!A:A,products!E:E)="NULL",0,_xlfn.XLOOKUP(C826,products!A:A,products!E:E))</f>
        <v>101.47</v>
      </c>
      <c r="P826">
        <f t="shared" si="38"/>
        <v>893.08999999999992</v>
      </c>
      <c r="Q826" s="2" t="str">
        <f>_xlfn.XLOOKUP(I826,products!B:B,products!D:D)</f>
        <v>Beauty</v>
      </c>
    </row>
    <row r="827" spans="1:17">
      <c r="A827">
        <v>826</v>
      </c>
      <c r="B827">
        <v>1332</v>
      </c>
      <c r="C827">
        <v>138</v>
      </c>
      <c r="D827">
        <v>4</v>
      </c>
      <c r="E827">
        <v>106.5</v>
      </c>
      <c r="F827">
        <v>0</v>
      </c>
      <c r="G827">
        <f t="shared" si="36"/>
        <v>426</v>
      </c>
      <c r="H827" t="str">
        <f>_xlfn.XLOOKUP(B827,customer_orders!A:A,customer_orders!F:F)</f>
        <v>2026-03</v>
      </c>
      <c r="I827" t="str">
        <f>_xlfn.XLOOKUP(C827,products!A:A,products!B:B)</f>
        <v>SKU-0138</v>
      </c>
      <c r="J827" t="str">
        <f>_xlfn.XLOOKUP(B827,customer_orders!A:A,customer_orders!G:G)</f>
        <v>2026-w12</v>
      </c>
      <c r="K827">
        <f>IFERROR(_xlfn.XLOOKUP(B827,shipments!B:B,shipments!H:H),0)</f>
        <v>20.43</v>
      </c>
      <c r="L827">
        <f t="shared" si="37"/>
        <v>0.05</v>
      </c>
      <c r="M827" t="str">
        <f>_xlfn.XLOOKUP(B827,customer_orders!A:A,customer_orders!D:D)</f>
        <v>Amazon</v>
      </c>
      <c r="N827" t="str">
        <f>_xlfn.XLOOKUP(C827,inventory!B:B,inventory!C:C)</f>
        <v>South Jordan</v>
      </c>
      <c r="O827">
        <f>IF(_xlfn.XLOOKUP(C827,products!A:A,products!E:E)="NULL",0,_xlfn.XLOOKUP(C827,products!A:A,products!E:E))</f>
        <v>76.459999999999994</v>
      </c>
      <c r="P827">
        <f t="shared" si="38"/>
        <v>349.54</v>
      </c>
      <c r="Q827" s="2" t="str">
        <f>_xlfn.XLOOKUP(I827,products!B:B,products!D:D)</f>
        <v>Pet</v>
      </c>
    </row>
    <row r="828" spans="1:17">
      <c r="A828">
        <v>827</v>
      </c>
      <c r="B828">
        <v>1333</v>
      </c>
      <c r="C828">
        <v>109</v>
      </c>
      <c r="D828">
        <v>2</v>
      </c>
      <c r="E828">
        <v>257.52</v>
      </c>
      <c r="F828">
        <v>0</v>
      </c>
      <c r="G828">
        <f t="shared" si="36"/>
        <v>515.04</v>
      </c>
      <c r="H828" t="str">
        <f>_xlfn.XLOOKUP(B828,customer_orders!A:A,customer_orders!F:F)</f>
        <v>2026-02</v>
      </c>
      <c r="I828" t="str">
        <f>_xlfn.XLOOKUP(C828,products!A:A,products!B:B)</f>
        <v>SKU-0109</v>
      </c>
      <c r="J828" t="str">
        <f>_xlfn.XLOOKUP(B828,customer_orders!A:A,customer_orders!G:G)</f>
        <v>2026-w09</v>
      </c>
      <c r="K828">
        <f>IFERROR(_xlfn.XLOOKUP(B828,shipments!B:B,shipments!H:H),0)</f>
        <v>113.06</v>
      </c>
      <c r="L828">
        <f t="shared" si="37"/>
        <v>0.22</v>
      </c>
      <c r="M828" t="str">
        <f>_xlfn.XLOOKUP(B828,customer_orders!A:A,customer_orders!D:D)</f>
        <v>Ebay</v>
      </c>
      <c r="N828" t="str">
        <f>_xlfn.XLOOKUP(C828,inventory!B:B,inventory!C:C)</f>
        <v>Draper</v>
      </c>
      <c r="O828">
        <f>IF(_xlfn.XLOOKUP(C828,products!A:A,products!E:E)="NULL",0,_xlfn.XLOOKUP(C828,products!A:A,products!E:E))</f>
        <v>10.02</v>
      </c>
      <c r="P828">
        <f t="shared" si="38"/>
        <v>505.02</v>
      </c>
      <c r="Q828" s="2" t="str">
        <f>_xlfn.XLOOKUP(I828,products!B:B,products!D:D)</f>
        <v>Office</v>
      </c>
    </row>
    <row r="829" spans="1:17">
      <c r="A829">
        <v>828</v>
      </c>
      <c r="B829">
        <v>1333</v>
      </c>
      <c r="C829">
        <v>98</v>
      </c>
      <c r="D829">
        <v>3</v>
      </c>
      <c r="E829">
        <v>285.64</v>
      </c>
      <c r="F829">
        <v>0</v>
      </c>
      <c r="G829">
        <f t="shared" si="36"/>
        <v>856.92</v>
      </c>
      <c r="H829" t="str">
        <f>_xlfn.XLOOKUP(B829,customer_orders!A:A,customer_orders!F:F)</f>
        <v>2026-02</v>
      </c>
      <c r="I829" t="str">
        <f>_xlfn.XLOOKUP(C829,products!A:A,products!B:B)</f>
        <v>SKU-0098</v>
      </c>
      <c r="J829" t="str">
        <f>_xlfn.XLOOKUP(B829,customer_orders!A:A,customer_orders!G:G)</f>
        <v>2026-w09</v>
      </c>
      <c r="K829">
        <f>IFERROR(_xlfn.XLOOKUP(B829,shipments!B:B,shipments!H:H),0)</f>
        <v>113.06</v>
      </c>
      <c r="L829">
        <f t="shared" si="37"/>
        <v>0.13</v>
      </c>
      <c r="M829" t="str">
        <f>_xlfn.XLOOKUP(B829,customer_orders!A:A,customer_orders!D:D)</f>
        <v>Ebay</v>
      </c>
      <c r="N829" t="str">
        <f>_xlfn.XLOOKUP(C829,inventory!B:B,inventory!C:C)</f>
        <v>South Jordan</v>
      </c>
      <c r="O829">
        <f>IF(_xlfn.XLOOKUP(C829,products!A:A,products!E:E)="NULL",0,_xlfn.XLOOKUP(C829,products!A:A,products!E:E))</f>
        <v>136.99</v>
      </c>
      <c r="P829">
        <f t="shared" si="38"/>
        <v>719.93</v>
      </c>
      <c r="Q829" s="2" t="str">
        <f>_xlfn.XLOOKUP(I829,products!B:B,products!D:D)</f>
        <v>Home</v>
      </c>
    </row>
    <row r="830" spans="1:17">
      <c r="A830">
        <v>829</v>
      </c>
      <c r="B830">
        <v>1334</v>
      </c>
      <c r="C830">
        <v>108</v>
      </c>
      <c r="D830">
        <v>3</v>
      </c>
      <c r="E830">
        <v>143.47999999999999</v>
      </c>
      <c r="F830">
        <v>5.43</v>
      </c>
      <c r="G830">
        <f t="shared" si="36"/>
        <v>425.00999999999993</v>
      </c>
      <c r="H830" t="str">
        <f>_xlfn.XLOOKUP(B830,customer_orders!A:A,customer_orders!F:F)</f>
        <v>2026-02</v>
      </c>
      <c r="I830" t="str">
        <f>_xlfn.XLOOKUP(C830,products!A:A,products!B:B)</f>
        <v>SKU-0108</v>
      </c>
      <c r="J830" t="str">
        <f>_xlfn.XLOOKUP(B830,customer_orders!A:A,customer_orders!G:G)</f>
        <v>2026-w08</v>
      </c>
      <c r="K830">
        <f>IFERROR(_xlfn.XLOOKUP(B830,shipments!B:B,shipments!H:H),0)</f>
        <v>65.650000000000006</v>
      </c>
      <c r="L830">
        <f t="shared" si="37"/>
        <v>0.15</v>
      </c>
      <c r="M830" t="str">
        <f>_xlfn.XLOOKUP(B830,customer_orders!A:A,customer_orders!D:D)</f>
        <v>Ebay</v>
      </c>
      <c r="N830" t="str">
        <f>_xlfn.XLOOKUP(C830,inventory!B:B,inventory!C:C)</f>
        <v>South Jordan</v>
      </c>
      <c r="O830">
        <f>IF(_xlfn.XLOOKUP(C830,products!A:A,products!E:E)="NULL",0,_xlfn.XLOOKUP(C830,products!A:A,products!E:E))</f>
        <v>53.81</v>
      </c>
      <c r="P830">
        <f t="shared" si="38"/>
        <v>371.19999999999993</v>
      </c>
      <c r="Q830" s="2" t="str">
        <f>_xlfn.XLOOKUP(I830,products!B:B,products!D:D)</f>
        <v>Beauty</v>
      </c>
    </row>
    <row r="831" spans="1:17">
      <c r="A831">
        <v>830</v>
      </c>
      <c r="B831">
        <v>1334</v>
      </c>
      <c r="C831">
        <v>98</v>
      </c>
      <c r="D831">
        <v>1</v>
      </c>
      <c r="E831">
        <v>285.64</v>
      </c>
      <c r="F831">
        <v>0</v>
      </c>
      <c r="G831">
        <f t="shared" si="36"/>
        <v>285.64</v>
      </c>
      <c r="H831" t="str">
        <f>_xlfn.XLOOKUP(B831,customer_orders!A:A,customer_orders!F:F)</f>
        <v>2026-02</v>
      </c>
      <c r="I831" t="str">
        <f>_xlfn.XLOOKUP(C831,products!A:A,products!B:B)</f>
        <v>SKU-0098</v>
      </c>
      <c r="J831" t="str">
        <f>_xlfn.XLOOKUP(B831,customer_orders!A:A,customer_orders!G:G)</f>
        <v>2026-w08</v>
      </c>
      <c r="K831">
        <f>IFERROR(_xlfn.XLOOKUP(B831,shipments!B:B,shipments!H:H),0)</f>
        <v>65.650000000000006</v>
      </c>
      <c r="L831">
        <f t="shared" si="37"/>
        <v>0.23</v>
      </c>
      <c r="M831" t="str">
        <f>_xlfn.XLOOKUP(B831,customer_orders!A:A,customer_orders!D:D)</f>
        <v>Ebay</v>
      </c>
      <c r="N831" t="str">
        <f>_xlfn.XLOOKUP(C831,inventory!B:B,inventory!C:C)</f>
        <v>South Jordan</v>
      </c>
      <c r="O831">
        <f>IF(_xlfn.XLOOKUP(C831,products!A:A,products!E:E)="NULL",0,_xlfn.XLOOKUP(C831,products!A:A,products!E:E))</f>
        <v>136.99</v>
      </c>
      <c r="P831">
        <f t="shared" si="38"/>
        <v>148.64999999999998</v>
      </c>
      <c r="Q831" s="2" t="str">
        <f>_xlfn.XLOOKUP(I831,products!B:B,products!D:D)</f>
        <v>Home</v>
      </c>
    </row>
    <row r="832" spans="1:17">
      <c r="A832">
        <v>831</v>
      </c>
      <c r="B832">
        <v>1335</v>
      </c>
      <c r="C832">
        <v>58</v>
      </c>
      <c r="D832">
        <v>5</v>
      </c>
      <c r="E832">
        <v>57.21</v>
      </c>
      <c r="F832">
        <v>1.1399999999999999</v>
      </c>
      <c r="G832">
        <f t="shared" si="36"/>
        <v>284.91000000000003</v>
      </c>
      <c r="H832" t="str">
        <f>_xlfn.XLOOKUP(B832,customer_orders!A:A,customer_orders!F:F)</f>
        <v>2026-01</v>
      </c>
      <c r="I832" t="str">
        <f>_xlfn.XLOOKUP(C832,products!A:A,products!B:B)</f>
        <v>SKU-0058</v>
      </c>
      <c r="J832" t="str">
        <f>_xlfn.XLOOKUP(B832,customer_orders!A:A,customer_orders!G:G)</f>
        <v>2026-w04</v>
      </c>
      <c r="K832">
        <f>IFERROR(_xlfn.XLOOKUP(B832,shipments!B:B,shipments!H:H),0)</f>
        <v>15.08</v>
      </c>
      <c r="L832">
        <f t="shared" si="37"/>
        <v>0.05</v>
      </c>
      <c r="M832" t="str">
        <f>_xlfn.XLOOKUP(B832,customer_orders!A:A,customer_orders!D:D)</f>
        <v>Ebay</v>
      </c>
      <c r="N832" t="str">
        <f>_xlfn.XLOOKUP(C832,inventory!B:B,inventory!C:C)</f>
        <v>South Jordan</v>
      </c>
      <c r="O832">
        <f>IF(_xlfn.XLOOKUP(C832,products!A:A,products!E:E)="NULL",0,_xlfn.XLOOKUP(C832,products!A:A,products!E:E))</f>
        <v>106.94</v>
      </c>
      <c r="P832">
        <f t="shared" si="38"/>
        <v>177.97000000000003</v>
      </c>
      <c r="Q832" s="2" t="str">
        <f>_xlfn.XLOOKUP(I832,products!B:B,products!D:D)</f>
        <v>Electronics</v>
      </c>
    </row>
    <row r="833" spans="1:17">
      <c r="A833">
        <v>832</v>
      </c>
      <c r="B833">
        <v>1335</v>
      </c>
      <c r="C833">
        <v>57</v>
      </c>
      <c r="D833">
        <v>7</v>
      </c>
      <c r="E833">
        <v>266.69</v>
      </c>
      <c r="F833">
        <v>0</v>
      </c>
      <c r="G833">
        <f t="shared" si="36"/>
        <v>1866.83</v>
      </c>
      <c r="H833" t="str">
        <f>_xlfn.XLOOKUP(B833,customer_orders!A:A,customer_orders!F:F)</f>
        <v>2026-01</v>
      </c>
      <c r="I833" t="str">
        <f>_xlfn.XLOOKUP(C833,products!A:A,products!B:B)</f>
        <v>SKU-0057</v>
      </c>
      <c r="J833" t="str">
        <f>_xlfn.XLOOKUP(B833,customer_orders!A:A,customer_orders!G:G)</f>
        <v>2026-w04</v>
      </c>
      <c r="K833">
        <f>IFERROR(_xlfn.XLOOKUP(B833,shipments!B:B,shipments!H:H),0)</f>
        <v>15.08</v>
      </c>
      <c r="L833">
        <f t="shared" si="37"/>
        <v>0.01</v>
      </c>
      <c r="M833" t="str">
        <f>_xlfn.XLOOKUP(B833,customer_orders!A:A,customer_orders!D:D)</f>
        <v>Ebay</v>
      </c>
      <c r="N833" t="str">
        <f>_xlfn.XLOOKUP(C833,inventory!B:B,inventory!C:C)</f>
        <v>South Jordan</v>
      </c>
      <c r="O833">
        <f>IF(_xlfn.XLOOKUP(C833,products!A:A,products!E:E)="NULL",0,_xlfn.XLOOKUP(C833,products!A:A,products!E:E))</f>
        <v>18.170000000000002</v>
      </c>
      <c r="P833">
        <f t="shared" si="38"/>
        <v>1848.6599999999999</v>
      </c>
      <c r="Q833" s="2" t="str">
        <f>_xlfn.XLOOKUP(I833,products!B:B,products!D:D)</f>
        <v>Electronics</v>
      </c>
    </row>
    <row r="834" spans="1:17">
      <c r="A834">
        <v>833</v>
      </c>
      <c r="B834">
        <v>1336</v>
      </c>
      <c r="C834">
        <v>82</v>
      </c>
      <c r="D834">
        <v>7</v>
      </c>
      <c r="E834">
        <v>243.4</v>
      </c>
      <c r="F834">
        <v>3.53</v>
      </c>
      <c r="G834">
        <f t="shared" si="36"/>
        <v>1700.27</v>
      </c>
      <c r="H834" t="str">
        <f>_xlfn.XLOOKUP(B834,customer_orders!A:A,customer_orders!F:F)</f>
        <v>2026-03</v>
      </c>
      <c r="I834" t="str">
        <f>_xlfn.XLOOKUP(C834,products!A:A,products!B:B)</f>
        <v>SKU-0082</v>
      </c>
      <c r="J834" t="str">
        <f>_xlfn.XLOOKUP(B834,customer_orders!A:A,customer_orders!G:G)</f>
        <v>2026-w11</v>
      </c>
      <c r="K834">
        <f>IFERROR(_xlfn.XLOOKUP(B834,shipments!B:B,shipments!H:H),0)</f>
        <v>47.94</v>
      </c>
      <c r="L834">
        <f t="shared" si="37"/>
        <v>0.03</v>
      </c>
      <c r="M834" t="str">
        <f>_xlfn.XLOOKUP(B834,customer_orders!A:A,customer_orders!D:D)</f>
        <v>Amazon</v>
      </c>
      <c r="N834" t="str">
        <f>_xlfn.XLOOKUP(C834,inventory!B:B,inventory!C:C)</f>
        <v>Unknown</v>
      </c>
      <c r="O834">
        <f>IF(_xlfn.XLOOKUP(C834,products!A:A,products!E:E)="NULL",0,_xlfn.XLOOKUP(C834,products!A:A,products!E:E))</f>
        <v>84.88</v>
      </c>
      <c r="P834">
        <f t="shared" si="38"/>
        <v>1615.3899999999999</v>
      </c>
      <c r="Q834" s="2" t="str">
        <f>_xlfn.XLOOKUP(I834,products!B:B,products!D:D)</f>
        <v>Beauty</v>
      </c>
    </row>
    <row r="835" spans="1:17">
      <c r="A835">
        <v>834</v>
      </c>
      <c r="B835">
        <v>1336</v>
      </c>
      <c r="C835">
        <v>123</v>
      </c>
      <c r="D835">
        <v>3</v>
      </c>
      <c r="E835">
        <v>210.64</v>
      </c>
      <c r="F835">
        <v>0</v>
      </c>
      <c r="G835">
        <f t="shared" ref="G835:G898" si="39">E835*D835-F835</f>
        <v>631.91999999999996</v>
      </c>
      <c r="H835" t="str">
        <f>_xlfn.XLOOKUP(B835,customer_orders!A:A,customer_orders!F:F)</f>
        <v>2026-03</v>
      </c>
      <c r="I835" t="str">
        <f>_xlfn.XLOOKUP(C835,products!A:A,products!B:B)</f>
        <v>SKU-0123</v>
      </c>
      <c r="J835" t="str">
        <f>_xlfn.XLOOKUP(B835,customer_orders!A:A,customer_orders!G:G)</f>
        <v>2026-w11</v>
      </c>
      <c r="K835">
        <f>IFERROR(_xlfn.XLOOKUP(B835,shipments!B:B,shipments!H:H),0)</f>
        <v>47.94</v>
      </c>
      <c r="L835">
        <f t="shared" ref="L835:L898" si="40">ROUND(K835/G835,2)</f>
        <v>0.08</v>
      </c>
      <c r="M835" t="str">
        <f>_xlfn.XLOOKUP(B835,customer_orders!A:A,customer_orders!D:D)</f>
        <v>Amazon</v>
      </c>
      <c r="N835" t="str">
        <f>_xlfn.XLOOKUP(C835,inventory!B:B,inventory!C:C)</f>
        <v>Lehi</v>
      </c>
      <c r="O835">
        <f>IF(_xlfn.XLOOKUP(C835,products!A:A,products!E:E)="NULL",0,_xlfn.XLOOKUP(C835,products!A:A,products!E:E))</f>
        <v>105.98</v>
      </c>
      <c r="P835">
        <f t="shared" ref="P835:P898" si="41">G835-O835</f>
        <v>525.93999999999994</v>
      </c>
      <c r="Q835" s="2" t="str">
        <f>_xlfn.XLOOKUP(I835,products!B:B,products!D:D)</f>
        <v>Pet</v>
      </c>
    </row>
    <row r="836" spans="1:17">
      <c r="A836">
        <v>835</v>
      </c>
      <c r="B836">
        <v>1337</v>
      </c>
      <c r="C836">
        <v>91</v>
      </c>
      <c r="D836">
        <v>8</v>
      </c>
      <c r="E836">
        <v>170.65</v>
      </c>
      <c r="F836">
        <v>0</v>
      </c>
      <c r="G836">
        <f t="shared" si="39"/>
        <v>1365.2</v>
      </c>
      <c r="H836" t="str">
        <f>_xlfn.XLOOKUP(B836,customer_orders!A:A,customer_orders!F:F)</f>
        <v>2026-04</v>
      </c>
      <c r="I836" t="str">
        <f>_xlfn.XLOOKUP(C836,products!A:A,products!B:B)</f>
        <v>SKU-0091</v>
      </c>
      <c r="J836" t="str">
        <f>_xlfn.XLOOKUP(B836,customer_orders!A:A,customer_orders!G:G)</f>
        <v>2026-w16</v>
      </c>
      <c r="K836">
        <f>IFERROR(_xlfn.XLOOKUP(B836,shipments!B:B,shipments!H:H),0)</f>
        <v>13.81</v>
      </c>
      <c r="L836">
        <f t="shared" si="40"/>
        <v>0.01</v>
      </c>
      <c r="M836" t="str">
        <f>_xlfn.XLOOKUP(B836,customer_orders!A:A,customer_orders!D:D)</f>
        <v>Walmart</v>
      </c>
      <c r="N836" t="str">
        <f>_xlfn.XLOOKUP(C836,inventory!B:B,inventory!C:C)</f>
        <v>Salt Lake City</v>
      </c>
      <c r="O836">
        <f>IF(_xlfn.XLOOKUP(C836,products!A:A,products!E:E)="NULL",0,_xlfn.XLOOKUP(C836,products!A:A,products!E:E))</f>
        <v>135.82</v>
      </c>
      <c r="P836">
        <f t="shared" si="41"/>
        <v>1229.3800000000001</v>
      </c>
      <c r="Q836" s="2" t="str">
        <f>_xlfn.XLOOKUP(I836,products!B:B,products!D:D)</f>
        <v>Office</v>
      </c>
    </row>
    <row r="837" spans="1:17">
      <c r="A837">
        <v>836</v>
      </c>
      <c r="B837">
        <v>1337</v>
      </c>
      <c r="C837">
        <v>110</v>
      </c>
      <c r="D837">
        <v>4</v>
      </c>
      <c r="E837">
        <v>112</v>
      </c>
      <c r="F837">
        <v>0</v>
      </c>
      <c r="G837">
        <f t="shared" si="39"/>
        <v>448</v>
      </c>
      <c r="H837" t="str">
        <f>_xlfn.XLOOKUP(B837,customer_orders!A:A,customer_orders!F:F)</f>
        <v>2026-04</v>
      </c>
      <c r="I837" t="str">
        <f>_xlfn.XLOOKUP(C837,products!A:A,products!B:B)</f>
        <v>SKU-0110</v>
      </c>
      <c r="J837" t="str">
        <f>_xlfn.XLOOKUP(B837,customer_orders!A:A,customer_orders!G:G)</f>
        <v>2026-w16</v>
      </c>
      <c r="K837">
        <f>IFERROR(_xlfn.XLOOKUP(B837,shipments!B:B,shipments!H:H),0)</f>
        <v>13.81</v>
      </c>
      <c r="L837">
        <f t="shared" si="40"/>
        <v>0.03</v>
      </c>
      <c r="M837" t="str">
        <f>_xlfn.XLOOKUP(B837,customer_orders!A:A,customer_orders!D:D)</f>
        <v>Walmart</v>
      </c>
      <c r="N837" t="str">
        <f>_xlfn.XLOOKUP(C837,inventory!B:B,inventory!C:C)</f>
        <v>Draper</v>
      </c>
      <c r="O837">
        <f>IF(_xlfn.XLOOKUP(C837,products!A:A,products!E:E)="NULL",0,_xlfn.XLOOKUP(C837,products!A:A,products!E:E))</f>
        <v>144.62</v>
      </c>
      <c r="P837">
        <f t="shared" si="41"/>
        <v>303.38</v>
      </c>
      <c r="Q837" s="2" t="str">
        <f>_xlfn.XLOOKUP(I837,products!B:B,products!D:D)</f>
        <v>Beauty</v>
      </c>
    </row>
    <row r="838" spans="1:17">
      <c r="A838">
        <v>837</v>
      </c>
      <c r="B838">
        <v>1337</v>
      </c>
      <c r="C838">
        <v>79</v>
      </c>
      <c r="D838">
        <v>7</v>
      </c>
      <c r="E838">
        <v>234.02</v>
      </c>
      <c r="F838">
        <v>0</v>
      </c>
      <c r="G838">
        <f t="shared" si="39"/>
        <v>1638.14</v>
      </c>
      <c r="H838" t="str">
        <f>_xlfn.XLOOKUP(B838,customer_orders!A:A,customer_orders!F:F)</f>
        <v>2026-04</v>
      </c>
      <c r="I838" t="str">
        <f>_xlfn.XLOOKUP(C838,products!A:A,products!B:B)</f>
        <v>SKU-0079</v>
      </c>
      <c r="J838" t="str">
        <f>_xlfn.XLOOKUP(B838,customer_orders!A:A,customer_orders!G:G)</f>
        <v>2026-w16</v>
      </c>
      <c r="K838">
        <f>IFERROR(_xlfn.XLOOKUP(B838,shipments!B:B,shipments!H:H),0)</f>
        <v>13.81</v>
      </c>
      <c r="L838">
        <f t="shared" si="40"/>
        <v>0.01</v>
      </c>
      <c r="M838" t="str">
        <f>_xlfn.XLOOKUP(B838,customer_orders!A:A,customer_orders!D:D)</f>
        <v>Walmart</v>
      </c>
      <c r="N838" t="str">
        <f>_xlfn.XLOOKUP(C838,inventory!B:B,inventory!C:C)</f>
        <v>Unknown</v>
      </c>
      <c r="O838">
        <f>IF(_xlfn.XLOOKUP(C838,products!A:A,products!E:E)="NULL",0,_xlfn.XLOOKUP(C838,products!A:A,products!E:E))</f>
        <v>111.97</v>
      </c>
      <c r="P838">
        <f t="shared" si="41"/>
        <v>1526.17</v>
      </c>
      <c r="Q838" s="2" t="str">
        <f>_xlfn.XLOOKUP(I838,products!B:B,products!D:D)</f>
        <v>Beauty</v>
      </c>
    </row>
    <row r="839" spans="1:17">
      <c r="A839">
        <v>838</v>
      </c>
      <c r="B839">
        <v>1337</v>
      </c>
      <c r="C839">
        <v>21</v>
      </c>
      <c r="D839">
        <v>2</v>
      </c>
      <c r="E839">
        <v>60.07</v>
      </c>
      <c r="F839">
        <v>0</v>
      </c>
      <c r="G839">
        <f t="shared" si="39"/>
        <v>120.14</v>
      </c>
      <c r="H839" t="str">
        <f>_xlfn.XLOOKUP(B839,customer_orders!A:A,customer_orders!F:F)</f>
        <v>2026-04</v>
      </c>
      <c r="I839" t="str">
        <f>_xlfn.XLOOKUP(C839,products!A:A,products!B:B)</f>
        <v>SKU-0021</v>
      </c>
      <c r="J839" t="str">
        <f>_xlfn.XLOOKUP(B839,customer_orders!A:A,customer_orders!G:G)</f>
        <v>2026-w16</v>
      </c>
      <c r="K839">
        <f>IFERROR(_xlfn.XLOOKUP(B839,shipments!B:B,shipments!H:H),0)</f>
        <v>13.81</v>
      </c>
      <c r="L839">
        <f t="shared" si="40"/>
        <v>0.11</v>
      </c>
      <c r="M839" t="str">
        <f>_xlfn.XLOOKUP(B839,customer_orders!A:A,customer_orders!D:D)</f>
        <v>Walmart</v>
      </c>
      <c r="N839" t="str">
        <f>_xlfn.XLOOKUP(C839,inventory!B:B,inventory!C:C)</f>
        <v>Salt Lake City</v>
      </c>
      <c r="O839">
        <f>IF(_xlfn.XLOOKUP(C839,products!A:A,products!E:E)="NULL",0,_xlfn.XLOOKUP(C839,products!A:A,products!E:E))</f>
        <v>56.36</v>
      </c>
      <c r="P839">
        <f t="shared" si="41"/>
        <v>63.78</v>
      </c>
      <c r="Q839" s="2" t="str">
        <f>_xlfn.XLOOKUP(I839,products!B:B,products!D:D)</f>
        <v>Kitchen</v>
      </c>
    </row>
    <row r="840" spans="1:17">
      <c r="A840">
        <v>839</v>
      </c>
      <c r="B840">
        <v>1338</v>
      </c>
      <c r="C840">
        <v>132</v>
      </c>
      <c r="D840">
        <v>2</v>
      </c>
      <c r="E840">
        <v>240.9</v>
      </c>
      <c r="F840">
        <v>0</v>
      </c>
      <c r="G840">
        <f t="shared" si="39"/>
        <v>481.8</v>
      </c>
      <c r="H840" t="str">
        <f>_xlfn.XLOOKUP(B840,customer_orders!A:A,customer_orders!F:F)</f>
        <v>2026-05</v>
      </c>
      <c r="I840" t="str">
        <f>_xlfn.XLOOKUP(C840,products!A:A,products!B:B)</f>
        <v>SKU-0132</v>
      </c>
      <c r="J840" t="str">
        <f>_xlfn.XLOOKUP(B840,customer_orders!A:A,customer_orders!G:G)</f>
        <v>2026-w20</v>
      </c>
      <c r="K840">
        <f>IFERROR(_xlfn.XLOOKUP(B840,shipments!B:B,shipments!H:H),0)</f>
        <v>114.49</v>
      </c>
      <c r="L840">
        <f t="shared" si="40"/>
        <v>0.24</v>
      </c>
      <c r="M840" t="str">
        <f>_xlfn.XLOOKUP(B840,customer_orders!A:A,customer_orders!D:D)</f>
        <v>Shopify</v>
      </c>
      <c r="N840" t="str">
        <f>_xlfn.XLOOKUP(C840,inventory!B:B,inventory!C:C)</f>
        <v>Salt Lake City</v>
      </c>
      <c r="O840">
        <f>IF(_xlfn.XLOOKUP(C840,products!A:A,products!E:E)="NULL",0,_xlfn.XLOOKUP(C840,products!A:A,products!E:E))</f>
        <v>15.44</v>
      </c>
      <c r="P840">
        <f t="shared" si="41"/>
        <v>466.36</v>
      </c>
      <c r="Q840" s="2" t="str">
        <f>_xlfn.XLOOKUP(I840,products!B:B,products!D:D)</f>
        <v>Toys</v>
      </c>
    </row>
    <row r="841" spans="1:17">
      <c r="A841">
        <v>840</v>
      </c>
      <c r="B841">
        <v>1338</v>
      </c>
      <c r="C841">
        <v>2</v>
      </c>
      <c r="D841">
        <v>7</v>
      </c>
      <c r="E841">
        <v>135.25</v>
      </c>
      <c r="F841">
        <v>0</v>
      </c>
      <c r="G841">
        <f t="shared" si="39"/>
        <v>946.75</v>
      </c>
      <c r="H841" t="str">
        <f>_xlfn.XLOOKUP(B841,customer_orders!A:A,customer_orders!F:F)</f>
        <v>2026-05</v>
      </c>
      <c r="I841" t="str">
        <f>_xlfn.XLOOKUP(C841,products!A:A,products!B:B)</f>
        <v>SKU-0002</v>
      </c>
      <c r="J841" t="str">
        <f>_xlfn.XLOOKUP(B841,customer_orders!A:A,customer_orders!G:G)</f>
        <v>2026-w20</v>
      </c>
      <c r="K841">
        <f>IFERROR(_xlfn.XLOOKUP(B841,shipments!B:B,shipments!H:H),0)</f>
        <v>114.49</v>
      </c>
      <c r="L841">
        <f t="shared" si="40"/>
        <v>0.12</v>
      </c>
      <c r="M841" t="str">
        <f>_xlfn.XLOOKUP(B841,customer_orders!A:A,customer_orders!D:D)</f>
        <v>Shopify</v>
      </c>
      <c r="N841" t="str">
        <f>_xlfn.XLOOKUP(C841,inventory!B:B,inventory!C:C)</f>
        <v>South Jordan</v>
      </c>
      <c r="O841">
        <f>IF(_xlfn.XLOOKUP(C841,products!A:A,products!E:E)="NULL",0,_xlfn.XLOOKUP(C841,products!A:A,products!E:E))</f>
        <v>20.21</v>
      </c>
      <c r="P841">
        <f t="shared" si="41"/>
        <v>926.54</v>
      </c>
      <c r="Q841" s="2" t="str">
        <f>_xlfn.XLOOKUP(I841,products!B:B,products!D:D)</f>
        <v>Home</v>
      </c>
    </row>
    <row r="842" spans="1:17">
      <c r="A842">
        <v>841</v>
      </c>
      <c r="B842">
        <v>1338</v>
      </c>
      <c r="C842">
        <v>63</v>
      </c>
      <c r="D842">
        <v>1</v>
      </c>
      <c r="E842">
        <v>214.86</v>
      </c>
      <c r="F842">
        <v>0</v>
      </c>
      <c r="G842">
        <f t="shared" si="39"/>
        <v>214.86</v>
      </c>
      <c r="H842" t="str">
        <f>_xlfn.XLOOKUP(B842,customer_orders!A:A,customer_orders!F:F)</f>
        <v>2026-05</v>
      </c>
      <c r="I842" t="str">
        <f>_xlfn.XLOOKUP(C842,products!A:A,products!B:B)</f>
        <v>SKU-0063</v>
      </c>
      <c r="J842" t="str">
        <f>_xlfn.XLOOKUP(B842,customer_orders!A:A,customer_orders!G:G)</f>
        <v>2026-w20</v>
      </c>
      <c r="K842">
        <f>IFERROR(_xlfn.XLOOKUP(B842,shipments!B:B,shipments!H:H),0)</f>
        <v>114.49</v>
      </c>
      <c r="L842">
        <f t="shared" si="40"/>
        <v>0.53</v>
      </c>
      <c r="M842" t="str">
        <f>_xlfn.XLOOKUP(B842,customer_orders!A:A,customer_orders!D:D)</f>
        <v>Shopify</v>
      </c>
      <c r="N842" t="str">
        <f>_xlfn.XLOOKUP(C842,inventory!B:B,inventory!C:C)</f>
        <v>Salt Lake City</v>
      </c>
      <c r="O842">
        <f>IF(_xlfn.XLOOKUP(C842,products!A:A,products!E:E)="NULL",0,_xlfn.XLOOKUP(C842,products!A:A,products!E:E))</f>
        <v>32.86</v>
      </c>
      <c r="P842">
        <f t="shared" si="41"/>
        <v>182</v>
      </c>
      <c r="Q842" s="2" t="str">
        <f>_xlfn.XLOOKUP(I842,products!B:B,products!D:D)</f>
        <v>Beauty</v>
      </c>
    </row>
    <row r="843" spans="1:17">
      <c r="A843">
        <v>842</v>
      </c>
      <c r="B843">
        <v>1338</v>
      </c>
      <c r="C843">
        <v>135</v>
      </c>
      <c r="D843">
        <v>4</v>
      </c>
      <c r="E843">
        <v>41.03</v>
      </c>
      <c r="F843">
        <v>0</v>
      </c>
      <c r="G843">
        <f t="shared" si="39"/>
        <v>164.12</v>
      </c>
      <c r="H843" t="str">
        <f>_xlfn.XLOOKUP(B843,customer_orders!A:A,customer_orders!F:F)</f>
        <v>2026-05</v>
      </c>
      <c r="I843" t="str">
        <f>_xlfn.XLOOKUP(C843,products!A:A,products!B:B)</f>
        <v>SKU-0135</v>
      </c>
      <c r="J843" t="str">
        <f>_xlfn.XLOOKUP(B843,customer_orders!A:A,customer_orders!G:G)</f>
        <v>2026-w20</v>
      </c>
      <c r="K843">
        <f>IFERROR(_xlfn.XLOOKUP(B843,shipments!B:B,shipments!H:H),0)</f>
        <v>114.49</v>
      </c>
      <c r="L843">
        <f t="shared" si="40"/>
        <v>0.7</v>
      </c>
      <c r="M843" t="str">
        <f>_xlfn.XLOOKUP(B843,customer_orders!A:A,customer_orders!D:D)</f>
        <v>Shopify</v>
      </c>
      <c r="N843" t="str">
        <f>_xlfn.XLOOKUP(C843,inventory!B:B,inventory!C:C)</f>
        <v>Lehi</v>
      </c>
      <c r="O843">
        <f>IF(_xlfn.XLOOKUP(C843,products!A:A,products!E:E)="NULL",0,_xlfn.XLOOKUP(C843,products!A:A,products!E:E))</f>
        <v>48.81</v>
      </c>
      <c r="P843">
        <f t="shared" si="41"/>
        <v>115.31</v>
      </c>
      <c r="Q843" s="2" t="str">
        <f>_xlfn.XLOOKUP(I843,products!B:B,products!D:D)</f>
        <v>Kitchen</v>
      </c>
    </row>
    <row r="844" spans="1:17">
      <c r="A844">
        <v>843</v>
      </c>
      <c r="B844">
        <v>1339</v>
      </c>
      <c r="C844">
        <v>75</v>
      </c>
      <c r="D844">
        <v>5</v>
      </c>
      <c r="E844">
        <v>180.3</v>
      </c>
      <c r="F844">
        <v>0</v>
      </c>
      <c r="G844">
        <f t="shared" si="39"/>
        <v>901.5</v>
      </c>
      <c r="H844" t="str">
        <f>_xlfn.XLOOKUP(B844,customer_orders!A:A,customer_orders!F:F)</f>
        <v>2026-01</v>
      </c>
      <c r="I844" t="str">
        <f>_xlfn.XLOOKUP(C844,products!A:A,products!B:B)</f>
        <v>SKU-0075</v>
      </c>
      <c r="J844" t="str">
        <f>_xlfn.XLOOKUP(B844,customer_orders!A:A,customer_orders!G:G)</f>
        <v>2026-w05</v>
      </c>
      <c r="K844">
        <f>IFERROR(_xlfn.XLOOKUP(B844,shipments!B:B,shipments!H:H),0)</f>
        <v>0</v>
      </c>
      <c r="L844">
        <f t="shared" si="40"/>
        <v>0</v>
      </c>
      <c r="M844" t="str">
        <f>_xlfn.XLOOKUP(B844,customer_orders!A:A,customer_orders!D:D)</f>
        <v>Shopify</v>
      </c>
      <c r="N844" t="str">
        <f>_xlfn.XLOOKUP(C844,inventory!B:B,inventory!C:C)</f>
        <v>Salt Lake City</v>
      </c>
      <c r="O844">
        <f>IF(_xlfn.XLOOKUP(C844,products!A:A,products!E:E)="NULL",0,_xlfn.XLOOKUP(C844,products!A:A,products!E:E))</f>
        <v>80.23</v>
      </c>
      <c r="P844">
        <f t="shared" si="41"/>
        <v>821.27</v>
      </c>
      <c r="Q844" s="2" t="str">
        <f>_xlfn.XLOOKUP(I844,products!B:B,products!D:D)</f>
        <v>Sports</v>
      </c>
    </row>
    <row r="845" spans="1:17">
      <c r="A845">
        <v>844</v>
      </c>
      <c r="B845">
        <v>1340</v>
      </c>
      <c r="C845">
        <v>119</v>
      </c>
      <c r="D845">
        <v>8</v>
      </c>
      <c r="E845">
        <v>27.97</v>
      </c>
      <c r="F845">
        <v>0</v>
      </c>
      <c r="G845">
        <f t="shared" si="39"/>
        <v>223.76</v>
      </c>
      <c r="H845" t="str">
        <f>_xlfn.XLOOKUP(B845,customer_orders!A:A,customer_orders!F:F)</f>
        <v>2026-04</v>
      </c>
      <c r="I845" t="str">
        <f>_xlfn.XLOOKUP(C845,products!A:A,products!B:B)</f>
        <v>SKU-0119</v>
      </c>
      <c r="J845" t="str">
        <f>_xlfn.XLOOKUP(B845,customer_orders!A:A,customer_orders!G:G)</f>
        <v>2026-w15</v>
      </c>
      <c r="K845">
        <f>IFERROR(_xlfn.XLOOKUP(B845,shipments!B:B,shipments!H:H),0)</f>
        <v>38.61</v>
      </c>
      <c r="L845">
        <f t="shared" si="40"/>
        <v>0.17</v>
      </c>
      <c r="M845" t="str">
        <f>_xlfn.XLOOKUP(B845,customer_orders!A:A,customer_orders!D:D)</f>
        <v>Ebay</v>
      </c>
      <c r="N845" t="str">
        <f>_xlfn.XLOOKUP(C845,inventory!B:B,inventory!C:C)</f>
        <v>Lehi</v>
      </c>
      <c r="O845">
        <f>IF(_xlfn.XLOOKUP(C845,products!A:A,products!E:E)="NULL",0,_xlfn.XLOOKUP(C845,products!A:A,products!E:E))</f>
        <v>27.15</v>
      </c>
      <c r="P845">
        <f t="shared" si="41"/>
        <v>196.60999999999999</v>
      </c>
      <c r="Q845" s="2" t="str">
        <f>_xlfn.XLOOKUP(I845,products!B:B,products!D:D)</f>
        <v>Electronics</v>
      </c>
    </row>
    <row r="846" spans="1:17">
      <c r="A846">
        <v>845</v>
      </c>
      <c r="B846">
        <v>1341</v>
      </c>
      <c r="C846">
        <v>51</v>
      </c>
      <c r="D846">
        <v>2</v>
      </c>
      <c r="E846">
        <v>204.07</v>
      </c>
      <c r="F846">
        <v>0</v>
      </c>
      <c r="G846">
        <f t="shared" si="39"/>
        <v>408.14</v>
      </c>
      <c r="H846" t="str">
        <f>_xlfn.XLOOKUP(B846,customer_orders!A:A,customer_orders!F:F)</f>
        <v>2026-04</v>
      </c>
      <c r="I846" t="str">
        <f>_xlfn.XLOOKUP(C846,products!A:A,products!B:B)</f>
        <v>SKU-0051</v>
      </c>
      <c r="J846" t="str">
        <f>_xlfn.XLOOKUP(B846,customer_orders!A:A,customer_orders!G:G)</f>
        <v>2026-w14</v>
      </c>
      <c r="K846">
        <f>IFERROR(_xlfn.XLOOKUP(B846,shipments!B:B,shipments!H:H),0)</f>
        <v>118.77</v>
      </c>
      <c r="L846">
        <f t="shared" si="40"/>
        <v>0.28999999999999998</v>
      </c>
      <c r="M846" t="str">
        <f>_xlfn.XLOOKUP(B846,customer_orders!A:A,customer_orders!D:D)</f>
        <v>Amazon</v>
      </c>
      <c r="N846" t="str">
        <f>_xlfn.XLOOKUP(C846,inventory!B:B,inventory!C:C)</f>
        <v>South Jordan</v>
      </c>
      <c r="O846">
        <f>IF(_xlfn.XLOOKUP(C846,products!A:A,products!E:E)="NULL",0,_xlfn.XLOOKUP(C846,products!A:A,products!E:E))</f>
        <v>57.39</v>
      </c>
      <c r="P846">
        <f t="shared" si="41"/>
        <v>350.75</v>
      </c>
      <c r="Q846" s="2" t="str">
        <f>_xlfn.XLOOKUP(I846,products!B:B,products!D:D)</f>
        <v>Electronics</v>
      </c>
    </row>
    <row r="847" spans="1:17">
      <c r="A847">
        <v>846</v>
      </c>
      <c r="B847">
        <v>1341</v>
      </c>
      <c r="C847">
        <v>106</v>
      </c>
      <c r="D847">
        <v>2</v>
      </c>
      <c r="E847">
        <v>65.2</v>
      </c>
      <c r="F847">
        <v>0</v>
      </c>
      <c r="G847">
        <f t="shared" si="39"/>
        <v>130.4</v>
      </c>
      <c r="H847" t="str">
        <f>_xlfn.XLOOKUP(B847,customer_orders!A:A,customer_orders!F:F)</f>
        <v>2026-04</v>
      </c>
      <c r="I847" t="str">
        <f>_xlfn.XLOOKUP(C847,products!A:A,products!B:B)</f>
        <v>SKU-0106</v>
      </c>
      <c r="J847" t="str">
        <f>_xlfn.XLOOKUP(B847,customer_orders!A:A,customer_orders!G:G)</f>
        <v>2026-w14</v>
      </c>
      <c r="K847">
        <f>IFERROR(_xlfn.XLOOKUP(B847,shipments!B:B,shipments!H:H),0)</f>
        <v>118.77</v>
      </c>
      <c r="L847">
        <f t="shared" si="40"/>
        <v>0.91</v>
      </c>
      <c r="M847" t="str">
        <f>_xlfn.XLOOKUP(B847,customer_orders!A:A,customer_orders!D:D)</f>
        <v>Amazon</v>
      </c>
      <c r="N847" t="str">
        <f>_xlfn.XLOOKUP(C847,inventory!B:B,inventory!C:C)</f>
        <v>Lehi</v>
      </c>
      <c r="O847">
        <f>IF(_xlfn.XLOOKUP(C847,products!A:A,products!E:E)="NULL",0,_xlfn.XLOOKUP(C847,products!A:A,products!E:E))</f>
        <v>0</v>
      </c>
      <c r="P847">
        <f t="shared" si="41"/>
        <v>130.4</v>
      </c>
      <c r="Q847" s="2" t="str">
        <f>_xlfn.XLOOKUP(I847,products!B:B,products!D:D)</f>
        <v>Toys</v>
      </c>
    </row>
    <row r="848" spans="1:17">
      <c r="A848">
        <v>847</v>
      </c>
      <c r="B848">
        <v>1341</v>
      </c>
      <c r="C848">
        <v>40</v>
      </c>
      <c r="D848">
        <v>5</v>
      </c>
      <c r="E848">
        <v>90.58</v>
      </c>
      <c r="F848">
        <v>4.17</v>
      </c>
      <c r="G848">
        <f t="shared" si="39"/>
        <v>448.72999999999996</v>
      </c>
      <c r="H848" t="str">
        <f>_xlfn.XLOOKUP(B848,customer_orders!A:A,customer_orders!F:F)</f>
        <v>2026-04</v>
      </c>
      <c r="I848" t="str">
        <f>_xlfn.XLOOKUP(C848,products!A:A,products!B:B)</f>
        <v>SKU-0040</v>
      </c>
      <c r="J848" t="str">
        <f>_xlfn.XLOOKUP(B848,customer_orders!A:A,customer_orders!G:G)</f>
        <v>2026-w14</v>
      </c>
      <c r="K848">
        <f>IFERROR(_xlfn.XLOOKUP(B848,shipments!B:B,shipments!H:H),0)</f>
        <v>118.77</v>
      </c>
      <c r="L848">
        <f t="shared" si="40"/>
        <v>0.26</v>
      </c>
      <c r="M848" t="str">
        <f>_xlfn.XLOOKUP(B848,customer_orders!A:A,customer_orders!D:D)</f>
        <v>Amazon</v>
      </c>
      <c r="N848" t="str">
        <f>_xlfn.XLOOKUP(C848,inventory!B:B,inventory!C:C)</f>
        <v>Salt Lake City</v>
      </c>
      <c r="O848">
        <f>IF(_xlfn.XLOOKUP(C848,products!A:A,products!E:E)="NULL",0,_xlfn.XLOOKUP(C848,products!A:A,products!E:E))</f>
        <v>177.43</v>
      </c>
      <c r="P848">
        <f t="shared" si="41"/>
        <v>271.29999999999995</v>
      </c>
      <c r="Q848" s="2" t="str">
        <f>_xlfn.XLOOKUP(I848,products!B:B,products!D:D)</f>
        <v>Office</v>
      </c>
    </row>
    <row r="849" spans="1:17">
      <c r="A849">
        <v>848</v>
      </c>
      <c r="B849">
        <v>1341</v>
      </c>
      <c r="C849">
        <v>96</v>
      </c>
      <c r="D849">
        <v>5</v>
      </c>
      <c r="E849">
        <v>252.1</v>
      </c>
      <c r="F849">
        <v>0</v>
      </c>
      <c r="G849">
        <f t="shared" si="39"/>
        <v>1260.5</v>
      </c>
      <c r="H849" t="str">
        <f>_xlfn.XLOOKUP(B849,customer_orders!A:A,customer_orders!F:F)</f>
        <v>2026-04</v>
      </c>
      <c r="I849" t="str">
        <f>_xlfn.XLOOKUP(C849,products!A:A,products!B:B)</f>
        <v>SKU-0096</v>
      </c>
      <c r="J849" t="str">
        <f>_xlfn.XLOOKUP(B849,customer_orders!A:A,customer_orders!G:G)</f>
        <v>2026-w14</v>
      </c>
      <c r="K849">
        <f>IFERROR(_xlfn.XLOOKUP(B849,shipments!B:B,shipments!H:H),0)</f>
        <v>118.77</v>
      </c>
      <c r="L849">
        <f t="shared" si="40"/>
        <v>0.09</v>
      </c>
      <c r="M849" t="str">
        <f>_xlfn.XLOOKUP(B849,customer_orders!A:A,customer_orders!D:D)</f>
        <v>Amazon</v>
      </c>
      <c r="N849" t="str">
        <f>_xlfn.XLOOKUP(C849,inventory!B:B,inventory!C:C)</f>
        <v>Unknown</v>
      </c>
      <c r="O849">
        <f>IF(_xlfn.XLOOKUP(C849,products!A:A,products!E:E)="NULL",0,_xlfn.XLOOKUP(C849,products!A:A,products!E:E))</f>
        <v>136.6</v>
      </c>
      <c r="P849">
        <f t="shared" si="41"/>
        <v>1123.9000000000001</v>
      </c>
      <c r="Q849" s="2" t="str">
        <f>_xlfn.XLOOKUP(I849,products!B:B,products!D:D)</f>
        <v>Office</v>
      </c>
    </row>
    <row r="850" spans="1:17">
      <c r="A850">
        <v>849</v>
      </c>
      <c r="B850">
        <v>1342</v>
      </c>
      <c r="C850">
        <v>51</v>
      </c>
      <c r="D850">
        <v>2</v>
      </c>
      <c r="E850">
        <v>204.07</v>
      </c>
      <c r="F850">
        <v>0</v>
      </c>
      <c r="G850">
        <f t="shared" si="39"/>
        <v>408.14</v>
      </c>
      <c r="H850" t="str">
        <f>_xlfn.XLOOKUP(B850,customer_orders!A:A,customer_orders!F:F)</f>
        <v>2026-04</v>
      </c>
      <c r="I850" t="str">
        <f>_xlfn.XLOOKUP(C850,products!A:A,products!B:B)</f>
        <v>SKU-0051</v>
      </c>
      <c r="J850" t="str">
        <f>_xlfn.XLOOKUP(B850,customer_orders!A:A,customer_orders!G:G)</f>
        <v>2026-w14</v>
      </c>
      <c r="K850">
        <f>IFERROR(_xlfn.XLOOKUP(B850,shipments!B:B,shipments!H:H),0)</f>
        <v>52.85</v>
      </c>
      <c r="L850">
        <f t="shared" si="40"/>
        <v>0.13</v>
      </c>
      <c r="M850" t="str">
        <f>_xlfn.XLOOKUP(B850,customer_orders!A:A,customer_orders!D:D)</f>
        <v>Walmart</v>
      </c>
      <c r="N850" t="str">
        <f>_xlfn.XLOOKUP(C850,inventory!B:B,inventory!C:C)</f>
        <v>South Jordan</v>
      </c>
      <c r="O850">
        <f>IF(_xlfn.XLOOKUP(C850,products!A:A,products!E:E)="NULL",0,_xlfn.XLOOKUP(C850,products!A:A,products!E:E))</f>
        <v>57.39</v>
      </c>
      <c r="P850">
        <f t="shared" si="41"/>
        <v>350.75</v>
      </c>
      <c r="Q850" s="2" t="str">
        <f>_xlfn.XLOOKUP(I850,products!B:B,products!D:D)</f>
        <v>Electronics</v>
      </c>
    </row>
    <row r="851" spans="1:17">
      <c r="A851">
        <v>850</v>
      </c>
      <c r="B851">
        <v>1342</v>
      </c>
      <c r="C851">
        <v>35</v>
      </c>
      <c r="D851">
        <v>7</v>
      </c>
      <c r="E851">
        <v>46.14</v>
      </c>
      <c r="F851">
        <v>0</v>
      </c>
      <c r="G851">
        <f t="shared" si="39"/>
        <v>322.98</v>
      </c>
      <c r="H851" t="str">
        <f>_xlfn.XLOOKUP(B851,customer_orders!A:A,customer_orders!F:F)</f>
        <v>2026-04</v>
      </c>
      <c r="I851" t="str">
        <f>_xlfn.XLOOKUP(C851,products!A:A,products!B:B)</f>
        <v>SKU-0035</v>
      </c>
      <c r="J851" t="str">
        <f>_xlfn.XLOOKUP(B851,customer_orders!A:A,customer_orders!G:G)</f>
        <v>2026-w14</v>
      </c>
      <c r="K851">
        <f>IFERROR(_xlfn.XLOOKUP(B851,shipments!B:B,shipments!H:H),0)</f>
        <v>52.85</v>
      </c>
      <c r="L851">
        <f t="shared" si="40"/>
        <v>0.16</v>
      </c>
      <c r="M851" t="str">
        <f>_xlfn.XLOOKUP(B851,customer_orders!A:A,customer_orders!D:D)</f>
        <v>Walmart</v>
      </c>
      <c r="N851" t="str">
        <f>_xlfn.XLOOKUP(C851,inventory!B:B,inventory!C:C)</f>
        <v>Salt Lake City</v>
      </c>
      <c r="O851">
        <f>IF(_xlfn.XLOOKUP(C851,products!A:A,products!E:E)="NULL",0,_xlfn.XLOOKUP(C851,products!A:A,products!E:E))</f>
        <v>145.1</v>
      </c>
      <c r="P851">
        <f t="shared" si="41"/>
        <v>177.88000000000002</v>
      </c>
      <c r="Q851" s="2" t="str">
        <f>_xlfn.XLOOKUP(I851,products!B:B,products!D:D)</f>
        <v>Office</v>
      </c>
    </row>
    <row r="852" spans="1:17">
      <c r="A852">
        <v>851</v>
      </c>
      <c r="B852">
        <v>1342</v>
      </c>
      <c r="C852">
        <v>9</v>
      </c>
      <c r="D852">
        <v>3</v>
      </c>
      <c r="E852">
        <v>235.32</v>
      </c>
      <c r="F852">
        <v>10.33</v>
      </c>
      <c r="G852">
        <f t="shared" si="39"/>
        <v>695.63</v>
      </c>
      <c r="H852" t="str">
        <f>_xlfn.XLOOKUP(B852,customer_orders!A:A,customer_orders!F:F)</f>
        <v>2026-04</v>
      </c>
      <c r="I852" t="str">
        <f>_xlfn.XLOOKUP(C852,products!A:A,products!B:B)</f>
        <v>SKU-0009</v>
      </c>
      <c r="J852" t="str">
        <f>_xlfn.XLOOKUP(B852,customer_orders!A:A,customer_orders!G:G)</f>
        <v>2026-w14</v>
      </c>
      <c r="K852">
        <f>IFERROR(_xlfn.XLOOKUP(B852,shipments!B:B,shipments!H:H),0)</f>
        <v>52.85</v>
      </c>
      <c r="L852">
        <f t="shared" si="40"/>
        <v>0.08</v>
      </c>
      <c r="M852" t="str">
        <f>_xlfn.XLOOKUP(B852,customer_orders!A:A,customer_orders!D:D)</f>
        <v>Walmart</v>
      </c>
      <c r="N852" t="str">
        <f>_xlfn.XLOOKUP(C852,inventory!B:B,inventory!C:C)</f>
        <v>Salt Lake City</v>
      </c>
      <c r="O852">
        <f>IF(_xlfn.XLOOKUP(C852,products!A:A,products!E:E)="NULL",0,_xlfn.XLOOKUP(C852,products!A:A,products!E:E))</f>
        <v>120.72</v>
      </c>
      <c r="P852">
        <f t="shared" si="41"/>
        <v>574.91</v>
      </c>
      <c r="Q852" s="2" t="str">
        <f>_xlfn.XLOOKUP(I852,products!B:B,products!D:D)</f>
        <v>Home</v>
      </c>
    </row>
    <row r="853" spans="1:17">
      <c r="A853">
        <v>852</v>
      </c>
      <c r="B853">
        <v>1343</v>
      </c>
      <c r="C853">
        <v>34</v>
      </c>
      <c r="D853">
        <v>2</v>
      </c>
      <c r="E853">
        <v>222.79</v>
      </c>
      <c r="F853">
        <v>0</v>
      </c>
      <c r="G853">
        <f t="shared" si="39"/>
        <v>445.58</v>
      </c>
      <c r="H853" t="str">
        <f>_xlfn.XLOOKUP(B853,customer_orders!A:A,customer_orders!F:F)</f>
        <v>2026-04</v>
      </c>
      <c r="I853" t="str">
        <f>_xlfn.XLOOKUP(C853,products!A:A,products!B:B)</f>
        <v>SKU-0034</v>
      </c>
      <c r="J853" t="str">
        <f>_xlfn.XLOOKUP(B853,customer_orders!A:A,customer_orders!G:G)</f>
        <v>2026-w16</v>
      </c>
      <c r="K853">
        <f>IFERROR(_xlfn.XLOOKUP(B853,shipments!B:B,shipments!H:H),0)</f>
        <v>92.26</v>
      </c>
      <c r="L853">
        <f t="shared" si="40"/>
        <v>0.21</v>
      </c>
      <c r="M853" t="str">
        <f>_xlfn.XLOOKUP(B853,customer_orders!A:A,customer_orders!D:D)</f>
        <v>Shopify</v>
      </c>
      <c r="N853" t="str">
        <f>_xlfn.XLOOKUP(C853,inventory!B:B,inventory!C:C)</f>
        <v>Salt Lake City</v>
      </c>
      <c r="O853">
        <f>IF(_xlfn.XLOOKUP(C853,products!A:A,products!E:E)="NULL",0,_xlfn.XLOOKUP(C853,products!A:A,products!E:E))</f>
        <v>86.73</v>
      </c>
      <c r="P853">
        <f t="shared" si="41"/>
        <v>358.84999999999997</v>
      </c>
      <c r="Q853" s="2" t="str">
        <f>_xlfn.XLOOKUP(I853,products!B:B,products!D:D)</f>
        <v>Office</v>
      </c>
    </row>
    <row r="854" spans="1:17">
      <c r="A854">
        <v>853</v>
      </c>
      <c r="B854">
        <v>1343</v>
      </c>
      <c r="C854">
        <v>33</v>
      </c>
      <c r="D854">
        <v>3</v>
      </c>
      <c r="E854">
        <v>42.63</v>
      </c>
      <c r="F854">
        <v>0</v>
      </c>
      <c r="G854">
        <f t="shared" si="39"/>
        <v>127.89000000000001</v>
      </c>
      <c r="H854" t="str">
        <f>_xlfn.XLOOKUP(B854,customer_orders!A:A,customer_orders!F:F)</f>
        <v>2026-04</v>
      </c>
      <c r="I854" t="str">
        <f>_xlfn.XLOOKUP(C854,products!A:A,products!B:B)</f>
        <v>SKU-0033</v>
      </c>
      <c r="J854" t="str">
        <f>_xlfn.XLOOKUP(B854,customer_orders!A:A,customer_orders!G:G)</f>
        <v>2026-w16</v>
      </c>
      <c r="K854">
        <f>IFERROR(_xlfn.XLOOKUP(B854,shipments!B:B,shipments!H:H),0)</f>
        <v>92.26</v>
      </c>
      <c r="L854">
        <f t="shared" si="40"/>
        <v>0.72</v>
      </c>
      <c r="M854" t="str">
        <f>_xlfn.XLOOKUP(B854,customer_orders!A:A,customer_orders!D:D)</f>
        <v>Shopify</v>
      </c>
      <c r="N854" t="str">
        <f>_xlfn.XLOOKUP(C854,inventory!B:B,inventory!C:C)</f>
        <v>South Jordan</v>
      </c>
      <c r="O854">
        <f>IF(_xlfn.XLOOKUP(C854,products!A:A,products!E:E)="NULL",0,_xlfn.XLOOKUP(C854,products!A:A,products!E:E))</f>
        <v>38.32</v>
      </c>
      <c r="P854">
        <f t="shared" si="41"/>
        <v>89.570000000000022</v>
      </c>
      <c r="Q854" s="2" t="str">
        <f>_xlfn.XLOOKUP(I854,products!B:B,products!D:D)</f>
        <v>Pet</v>
      </c>
    </row>
    <row r="855" spans="1:17">
      <c r="A855">
        <v>854</v>
      </c>
      <c r="B855">
        <v>1343</v>
      </c>
      <c r="C855">
        <v>61</v>
      </c>
      <c r="D855">
        <v>1</v>
      </c>
      <c r="E855">
        <v>293.22000000000003</v>
      </c>
      <c r="F855">
        <v>0</v>
      </c>
      <c r="G855">
        <f t="shared" si="39"/>
        <v>293.22000000000003</v>
      </c>
      <c r="H855" t="str">
        <f>_xlfn.XLOOKUP(B855,customer_orders!A:A,customer_orders!F:F)</f>
        <v>2026-04</v>
      </c>
      <c r="I855" t="str">
        <f>_xlfn.XLOOKUP(C855,products!A:A,products!B:B)</f>
        <v>SKU-0061</v>
      </c>
      <c r="J855" t="str">
        <f>_xlfn.XLOOKUP(B855,customer_orders!A:A,customer_orders!G:G)</f>
        <v>2026-w16</v>
      </c>
      <c r="K855">
        <f>IFERROR(_xlfn.XLOOKUP(B855,shipments!B:B,shipments!H:H),0)</f>
        <v>92.26</v>
      </c>
      <c r="L855">
        <f t="shared" si="40"/>
        <v>0.31</v>
      </c>
      <c r="M855" t="str">
        <f>_xlfn.XLOOKUP(B855,customer_orders!A:A,customer_orders!D:D)</f>
        <v>Shopify</v>
      </c>
      <c r="N855" t="str">
        <f>_xlfn.XLOOKUP(C855,inventory!B:B,inventory!C:C)</f>
        <v>South Jordan</v>
      </c>
      <c r="O855">
        <f>IF(_xlfn.XLOOKUP(C855,products!A:A,products!E:E)="NULL",0,_xlfn.XLOOKUP(C855,products!A:A,products!E:E))</f>
        <v>156.31</v>
      </c>
      <c r="P855">
        <f t="shared" si="41"/>
        <v>136.91000000000003</v>
      </c>
      <c r="Q855" s="2" t="str">
        <f>_xlfn.XLOOKUP(I855,products!B:B,products!D:D)</f>
        <v>Toys</v>
      </c>
    </row>
    <row r="856" spans="1:17">
      <c r="A856">
        <v>855</v>
      </c>
      <c r="B856">
        <v>1343</v>
      </c>
      <c r="C856">
        <v>110</v>
      </c>
      <c r="D856">
        <v>1</v>
      </c>
      <c r="E856">
        <v>112</v>
      </c>
      <c r="F856">
        <v>0</v>
      </c>
      <c r="G856">
        <f t="shared" si="39"/>
        <v>112</v>
      </c>
      <c r="H856" t="str">
        <f>_xlfn.XLOOKUP(B856,customer_orders!A:A,customer_orders!F:F)</f>
        <v>2026-04</v>
      </c>
      <c r="I856" t="str">
        <f>_xlfn.XLOOKUP(C856,products!A:A,products!B:B)</f>
        <v>SKU-0110</v>
      </c>
      <c r="J856" t="str">
        <f>_xlfn.XLOOKUP(B856,customer_orders!A:A,customer_orders!G:G)</f>
        <v>2026-w16</v>
      </c>
      <c r="K856">
        <f>IFERROR(_xlfn.XLOOKUP(B856,shipments!B:B,shipments!H:H),0)</f>
        <v>92.26</v>
      </c>
      <c r="L856">
        <f t="shared" si="40"/>
        <v>0.82</v>
      </c>
      <c r="M856" t="str">
        <f>_xlfn.XLOOKUP(B856,customer_orders!A:A,customer_orders!D:D)</f>
        <v>Shopify</v>
      </c>
      <c r="N856" t="str">
        <f>_xlfn.XLOOKUP(C856,inventory!B:B,inventory!C:C)</f>
        <v>Draper</v>
      </c>
      <c r="O856">
        <f>IF(_xlfn.XLOOKUP(C856,products!A:A,products!E:E)="NULL",0,_xlfn.XLOOKUP(C856,products!A:A,products!E:E))</f>
        <v>144.62</v>
      </c>
      <c r="P856">
        <f t="shared" si="41"/>
        <v>-32.620000000000005</v>
      </c>
      <c r="Q856" s="2" t="str">
        <f>_xlfn.XLOOKUP(I856,products!B:B,products!D:D)</f>
        <v>Beauty</v>
      </c>
    </row>
    <row r="857" spans="1:17">
      <c r="A857">
        <v>856</v>
      </c>
      <c r="B857">
        <v>1344</v>
      </c>
      <c r="C857">
        <v>110</v>
      </c>
      <c r="D857">
        <v>4</v>
      </c>
      <c r="E857">
        <v>112</v>
      </c>
      <c r="F857">
        <v>0</v>
      </c>
      <c r="G857">
        <f t="shared" si="39"/>
        <v>448</v>
      </c>
      <c r="H857" t="str">
        <f>_xlfn.XLOOKUP(B857,customer_orders!A:A,customer_orders!F:F)</f>
        <v>2026-03</v>
      </c>
      <c r="I857" t="str">
        <f>_xlfn.XLOOKUP(C857,products!A:A,products!B:B)</f>
        <v>SKU-0110</v>
      </c>
      <c r="J857" t="str">
        <f>_xlfn.XLOOKUP(B857,customer_orders!A:A,customer_orders!G:G)</f>
        <v>2026-w11</v>
      </c>
      <c r="K857">
        <f>IFERROR(_xlfn.XLOOKUP(B857,shipments!B:B,shipments!H:H),0)</f>
        <v>50.55</v>
      </c>
      <c r="L857">
        <f t="shared" si="40"/>
        <v>0.11</v>
      </c>
      <c r="M857" t="str">
        <f>_xlfn.XLOOKUP(B857,customer_orders!A:A,customer_orders!D:D)</f>
        <v>Ebay</v>
      </c>
      <c r="N857" t="str">
        <f>_xlfn.XLOOKUP(C857,inventory!B:B,inventory!C:C)</f>
        <v>Draper</v>
      </c>
      <c r="O857">
        <f>IF(_xlfn.XLOOKUP(C857,products!A:A,products!E:E)="NULL",0,_xlfn.XLOOKUP(C857,products!A:A,products!E:E))</f>
        <v>144.62</v>
      </c>
      <c r="P857">
        <f t="shared" si="41"/>
        <v>303.38</v>
      </c>
      <c r="Q857" s="2" t="str">
        <f>_xlfn.XLOOKUP(I857,products!B:B,products!D:D)</f>
        <v>Beauty</v>
      </c>
    </row>
    <row r="858" spans="1:17">
      <c r="A858">
        <v>857</v>
      </c>
      <c r="B858">
        <v>1344</v>
      </c>
      <c r="C858">
        <v>129</v>
      </c>
      <c r="D858">
        <v>3</v>
      </c>
      <c r="E858">
        <v>95.57</v>
      </c>
      <c r="F858">
        <v>0</v>
      </c>
      <c r="G858">
        <f t="shared" si="39"/>
        <v>286.70999999999998</v>
      </c>
      <c r="H858" t="str">
        <f>_xlfn.XLOOKUP(B858,customer_orders!A:A,customer_orders!F:F)</f>
        <v>2026-03</v>
      </c>
      <c r="I858" t="str">
        <f>_xlfn.XLOOKUP(C858,products!A:A,products!B:B)</f>
        <v>SKU-0129</v>
      </c>
      <c r="J858" t="str">
        <f>_xlfn.XLOOKUP(B858,customer_orders!A:A,customer_orders!G:G)</f>
        <v>2026-w11</v>
      </c>
      <c r="K858">
        <f>IFERROR(_xlfn.XLOOKUP(B858,shipments!B:B,shipments!H:H),0)</f>
        <v>50.55</v>
      </c>
      <c r="L858">
        <f t="shared" si="40"/>
        <v>0.18</v>
      </c>
      <c r="M858" t="str">
        <f>_xlfn.XLOOKUP(B858,customer_orders!A:A,customer_orders!D:D)</f>
        <v>Ebay</v>
      </c>
      <c r="N858" t="str">
        <f>_xlfn.XLOOKUP(C858,inventory!B:B,inventory!C:C)</f>
        <v>South Jordan</v>
      </c>
      <c r="O858">
        <f>IF(_xlfn.XLOOKUP(C858,products!A:A,products!E:E)="NULL",0,_xlfn.XLOOKUP(C858,products!A:A,products!E:E))</f>
        <v>55.42</v>
      </c>
      <c r="P858">
        <f t="shared" si="41"/>
        <v>231.28999999999996</v>
      </c>
      <c r="Q858" s="2" t="str">
        <f>_xlfn.XLOOKUP(I858,products!B:B,products!D:D)</f>
        <v>Electronics</v>
      </c>
    </row>
    <row r="859" spans="1:17">
      <c r="A859">
        <v>858</v>
      </c>
      <c r="B859">
        <v>1345</v>
      </c>
      <c r="C859">
        <v>98</v>
      </c>
      <c r="D859">
        <v>7</v>
      </c>
      <c r="E859">
        <v>285.64</v>
      </c>
      <c r="F859">
        <v>0</v>
      </c>
      <c r="G859">
        <f t="shared" si="39"/>
        <v>1999.48</v>
      </c>
      <c r="H859" t="str">
        <f>_xlfn.XLOOKUP(B859,customer_orders!A:A,customer_orders!F:F)</f>
        <v>2026-01</v>
      </c>
      <c r="I859" t="str">
        <f>_xlfn.XLOOKUP(C859,products!A:A,products!B:B)</f>
        <v>SKU-0098</v>
      </c>
      <c r="J859" t="str">
        <f>_xlfn.XLOOKUP(B859,customer_orders!A:A,customer_orders!G:G)</f>
        <v>2026-w02</v>
      </c>
      <c r="K859">
        <f>IFERROR(_xlfn.XLOOKUP(B859,shipments!B:B,shipments!H:H),0)</f>
        <v>59.59</v>
      </c>
      <c r="L859">
        <f t="shared" si="40"/>
        <v>0.03</v>
      </c>
      <c r="M859" t="str">
        <f>_xlfn.XLOOKUP(B859,customer_orders!A:A,customer_orders!D:D)</f>
        <v>Shopify</v>
      </c>
      <c r="N859" t="str">
        <f>_xlfn.XLOOKUP(C859,inventory!B:B,inventory!C:C)</f>
        <v>South Jordan</v>
      </c>
      <c r="O859">
        <f>IF(_xlfn.XLOOKUP(C859,products!A:A,products!E:E)="NULL",0,_xlfn.XLOOKUP(C859,products!A:A,products!E:E))</f>
        <v>136.99</v>
      </c>
      <c r="P859">
        <f t="shared" si="41"/>
        <v>1862.49</v>
      </c>
      <c r="Q859" s="2" t="str">
        <f>_xlfn.XLOOKUP(I859,products!B:B,products!D:D)</f>
        <v>Home</v>
      </c>
    </row>
    <row r="860" spans="1:17">
      <c r="A860">
        <v>859</v>
      </c>
      <c r="B860">
        <v>1346</v>
      </c>
      <c r="C860">
        <v>108</v>
      </c>
      <c r="D860">
        <v>4</v>
      </c>
      <c r="E860">
        <v>143.47999999999999</v>
      </c>
      <c r="F860">
        <v>0</v>
      </c>
      <c r="G860">
        <f t="shared" si="39"/>
        <v>573.91999999999996</v>
      </c>
      <c r="H860" t="str">
        <f>_xlfn.XLOOKUP(B860,customer_orders!A:A,customer_orders!F:F)</f>
        <v>2026-01</v>
      </c>
      <c r="I860" t="str">
        <f>_xlfn.XLOOKUP(C860,products!A:A,products!B:B)</f>
        <v>SKU-0108</v>
      </c>
      <c r="J860" t="str">
        <f>_xlfn.XLOOKUP(B860,customer_orders!A:A,customer_orders!G:G)</f>
        <v>2026-w05</v>
      </c>
      <c r="K860">
        <f>IFERROR(_xlfn.XLOOKUP(B860,shipments!B:B,shipments!H:H),0)</f>
        <v>0</v>
      </c>
      <c r="L860">
        <f t="shared" si="40"/>
        <v>0</v>
      </c>
      <c r="M860" t="str">
        <f>_xlfn.XLOOKUP(B860,customer_orders!A:A,customer_orders!D:D)</f>
        <v>Ebay</v>
      </c>
      <c r="N860" t="str">
        <f>_xlfn.XLOOKUP(C860,inventory!B:B,inventory!C:C)</f>
        <v>South Jordan</v>
      </c>
      <c r="O860">
        <f>IF(_xlfn.XLOOKUP(C860,products!A:A,products!E:E)="NULL",0,_xlfn.XLOOKUP(C860,products!A:A,products!E:E))</f>
        <v>53.81</v>
      </c>
      <c r="P860">
        <f t="shared" si="41"/>
        <v>520.1099999999999</v>
      </c>
      <c r="Q860" s="2" t="str">
        <f>_xlfn.XLOOKUP(I860,products!B:B,products!D:D)</f>
        <v>Beauty</v>
      </c>
    </row>
    <row r="861" spans="1:17">
      <c r="A861">
        <v>860</v>
      </c>
      <c r="B861">
        <v>1346</v>
      </c>
      <c r="C861">
        <v>47</v>
      </c>
      <c r="D861">
        <v>1</v>
      </c>
      <c r="E861">
        <v>100.5</v>
      </c>
      <c r="F861">
        <v>0</v>
      </c>
      <c r="G861">
        <f t="shared" si="39"/>
        <v>100.5</v>
      </c>
      <c r="H861" t="str">
        <f>_xlfn.XLOOKUP(B861,customer_orders!A:A,customer_orders!F:F)</f>
        <v>2026-01</v>
      </c>
      <c r="I861" t="str">
        <f>_xlfn.XLOOKUP(C861,products!A:A,products!B:B)</f>
        <v>SKU-0047</v>
      </c>
      <c r="J861" t="str">
        <f>_xlfn.XLOOKUP(B861,customer_orders!A:A,customer_orders!G:G)</f>
        <v>2026-w05</v>
      </c>
      <c r="K861">
        <f>IFERROR(_xlfn.XLOOKUP(B861,shipments!B:B,shipments!H:H),0)</f>
        <v>0</v>
      </c>
      <c r="L861">
        <f t="shared" si="40"/>
        <v>0</v>
      </c>
      <c r="M861" t="str">
        <f>_xlfn.XLOOKUP(B861,customer_orders!A:A,customer_orders!D:D)</f>
        <v>Ebay</v>
      </c>
      <c r="N861" t="str">
        <f>_xlfn.XLOOKUP(C861,inventory!B:B,inventory!C:C)</f>
        <v>Salt Lake City</v>
      </c>
      <c r="O861">
        <f>IF(_xlfn.XLOOKUP(C861,products!A:A,products!E:E)="NULL",0,_xlfn.XLOOKUP(C861,products!A:A,products!E:E))</f>
        <v>122.55</v>
      </c>
      <c r="P861">
        <f t="shared" si="41"/>
        <v>-22.049999999999997</v>
      </c>
      <c r="Q861" s="2" t="str">
        <f>_xlfn.XLOOKUP(I861,products!B:B,products!D:D)</f>
        <v>Office</v>
      </c>
    </row>
    <row r="862" spans="1:17">
      <c r="A862">
        <v>861</v>
      </c>
      <c r="B862">
        <v>1346</v>
      </c>
      <c r="C862">
        <v>55</v>
      </c>
      <c r="D862">
        <v>5</v>
      </c>
      <c r="E862">
        <v>110.06</v>
      </c>
      <c r="F862">
        <v>0</v>
      </c>
      <c r="G862">
        <f t="shared" si="39"/>
        <v>550.29999999999995</v>
      </c>
      <c r="H862" t="str">
        <f>_xlfn.XLOOKUP(B862,customer_orders!A:A,customer_orders!F:F)</f>
        <v>2026-01</v>
      </c>
      <c r="I862" t="str">
        <f>_xlfn.XLOOKUP(C862,products!A:A,products!B:B)</f>
        <v>SKU-0055</v>
      </c>
      <c r="J862" t="str">
        <f>_xlfn.XLOOKUP(B862,customer_orders!A:A,customer_orders!G:G)</f>
        <v>2026-w05</v>
      </c>
      <c r="K862">
        <f>IFERROR(_xlfn.XLOOKUP(B862,shipments!B:B,shipments!H:H),0)</f>
        <v>0</v>
      </c>
      <c r="L862">
        <f t="shared" si="40"/>
        <v>0</v>
      </c>
      <c r="M862" t="str">
        <f>_xlfn.XLOOKUP(B862,customer_orders!A:A,customer_orders!D:D)</f>
        <v>Ebay</v>
      </c>
      <c r="N862" t="str">
        <f>_xlfn.XLOOKUP(C862,inventory!B:B,inventory!C:C)</f>
        <v>South Jordan</v>
      </c>
      <c r="O862">
        <f>IF(_xlfn.XLOOKUP(C862,products!A:A,products!E:E)="NULL",0,_xlfn.XLOOKUP(C862,products!A:A,products!E:E))</f>
        <v>12.72</v>
      </c>
      <c r="P862">
        <f t="shared" si="41"/>
        <v>537.57999999999993</v>
      </c>
      <c r="Q862" s="2" t="str">
        <f>_xlfn.XLOOKUP(I862,products!B:B,products!D:D)</f>
        <v>Office</v>
      </c>
    </row>
    <row r="863" spans="1:17">
      <c r="A863">
        <v>862</v>
      </c>
      <c r="B863">
        <v>1347</v>
      </c>
      <c r="C863">
        <v>29</v>
      </c>
      <c r="D863">
        <v>2</v>
      </c>
      <c r="E863">
        <v>33.25</v>
      </c>
      <c r="F863">
        <v>0</v>
      </c>
      <c r="G863">
        <f t="shared" si="39"/>
        <v>66.5</v>
      </c>
      <c r="H863" t="str">
        <f>_xlfn.XLOOKUP(B863,customer_orders!A:A,customer_orders!F:F)</f>
        <v>2026-03</v>
      </c>
      <c r="I863" t="str">
        <f>_xlfn.XLOOKUP(C863,products!A:A,products!B:B)</f>
        <v>SKU-0029</v>
      </c>
      <c r="J863" t="str">
        <f>_xlfn.XLOOKUP(B863,customer_orders!A:A,customer_orders!G:G)</f>
        <v>2026-w10</v>
      </c>
      <c r="K863">
        <f>IFERROR(_xlfn.XLOOKUP(B863,shipments!B:B,shipments!H:H),0)</f>
        <v>14.12</v>
      </c>
      <c r="L863">
        <f t="shared" si="40"/>
        <v>0.21</v>
      </c>
      <c r="M863" t="str">
        <f>_xlfn.XLOOKUP(B863,customer_orders!A:A,customer_orders!D:D)</f>
        <v>Ebay</v>
      </c>
      <c r="N863" t="str">
        <f>_xlfn.XLOOKUP(C863,inventory!B:B,inventory!C:C)</f>
        <v>Salt Lake City</v>
      </c>
      <c r="O863">
        <f>IF(_xlfn.XLOOKUP(C863,products!A:A,products!E:E)="NULL",0,_xlfn.XLOOKUP(C863,products!A:A,products!E:E))</f>
        <v>48.38</v>
      </c>
      <c r="P863">
        <f t="shared" si="41"/>
        <v>18.119999999999997</v>
      </c>
      <c r="Q863" s="2" t="str">
        <f>_xlfn.XLOOKUP(I863,products!B:B,products!D:D)</f>
        <v>Pet</v>
      </c>
    </row>
    <row r="864" spans="1:17">
      <c r="A864">
        <v>863</v>
      </c>
      <c r="B864">
        <v>1347</v>
      </c>
      <c r="C864">
        <v>85</v>
      </c>
      <c r="D864">
        <v>6</v>
      </c>
      <c r="E864">
        <v>163.57</v>
      </c>
      <c r="F864">
        <v>0</v>
      </c>
      <c r="G864">
        <f t="shared" si="39"/>
        <v>981.42</v>
      </c>
      <c r="H864" t="str">
        <f>_xlfn.XLOOKUP(B864,customer_orders!A:A,customer_orders!F:F)</f>
        <v>2026-03</v>
      </c>
      <c r="I864" t="str">
        <f>_xlfn.XLOOKUP(C864,products!A:A,products!B:B)</f>
        <v>SKU-0085</v>
      </c>
      <c r="J864" t="str">
        <f>_xlfn.XLOOKUP(B864,customer_orders!A:A,customer_orders!G:G)</f>
        <v>2026-w10</v>
      </c>
      <c r="K864">
        <f>IFERROR(_xlfn.XLOOKUP(B864,shipments!B:B,shipments!H:H),0)</f>
        <v>14.12</v>
      </c>
      <c r="L864">
        <f t="shared" si="40"/>
        <v>0.01</v>
      </c>
      <c r="M864" t="str">
        <f>_xlfn.XLOOKUP(B864,customer_orders!A:A,customer_orders!D:D)</f>
        <v>Ebay</v>
      </c>
      <c r="N864" t="str">
        <f>_xlfn.XLOOKUP(C864,inventory!B:B,inventory!C:C)</f>
        <v>Draper</v>
      </c>
      <c r="O864">
        <f>IF(_xlfn.XLOOKUP(C864,products!A:A,products!E:E)="NULL",0,_xlfn.XLOOKUP(C864,products!A:A,products!E:E))</f>
        <v>139.02000000000001</v>
      </c>
      <c r="P864">
        <f t="shared" si="41"/>
        <v>842.4</v>
      </c>
      <c r="Q864" s="2" t="str">
        <f>_xlfn.XLOOKUP(I864,products!B:B,products!D:D)</f>
        <v>Beauty</v>
      </c>
    </row>
    <row r="865" spans="1:17">
      <c r="A865">
        <v>864</v>
      </c>
      <c r="B865">
        <v>1347</v>
      </c>
      <c r="C865">
        <v>136</v>
      </c>
      <c r="D865">
        <v>6</v>
      </c>
      <c r="E865">
        <v>230.54</v>
      </c>
      <c r="F865">
        <v>0</v>
      </c>
      <c r="G865">
        <f t="shared" si="39"/>
        <v>1383.24</v>
      </c>
      <c r="H865" t="str">
        <f>_xlfn.XLOOKUP(B865,customer_orders!A:A,customer_orders!F:F)</f>
        <v>2026-03</v>
      </c>
      <c r="I865" t="str">
        <f>_xlfn.XLOOKUP(C865,products!A:A,products!B:B)</f>
        <v>SKU-0136</v>
      </c>
      <c r="J865" t="str">
        <f>_xlfn.XLOOKUP(B865,customer_orders!A:A,customer_orders!G:G)</f>
        <v>2026-w10</v>
      </c>
      <c r="K865">
        <f>IFERROR(_xlfn.XLOOKUP(B865,shipments!B:B,shipments!H:H),0)</f>
        <v>14.12</v>
      </c>
      <c r="L865">
        <f t="shared" si="40"/>
        <v>0.01</v>
      </c>
      <c r="M865" t="str">
        <f>_xlfn.XLOOKUP(B865,customer_orders!A:A,customer_orders!D:D)</f>
        <v>Ebay</v>
      </c>
      <c r="N865" t="str">
        <f>_xlfn.XLOOKUP(C865,inventory!B:B,inventory!C:C)</f>
        <v>South Jordan</v>
      </c>
      <c r="O865">
        <f>IF(_xlfn.XLOOKUP(C865,products!A:A,products!E:E)="NULL",0,_xlfn.XLOOKUP(C865,products!A:A,products!E:E))</f>
        <v>12.04</v>
      </c>
      <c r="P865">
        <f t="shared" si="41"/>
        <v>1371.2</v>
      </c>
      <c r="Q865" s="2" t="str">
        <f>_xlfn.XLOOKUP(I865,products!B:B,products!D:D)</f>
        <v>Sports</v>
      </c>
    </row>
    <row r="866" spans="1:17">
      <c r="A866">
        <v>865</v>
      </c>
      <c r="B866">
        <v>1348</v>
      </c>
      <c r="C866">
        <v>20</v>
      </c>
      <c r="D866">
        <v>6</v>
      </c>
      <c r="E866">
        <v>168.04</v>
      </c>
      <c r="F866">
        <v>5.22</v>
      </c>
      <c r="G866">
        <f t="shared" si="39"/>
        <v>1003.02</v>
      </c>
      <c r="H866" t="str">
        <f>_xlfn.XLOOKUP(B866,customer_orders!A:A,customer_orders!F:F)</f>
        <v>2026-02</v>
      </c>
      <c r="I866" t="str">
        <f>_xlfn.XLOOKUP(C866,products!A:A,products!B:B)</f>
        <v>SKU-0020</v>
      </c>
      <c r="J866" t="str">
        <f>_xlfn.XLOOKUP(B866,customer_orders!A:A,customer_orders!G:G)</f>
        <v>2026-w08</v>
      </c>
      <c r="K866">
        <f>IFERROR(_xlfn.XLOOKUP(B866,shipments!B:B,shipments!H:H),0)</f>
        <v>9.08</v>
      </c>
      <c r="L866">
        <f t="shared" si="40"/>
        <v>0.01</v>
      </c>
      <c r="M866" t="str">
        <f>_xlfn.XLOOKUP(B866,customer_orders!A:A,customer_orders!D:D)</f>
        <v>Shopify</v>
      </c>
      <c r="N866" t="str">
        <f>_xlfn.XLOOKUP(C866,inventory!B:B,inventory!C:C)</f>
        <v>South Jordan</v>
      </c>
      <c r="O866">
        <f>IF(_xlfn.XLOOKUP(C866,products!A:A,products!E:E)="NULL",0,_xlfn.XLOOKUP(C866,products!A:A,products!E:E))</f>
        <v>124.3</v>
      </c>
      <c r="P866">
        <f t="shared" si="41"/>
        <v>878.72</v>
      </c>
      <c r="Q866" s="2" t="str">
        <f>_xlfn.XLOOKUP(I866,products!B:B,products!D:D)</f>
        <v>Electronics</v>
      </c>
    </row>
    <row r="867" spans="1:17">
      <c r="A867">
        <v>866</v>
      </c>
      <c r="B867">
        <v>1349</v>
      </c>
      <c r="C867">
        <v>112</v>
      </c>
      <c r="D867">
        <v>2</v>
      </c>
      <c r="E867">
        <v>154.88</v>
      </c>
      <c r="F867">
        <v>0</v>
      </c>
      <c r="G867">
        <f t="shared" si="39"/>
        <v>309.76</v>
      </c>
      <c r="H867" t="str">
        <f>_xlfn.XLOOKUP(B867,customer_orders!A:A,customer_orders!F:F)</f>
        <v>2026-03</v>
      </c>
      <c r="I867" t="str">
        <f>_xlfn.XLOOKUP(C867,products!A:A,products!B:B)</f>
        <v>SKU-0112</v>
      </c>
      <c r="J867" t="str">
        <f>_xlfn.XLOOKUP(B867,customer_orders!A:A,customer_orders!G:G)</f>
        <v>2026-w14</v>
      </c>
      <c r="K867">
        <f>IFERROR(_xlfn.XLOOKUP(B867,shipments!B:B,shipments!H:H),0)</f>
        <v>37.6</v>
      </c>
      <c r="L867">
        <f t="shared" si="40"/>
        <v>0.12</v>
      </c>
      <c r="M867" t="str">
        <f>_xlfn.XLOOKUP(B867,customer_orders!A:A,customer_orders!D:D)</f>
        <v>Walmart</v>
      </c>
      <c r="N867" t="str">
        <f>_xlfn.XLOOKUP(C867,inventory!B:B,inventory!C:C)</f>
        <v>South Jordan</v>
      </c>
      <c r="O867">
        <f>IF(_xlfn.XLOOKUP(C867,products!A:A,products!E:E)="NULL",0,_xlfn.XLOOKUP(C867,products!A:A,products!E:E))</f>
        <v>118.03</v>
      </c>
      <c r="P867">
        <f t="shared" si="41"/>
        <v>191.73</v>
      </c>
      <c r="Q867" s="2" t="str">
        <f>_xlfn.XLOOKUP(I867,products!B:B,products!D:D)</f>
        <v>Beauty</v>
      </c>
    </row>
    <row r="868" spans="1:17">
      <c r="A868">
        <v>867</v>
      </c>
      <c r="B868">
        <v>1350</v>
      </c>
      <c r="C868">
        <v>43</v>
      </c>
      <c r="D868">
        <v>8</v>
      </c>
      <c r="E868">
        <v>277.02999999999997</v>
      </c>
      <c r="F868">
        <v>11.51</v>
      </c>
      <c r="G868">
        <f t="shared" si="39"/>
        <v>2204.7299999999996</v>
      </c>
      <c r="H868" t="str">
        <f>_xlfn.XLOOKUP(B868,customer_orders!A:A,customer_orders!F:F)</f>
        <v>2026-05</v>
      </c>
      <c r="I868" t="str">
        <f>_xlfn.XLOOKUP(C868,products!A:A,products!B:B)</f>
        <v>SKU-0043</v>
      </c>
      <c r="J868" t="str">
        <f>_xlfn.XLOOKUP(B868,customer_orders!A:A,customer_orders!G:G)</f>
        <v>2026-w19</v>
      </c>
      <c r="K868">
        <f>IFERROR(_xlfn.XLOOKUP(B868,shipments!B:B,shipments!H:H),0)</f>
        <v>74.44</v>
      </c>
      <c r="L868">
        <f t="shared" si="40"/>
        <v>0.03</v>
      </c>
      <c r="M868" t="str">
        <f>_xlfn.XLOOKUP(B868,customer_orders!A:A,customer_orders!D:D)</f>
        <v>Amazon</v>
      </c>
      <c r="N868" t="str">
        <f>_xlfn.XLOOKUP(C868,inventory!B:B,inventory!C:C)</f>
        <v>Draper</v>
      </c>
      <c r="O868">
        <f>IF(_xlfn.XLOOKUP(C868,products!A:A,products!E:E)="NULL",0,_xlfn.XLOOKUP(C868,products!A:A,products!E:E))</f>
        <v>88.44</v>
      </c>
      <c r="P868">
        <f t="shared" si="41"/>
        <v>2116.2899999999995</v>
      </c>
      <c r="Q868" s="2" t="str">
        <f>_xlfn.XLOOKUP(I868,products!B:B,products!D:D)</f>
        <v>Electronics</v>
      </c>
    </row>
    <row r="869" spans="1:17">
      <c r="A869">
        <v>868</v>
      </c>
      <c r="B869">
        <v>1351</v>
      </c>
      <c r="C869">
        <v>129</v>
      </c>
      <c r="D869">
        <v>5</v>
      </c>
      <c r="E869">
        <v>95.57</v>
      </c>
      <c r="F869">
        <v>0</v>
      </c>
      <c r="G869">
        <f t="shared" si="39"/>
        <v>477.84999999999997</v>
      </c>
      <c r="H869" t="str">
        <f>_xlfn.XLOOKUP(B869,customer_orders!A:A,customer_orders!F:F)</f>
        <v>2026-02</v>
      </c>
      <c r="I869" t="str">
        <f>_xlfn.XLOOKUP(C869,products!A:A,products!B:B)</f>
        <v>SKU-0129</v>
      </c>
      <c r="J869" t="str">
        <f>_xlfn.XLOOKUP(B869,customer_orders!A:A,customer_orders!G:G)</f>
        <v>2026-w09</v>
      </c>
      <c r="K869">
        <f>IFERROR(_xlfn.XLOOKUP(B869,shipments!B:B,shipments!H:H),0)</f>
        <v>78.52</v>
      </c>
      <c r="L869">
        <f t="shared" si="40"/>
        <v>0.16</v>
      </c>
      <c r="M869" t="str">
        <f>_xlfn.XLOOKUP(B869,customer_orders!A:A,customer_orders!D:D)</f>
        <v>Shopify</v>
      </c>
      <c r="N869" t="str">
        <f>_xlfn.XLOOKUP(C869,inventory!B:B,inventory!C:C)</f>
        <v>South Jordan</v>
      </c>
      <c r="O869">
        <f>IF(_xlfn.XLOOKUP(C869,products!A:A,products!E:E)="NULL",0,_xlfn.XLOOKUP(C869,products!A:A,products!E:E))</f>
        <v>55.42</v>
      </c>
      <c r="P869">
        <f t="shared" si="41"/>
        <v>422.42999999999995</v>
      </c>
      <c r="Q869" s="2" t="str">
        <f>_xlfn.XLOOKUP(I869,products!B:B,products!D:D)</f>
        <v>Electronics</v>
      </c>
    </row>
    <row r="870" spans="1:17">
      <c r="A870">
        <v>869</v>
      </c>
      <c r="B870">
        <v>1351</v>
      </c>
      <c r="C870">
        <v>76</v>
      </c>
      <c r="D870">
        <v>5</v>
      </c>
      <c r="E870">
        <v>160.68</v>
      </c>
      <c r="F870">
        <v>0</v>
      </c>
      <c r="G870">
        <f t="shared" si="39"/>
        <v>803.40000000000009</v>
      </c>
      <c r="H870" t="str">
        <f>_xlfn.XLOOKUP(B870,customer_orders!A:A,customer_orders!F:F)</f>
        <v>2026-02</v>
      </c>
      <c r="I870" t="str">
        <f>_xlfn.XLOOKUP(C870,products!A:A,products!B:B)</f>
        <v>SKU-0076</v>
      </c>
      <c r="J870" t="str">
        <f>_xlfn.XLOOKUP(B870,customer_orders!A:A,customer_orders!G:G)</f>
        <v>2026-w09</v>
      </c>
      <c r="K870">
        <f>IFERROR(_xlfn.XLOOKUP(B870,shipments!B:B,shipments!H:H),0)</f>
        <v>78.52</v>
      </c>
      <c r="L870">
        <f t="shared" si="40"/>
        <v>0.1</v>
      </c>
      <c r="M870" t="str">
        <f>_xlfn.XLOOKUP(B870,customer_orders!A:A,customer_orders!D:D)</f>
        <v>Shopify</v>
      </c>
      <c r="N870" t="str">
        <f>_xlfn.XLOOKUP(C870,inventory!B:B,inventory!C:C)</f>
        <v>South Jordan</v>
      </c>
      <c r="O870">
        <f>IF(_xlfn.XLOOKUP(C870,products!A:A,products!E:E)="NULL",0,_xlfn.XLOOKUP(C870,products!A:A,products!E:E))</f>
        <v>123.23</v>
      </c>
      <c r="P870">
        <f t="shared" si="41"/>
        <v>680.17000000000007</v>
      </c>
      <c r="Q870" s="2" t="str">
        <f>_xlfn.XLOOKUP(I870,products!B:B,products!D:D)</f>
        <v>Pet</v>
      </c>
    </row>
    <row r="871" spans="1:17">
      <c r="A871">
        <v>870</v>
      </c>
      <c r="B871">
        <v>1351</v>
      </c>
      <c r="C871">
        <v>58</v>
      </c>
      <c r="D871">
        <v>1</v>
      </c>
      <c r="E871">
        <v>57.21</v>
      </c>
      <c r="F871">
        <v>0</v>
      </c>
      <c r="G871">
        <f t="shared" si="39"/>
        <v>57.21</v>
      </c>
      <c r="H871" t="str">
        <f>_xlfn.XLOOKUP(B871,customer_orders!A:A,customer_orders!F:F)</f>
        <v>2026-02</v>
      </c>
      <c r="I871" t="str">
        <f>_xlfn.XLOOKUP(C871,products!A:A,products!B:B)</f>
        <v>SKU-0058</v>
      </c>
      <c r="J871" t="str">
        <f>_xlfn.XLOOKUP(B871,customer_orders!A:A,customer_orders!G:G)</f>
        <v>2026-w09</v>
      </c>
      <c r="K871">
        <f>IFERROR(_xlfn.XLOOKUP(B871,shipments!B:B,shipments!H:H),0)</f>
        <v>78.52</v>
      </c>
      <c r="L871">
        <f t="shared" si="40"/>
        <v>1.37</v>
      </c>
      <c r="M871" t="str">
        <f>_xlfn.XLOOKUP(B871,customer_orders!A:A,customer_orders!D:D)</f>
        <v>Shopify</v>
      </c>
      <c r="N871" t="str">
        <f>_xlfn.XLOOKUP(C871,inventory!B:B,inventory!C:C)</f>
        <v>South Jordan</v>
      </c>
      <c r="O871">
        <f>IF(_xlfn.XLOOKUP(C871,products!A:A,products!E:E)="NULL",0,_xlfn.XLOOKUP(C871,products!A:A,products!E:E))</f>
        <v>106.94</v>
      </c>
      <c r="P871">
        <f t="shared" si="41"/>
        <v>-49.73</v>
      </c>
      <c r="Q871" s="2" t="str">
        <f>_xlfn.XLOOKUP(I871,products!B:B,products!D:D)</f>
        <v>Electronics</v>
      </c>
    </row>
    <row r="872" spans="1:17">
      <c r="A872">
        <v>871</v>
      </c>
      <c r="B872">
        <v>1351</v>
      </c>
      <c r="C872">
        <v>11</v>
      </c>
      <c r="D872">
        <v>3</v>
      </c>
      <c r="E872">
        <v>91.09</v>
      </c>
      <c r="F872">
        <v>0</v>
      </c>
      <c r="G872">
        <f t="shared" si="39"/>
        <v>273.27</v>
      </c>
      <c r="H872" t="str">
        <f>_xlfn.XLOOKUP(B872,customer_orders!A:A,customer_orders!F:F)</f>
        <v>2026-02</v>
      </c>
      <c r="I872" t="str">
        <f>_xlfn.XLOOKUP(C872,products!A:A,products!B:B)</f>
        <v>SKU-0011</v>
      </c>
      <c r="J872" t="str">
        <f>_xlfn.XLOOKUP(B872,customer_orders!A:A,customer_orders!G:G)</f>
        <v>2026-w09</v>
      </c>
      <c r="K872">
        <f>IFERROR(_xlfn.XLOOKUP(B872,shipments!B:B,shipments!H:H),0)</f>
        <v>78.52</v>
      </c>
      <c r="L872">
        <f t="shared" si="40"/>
        <v>0.28999999999999998</v>
      </c>
      <c r="M872" t="str">
        <f>_xlfn.XLOOKUP(B872,customer_orders!A:A,customer_orders!D:D)</f>
        <v>Shopify</v>
      </c>
      <c r="N872" t="str">
        <f>_xlfn.XLOOKUP(C872,inventory!B:B,inventory!C:C)</f>
        <v>Lehi</v>
      </c>
      <c r="O872">
        <f>IF(_xlfn.XLOOKUP(C872,products!A:A,products!E:E)="NULL",0,_xlfn.XLOOKUP(C872,products!A:A,products!E:E))</f>
        <v>41.66</v>
      </c>
      <c r="P872">
        <f t="shared" si="41"/>
        <v>231.60999999999999</v>
      </c>
      <c r="Q872" s="2" t="str">
        <f>_xlfn.XLOOKUP(I872,products!B:B,products!D:D)</f>
        <v>Kitchen</v>
      </c>
    </row>
    <row r="873" spans="1:17">
      <c r="A873">
        <v>872</v>
      </c>
      <c r="B873">
        <v>1352</v>
      </c>
      <c r="C873">
        <v>22</v>
      </c>
      <c r="D873">
        <v>5</v>
      </c>
      <c r="E873">
        <v>159.69</v>
      </c>
      <c r="F873">
        <v>11.11</v>
      </c>
      <c r="G873">
        <f t="shared" si="39"/>
        <v>787.34</v>
      </c>
      <c r="H873" t="str">
        <f>_xlfn.XLOOKUP(B873,customer_orders!A:A,customer_orders!F:F)</f>
        <v>2026-03</v>
      </c>
      <c r="I873" t="str">
        <f>_xlfn.XLOOKUP(C873,products!A:A,products!B:B)</f>
        <v>SKU-0022</v>
      </c>
      <c r="J873" t="str">
        <f>_xlfn.XLOOKUP(B873,customer_orders!A:A,customer_orders!G:G)</f>
        <v>2026-w14</v>
      </c>
      <c r="K873">
        <f>IFERROR(_xlfn.XLOOKUP(B873,shipments!B:B,shipments!H:H),0)</f>
        <v>66.34</v>
      </c>
      <c r="L873">
        <f t="shared" si="40"/>
        <v>0.08</v>
      </c>
      <c r="M873" t="str">
        <f>_xlfn.XLOOKUP(B873,customer_orders!A:A,customer_orders!D:D)</f>
        <v>Amazon</v>
      </c>
      <c r="N873" t="str">
        <f>_xlfn.XLOOKUP(C873,inventory!B:B,inventory!C:C)</f>
        <v>Lehi</v>
      </c>
      <c r="O873">
        <f>IF(_xlfn.XLOOKUP(C873,products!A:A,products!E:E)="NULL",0,_xlfn.XLOOKUP(C873,products!A:A,products!E:E))</f>
        <v>138.34</v>
      </c>
      <c r="P873">
        <f t="shared" si="41"/>
        <v>649</v>
      </c>
      <c r="Q873" s="2" t="str">
        <f>_xlfn.XLOOKUP(I873,products!B:B,products!D:D)</f>
        <v>Sports</v>
      </c>
    </row>
    <row r="874" spans="1:17">
      <c r="A874">
        <v>873</v>
      </c>
      <c r="B874">
        <v>1352</v>
      </c>
      <c r="C874">
        <v>76</v>
      </c>
      <c r="D874">
        <v>6</v>
      </c>
      <c r="E874">
        <v>160.68</v>
      </c>
      <c r="F874">
        <v>0</v>
      </c>
      <c r="G874">
        <f t="shared" si="39"/>
        <v>964.08</v>
      </c>
      <c r="H874" t="str">
        <f>_xlfn.XLOOKUP(B874,customer_orders!A:A,customer_orders!F:F)</f>
        <v>2026-03</v>
      </c>
      <c r="I874" t="str">
        <f>_xlfn.XLOOKUP(C874,products!A:A,products!B:B)</f>
        <v>SKU-0076</v>
      </c>
      <c r="J874" t="str">
        <f>_xlfn.XLOOKUP(B874,customer_orders!A:A,customer_orders!G:G)</f>
        <v>2026-w14</v>
      </c>
      <c r="K874">
        <f>IFERROR(_xlfn.XLOOKUP(B874,shipments!B:B,shipments!H:H),0)</f>
        <v>66.34</v>
      </c>
      <c r="L874">
        <f t="shared" si="40"/>
        <v>7.0000000000000007E-2</v>
      </c>
      <c r="M874" t="str">
        <f>_xlfn.XLOOKUP(B874,customer_orders!A:A,customer_orders!D:D)</f>
        <v>Amazon</v>
      </c>
      <c r="N874" t="str">
        <f>_xlfn.XLOOKUP(C874,inventory!B:B,inventory!C:C)</f>
        <v>South Jordan</v>
      </c>
      <c r="O874">
        <f>IF(_xlfn.XLOOKUP(C874,products!A:A,products!E:E)="NULL",0,_xlfn.XLOOKUP(C874,products!A:A,products!E:E))</f>
        <v>123.23</v>
      </c>
      <c r="P874">
        <f t="shared" si="41"/>
        <v>840.85</v>
      </c>
      <c r="Q874" s="2" t="str">
        <f>_xlfn.XLOOKUP(I874,products!B:B,products!D:D)</f>
        <v>Pet</v>
      </c>
    </row>
    <row r="875" spans="1:17">
      <c r="A875">
        <v>874</v>
      </c>
      <c r="B875">
        <v>1352</v>
      </c>
      <c r="C875">
        <v>92</v>
      </c>
      <c r="D875">
        <v>4</v>
      </c>
      <c r="E875">
        <v>23.27</v>
      </c>
      <c r="F875">
        <v>0</v>
      </c>
      <c r="G875">
        <f t="shared" si="39"/>
        <v>93.08</v>
      </c>
      <c r="H875" t="str">
        <f>_xlfn.XLOOKUP(B875,customer_orders!A:A,customer_orders!F:F)</f>
        <v>2026-03</v>
      </c>
      <c r="I875" t="str">
        <f>_xlfn.XLOOKUP(C875,products!A:A,products!B:B)</f>
        <v>SKU-0092</v>
      </c>
      <c r="J875" t="str">
        <f>_xlfn.XLOOKUP(B875,customer_orders!A:A,customer_orders!G:G)</f>
        <v>2026-w14</v>
      </c>
      <c r="K875">
        <f>IFERROR(_xlfn.XLOOKUP(B875,shipments!B:B,shipments!H:H),0)</f>
        <v>66.34</v>
      </c>
      <c r="L875">
        <f t="shared" si="40"/>
        <v>0.71</v>
      </c>
      <c r="M875" t="str">
        <f>_xlfn.XLOOKUP(B875,customer_orders!A:A,customer_orders!D:D)</f>
        <v>Amazon</v>
      </c>
      <c r="N875" t="str">
        <f>_xlfn.XLOOKUP(C875,inventory!B:B,inventory!C:C)</f>
        <v>Salt Lake City</v>
      </c>
      <c r="O875">
        <f>IF(_xlfn.XLOOKUP(C875,products!A:A,products!E:E)="NULL",0,_xlfn.XLOOKUP(C875,products!A:A,products!E:E))</f>
        <v>81.27</v>
      </c>
      <c r="P875">
        <f t="shared" si="41"/>
        <v>11.810000000000002</v>
      </c>
      <c r="Q875" s="2" t="str">
        <f>_xlfn.XLOOKUP(I875,products!B:B,products!D:D)</f>
        <v>Beauty</v>
      </c>
    </row>
    <row r="876" spans="1:17">
      <c r="A876">
        <v>875</v>
      </c>
      <c r="B876">
        <v>1353</v>
      </c>
      <c r="C876">
        <v>114</v>
      </c>
      <c r="D876">
        <v>4</v>
      </c>
      <c r="E876">
        <v>171.86</v>
      </c>
      <c r="F876">
        <v>0</v>
      </c>
      <c r="G876">
        <f t="shared" si="39"/>
        <v>687.44</v>
      </c>
      <c r="H876" t="str">
        <f>_xlfn.XLOOKUP(B876,customer_orders!A:A,customer_orders!F:F)</f>
        <v>2026-03</v>
      </c>
      <c r="I876" t="str">
        <f>_xlfn.XLOOKUP(C876,products!A:A,products!B:B)</f>
        <v>SKU-0114</v>
      </c>
      <c r="J876" t="str">
        <f>_xlfn.XLOOKUP(B876,customer_orders!A:A,customer_orders!G:G)</f>
        <v>2026-w10</v>
      </c>
      <c r="K876">
        <f>IFERROR(_xlfn.XLOOKUP(B876,shipments!B:B,shipments!H:H),0)</f>
        <v>108.65</v>
      </c>
      <c r="L876">
        <f t="shared" si="40"/>
        <v>0.16</v>
      </c>
      <c r="M876" t="str">
        <f>_xlfn.XLOOKUP(B876,customer_orders!A:A,customer_orders!D:D)</f>
        <v>Shopify</v>
      </c>
      <c r="N876" t="str">
        <f>_xlfn.XLOOKUP(C876,inventory!B:B,inventory!C:C)</f>
        <v>Salt Lake City</v>
      </c>
      <c r="O876">
        <f>IF(_xlfn.XLOOKUP(C876,products!A:A,products!E:E)="NULL",0,_xlfn.XLOOKUP(C876,products!A:A,products!E:E))</f>
        <v>179.41</v>
      </c>
      <c r="P876">
        <f t="shared" si="41"/>
        <v>508.03000000000009</v>
      </c>
      <c r="Q876" s="2" t="str">
        <f>_xlfn.XLOOKUP(I876,products!B:B,products!D:D)</f>
        <v>Kitchen</v>
      </c>
    </row>
    <row r="877" spans="1:17">
      <c r="A877">
        <v>876</v>
      </c>
      <c r="B877">
        <v>1353</v>
      </c>
      <c r="C877">
        <v>149</v>
      </c>
      <c r="D877">
        <v>7</v>
      </c>
      <c r="E877">
        <v>258.51</v>
      </c>
      <c r="F877">
        <v>0</v>
      </c>
      <c r="G877">
        <f t="shared" si="39"/>
        <v>1809.57</v>
      </c>
      <c r="H877" t="str">
        <f>_xlfn.XLOOKUP(B877,customer_orders!A:A,customer_orders!F:F)</f>
        <v>2026-03</v>
      </c>
      <c r="I877" t="str">
        <f>_xlfn.XLOOKUP(C877,products!A:A,products!B:B)</f>
        <v>SKU-0149</v>
      </c>
      <c r="J877" t="str">
        <f>_xlfn.XLOOKUP(B877,customer_orders!A:A,customer_orders!G:G)</f>
        <v>2026-w10</v>
      </c>
      <c r="K877">
        <f>IFERROR(_xlfn.XLOOKUP(B877,shipments!B:B,shipments!H:H),0)</f>
        <v>108.65</v>
      </c>
      <c r="L877">
        <f t="shared" si="40"/>
        <v>0.06</v>
      </c>
      <c r="M877" t="str">
        <f>_xlfn.XLOOKUP(B877,customer_orders!A:A,customer_orders!D:D)</f>
        <v>Shopify</v>
      </c>
      <c r="N877" t="str">
        <f>_xlfn.XLOOKUP(C877,inventory!B:B,inventory!C:C)</f>
        <v>South Jordan</v>
      </c>
      <c r="O877">
        <f>IF(_xlfn.XLOOKUP(C877,products!A:A,products!E:E)="NULL",0,_xlfn.XLOOKUP(C877,products!A:A,products!E:E))</f>
        <v>140.22</v>
      </c>
      <c r="P877">
        <f t="shared" si="41"/>
        <v>1669.35</v>
      </c>
      <c r="Q877" s="2" t="str">
        <f>_xlfn.XLOOKUP(I877,products!B:B,products!D:D)</f>
        <v>Home</v>
      </c>
    </row>
    <row r="878" spans="1:17">
      <c r="A878">
        <v>877</v>
      </c>
      <c r="B878">
        <v>1354</v>
      </c>
      <c r="C878">
        <v>73</v>
      </c>
      <c r="D878">
        <v>1</v>
      </c>
      <c r="E878">
        <v>134.83000000000001</v>
      </c>
      <c r="F878">
        <v>0</v>
      </c>
      <c r="G878">
        <f t="shared" si="39"/>
        <v>134.83000000000001</v>
      </c>
      <c r="H878" t="str">
        <f>_xlfn.XLOOKUP(B878,customer_orders!A:A,customer_orders!F:F)</f>
        <v>2026-02</v>
      </c>
      <c r="I878" t="str">
        <f>_xlfn.XLOOKUP(C878,products!A:A,products!B:B)</f>
        <v>SKU-0073</v>
      </c>
      <c r="J878" t="str">
        <f>_xlfn.XLOOKUP(B878,customer_orders!A:A,customer_orders!G:G)</f>
        <v>2026-w08</v>
      </c>
      <c r="K878">
        <f>IFERROR(_xlfn.XLOOKUP(B878,shipments!B:B,shipments!H:H),0)</f>
        <v>109.46</v>
      </c>
      <c r="L878">
        <f t="shared" si="40"/>
        <v>0.81</v>
      </c>
      <c r="M878" t="str">
        <f>_xlfn.XLOOKUP(B878,customer_orders!A:A,customer_orders!D:D)</f>
        <v>Amazon</v>
      </c>
      <c r="N878" t="str">
        <f>_xlfn.XLOOKUP(C878,inventory!B:B,inventory!C:C)</f>
        <v>Draper</v>
      </c>
      <c r="O878">
        <f>IF(_xlfn.XLOOKUP(C878,products!A:A,products!E:E)="NULL",0,_xlfn.XLOOKUP(C878,products!A:A,products!E:E))</f>
        <v>27.28</v>
      </c>
      <c r="P878">
        <f t="shared" si="41"/>
        <v>107.55000000000001</v>
      </c>
      <c r="Q878" s="2" t="str">
        <f>_xlfn.XLOOKUP(I878,products!B:B,products!D:D)</f>
        <v>Sports</v>
      </c>
    </row>
    <row r="879" spans="1:17">
      <c r="A879">
        <v>878</v>
      </c>
      <c r="B879">
        <v>1354</v>
      </c>
      <c r="C879">
        <v>101</v>
      </c>
      <c r="D879">
        <v>4</v>
      </c>
      <c r="E879">
        <v>45.81</v>
      </c>
      <c r="F879">
        <v>0</v>
      </c>
      <c r="G879">
        <f t="shared" si="39"/>
        <v>183.24</v>
      </c>
      <c r="H879" t="str">
        <f>_xlfn.XLOOKUP(B879,customer_orders!A:A,customer_orders!F:F)</f>
        <v>2026-02</v>
      </c>
      <c r="I879" t="str">
        <f>_xlfn.XLOOKUP(C879,products!A:A,products!B:B)</f>
        <v>SKU-0101</v>
      </c>
      <c r="J879" t="str">
        <f>_xlfn.XLOOKUP(B879,customer_orders!A:A,customer_orders!G:G)</f>
        <v>2026-w08</v>
      </c>
      <c r="K879">
        <f>IFERROR(_xlfn.XLOOKUP(B879,shipments!B:B,shipments!H:H),0)</f>
        <v>109.46</v>
      </c>
      <c r="L879">
        <f t="shared" si="40"/>
        <v>0.6</v>
      </c>
      <c r="M879" t="str">
        <f>_xlfn.XLOOKUP(B879,customer_orders!A:A,customer_orders!D:D)</f>
        <v>Amazon</v>
      </c>
      <c r="N879" t="str">
        <f>_xlfn.XLOOKUP(C879,inventory!B:B,inventory!C:C)</f>
        <v>South Jordan</v>
      </c>
      <c r="O879">
        <f>IF(_xlfn.XLOOKUP(C879,products!A:A,products!E:E)="NULL",0,_xlfn.XLOOKUP(C879,products!A:A,products!E:E))</f>
        <v>173.83</v>
      </c>
      <c r="P879">
        <f t="shared" si="41"/>
        <v>9.4099999999999966</v>
      </c>
      <c r="Q879" s="2" t="str">
        <f>_xlfn.XLOOKUP(I879,products!B:B,products!D:D)</f>
        <v>Home</v>
      </c>
    </row>
    <row r="880" spans="1:17">
      <c r="A880">
        <v>879</v>
      </c>
      <c r="B880">
        <v>1355</v>
      </c>
      <c r="C880">
        <v>4</v>
      </c>
      <c r="D880">
        <v>1</v>
      </c>
      <c r="E880">
        <v>94.28</v>
      </c>
      <c r="F880">
        <v>0</v>
      </c>
      <c r="G880">
        <f t="shared" si="39"/>
        <v>94.28</v>
      </c>
      <c r="H880" t="str">
        <f>_xlfn.XLOOKUP(B880,customer_orders!A:A,customer_orders!F:F)</f>
        <v>2026-01</v>
      </c>
      <c r="I880" t="str">
        <f>_xlfn.XLOOKUP(C880,products!A:A,products!B:B)</f>
        <v>SKU-0004</v>
      </c>
      <c r="J880" t="str">
        <f>_xlfn.XLOOKUP(B880,customer_orders!A:A,customer_orders!G:G)</f>
        <v>2026-w05</v>
      </c>
      <c r="K880">
        <f>IFERROR(_xlfn.XLOOKUP(B880,shipments!B:B,shipments!H:H),0)</f>
        <v>5.57</v>
      </c>
      <c r="L880">
        <f t="shared" si="40"/>
        <v>0.06</v>
      </c>
      <c r="M880" t="str">
        <f>_xlfn.XLOOKUP(B880,customer_orders!A:A,customer_orders!D:D)</f>
        <v>Walmart</v>
      </c>
      <c r="N880" t="str">
        <f>_xlfn.XLOOKUP(C880,inventory!B:B,inventory!C:C)</f>
        <v>Draper</v>
      </c>
      <c r="O880">
        <f>IF(_xlfn.XLOOKUP(C880,products!A:A,products!E:E)="NULL",0,_xlfn.XLOOKUP(C880,products!A:A,products!E:E))</f>
        <v>83.61</v>
      </c>
      <c r="P880">
        <f t="shared" si="41"/>
        <v>10.670000000000002</v>
      </c>
      <c r="Q880" s="2" t="str">
        <f>_xlfn.XLOOKUP(I880,products!B:B,products!D:D)</f>
        <v>Office</v>
      </c>
    </row>
    <row r="881" spans="1:17">
      <c r="A881">
        <v>880</v>
      </c>
      <c r="B881">
        <v>1356</v>
      </c>
      <c r="C881">
        <v>42</v>
      </c>
      <c r="D881">
        <v>5</v>
      </c>
      <c r="E881">
        <v>169.53</v>
      </c>
      <c r="F881">
        <v>0</v>
      </c>
      <c r="G881">
        <f t="shared" si="39"/>
        <v>847.65</v>
      </c>
      <c r="H881" t="str">
        <f>_xlfn.XLOOKUP(B881,customer_orders!A:A,customer_orders!F:F)</f>
        <v>2026-02</v>
      </c>
      <c r="I881" t="str">
        <f>_xlfn.XLOOKUP(C881,products!A:A,products!B:B)</f>
        <v>SKU-0042</v>
      </c>
      <c r="J881" t="str">
        <f>_xlfn.XLOOKUP(B881,customer_orders!A:A,customer_orders!G:G)</f>
        <v>2026-w08</v>
      </c>
      <c r="K881">
        <f>IFERROR(_xlfn.XLOOKUP(B881,shipments!B:B,shipments!H:H),0)</f>
        <v>6.78</v>
      </c>
      <c r="L881">
        <f t="shared" si="40"/>
        <v>0.01</v>
      </c>
      <c r="M881" t="str">
        <f>_xlfn.XLOOKUP(B881,customer_orders!A:A,customer_orders!D:D)</f>
        <v>Walmart</v>
      </c>
      <c r="N881" t="str">
        <f>_xlfn.XLOOKUP(C881,inventory!B:B,inventory!C:C)</f>
        <v>South Jordan</v>
      </c>
      <c r="O881">
        <f>IF(_xlfn.XLOOKUP(C881,products!A:A,products!E:E)="NULL",0,_xlfn.XLOOKUP(C881,products!A:A,products!E:E))</f>
        <v>106.36</v>
      </c>
      <c r="P881">
        <f t="shared" si="41"/>
        <v>741.29</v>
      </c>
      <c r="Q881" s="2" t="str">
        <f>_xlfn.XLOOKUP(I881,products!B:B,products!D:D)</f>
        <v>Beauty</v>
      </c>
    </row>
    <row r="882" spans="1:17">
      <c r="A882">
        <v>881</v>
      </c>
      <c r="B882">
        <v>1356</v>
      </c>
      <c r="C882">
        <v>63</v>
      </c>
      <c r="D882">
        <v>1</v>
      </c>
      <c r="E882">
        <v>214.86</v>
      </c>
      <c r="F882">
        <v>0</v>
      </c>
      <c r="G882">
        <f t="shared" si="39"/>
        <v>214.86</v>
      </c>
      <c r="H882" t="str">
        <f>_xlfn.XLOOKUP(B882,customer_orders!A:A,customer_orders!F:F)</f>
        <v>2026-02</v>
      </c>
      <c r="I882" t="str">
        <f>_xlfn.XLOOKUP(C882,products!A:A,products!B:B)</f>
        <v>SKU-0063</v>
      </c>
      <c r="J882" t="str">
        <f>_xlfn.XLOOKUP(B882,customer_orders!A:A,customer_orders!G:G)</f>
        <v>2026-w08</v>
      </c>
      <c r="K882">
        <f>IFERROR(_xlfn.XLOOKUP(B882,shipments!B:B,shipments!H:H),0)</f>
        <v>6.78</v>
      </c>
      <c r="L882">
        <f t="shared" si="40"/>
        <v>0.03</v>
      </c>
      <c r="M882" t="str">
        <f>_xlfn.XLOOKUP(B882,customer_orders!A:A,customer_orders!D:D)</f>
        <v>Walmart</v>
      </c>
      <c r="N882" t="str">
        <f>_xlfn.XLOOKUP(C882,inventory!B:B,inventory!C:C)</f>
        <v>Salt Lake City</v>
      </c>
      <c r="O882">
        <f>IF(_xlfn.XLOOKUP(C882,products!A:A,products!E:E)="NULL",0,_xlfn.XLOOKUP(C882,products!A:A,products!E:E))</f>
        <v>32.86</v>
      </c>
      <c r="P882">
        <f t="shared" si="41"/>
        <v>182</v>
      </c>
      <c r="Q882" s="2" t="str">
        <f>_xlfn.XLOOKUP(I882,products!B:B,products!D:D)</f>
        <v>Beauty</v>
      </c>
    </row>
    <row r="883" spans="1:17">
      <c r="A883">
        <v>882</v>
      </c>
      <c r="B883">
        <v>1356</v>
      </c>
      <c r="C883">
        <v>140</v>
      </c>
      <c r="D883">
        <v>2</v>
      </c>
      <c r="E883">
        <v>86.93</v>
      </c>
      <c r="F883">
        <v>0</v>
      </c>
      <c r="G883">
        <f t="shared" si="39"/>
        <v>173.86</v>
      </c>
      <c r="H883" t="str">
        <f>_xlfn.XLOOKUP(B883,customer_orders!A:A,customer_orders!F:F)</f>
        <v>2026-02</v>
      </c>
      <c r="I883" t="str">
        <f>_xlfn.XLOOKUP(C883,products!A:A,products!B:B)</f>
        <v>SKU-0140</v>
      </c>
      <c r="J883" t="str">
        <f>_xlfn.XLOOKUP(B883,customer_orders!A:A,customer_orders!G:G)</f>
        <v>2026-w08</v>
      </c>
      <c r="K883">
        <f>IFERROR(_xlfn.XLOOKUP(B883,shipments!B:B,shipments!H:H),0)</f>
        <v>6.78</v>
      </c>
      <c r="L883">
        <f t="shared" si="40"/>
        <v>0.04</v>
      </c>
      <c r="M883" t="str">
        <f>_xlfn.XLOOKUP(B883,customer_orders!A:A,customer_orders!D:D)</f>
        <v>Walmart</v>
      </c>
      <c r="N883" t="str">
        <f>_xlfn.XLOOKUP(C883,inventory!B:B,inventory!C:C)</f>
        <v>South Jordan</v>
      </c>
      <c r="O883">
        <f>IF(_xlfn.XLOOKUP(C883,products!A:A,products!E:E)="NULL",0,_xlfn.XLOOKUP(C883,products!A:A,products!E:E))</f>
        <v>20.41</v>
      </c>
      <c r="P883">
        <f t="shared" si="41"/>
        <v>153.45000000000002</v>
      </c>
      <c r="Q883" s="2" t="str">
        <f>_xlfn.XLOOKUP(I883,products!B:B,products!D:D)</f>
        <v>Electronics</v>
      </c>
    </row>
    <row r="884" spans="1:17">
      <c r="A884">
        <v>883</v>
      </c>
      <c r="B884">
        <v>1356</v>
      </c>
      <c r="C884">
        <v>27</v>
      </c>
      <c r="D884">
        <v>5</v>
      </c>
      <c r="E884">
        <v>165.39</v>
      </c>
      <c r="F884">
        <v>2.44</v>
      </c>
      <c r="G884">
        <f t="shared" si="39"/>
        <v>824.50999999999988</v>
      </c>
      <c r="H884" t="str">
        <f>_xlfn.XLOOKUP(B884,customer_orders!A:A,customer_orders!F:F)</f>
        <v>2026-02</v>
      </c>
      <c r="I884" t="str">
        <f>_xlfn.XLOOKUP(C884,products!A:A,products!B:B)</f>
        <v>SKU-0027</v>
      </c>
      <c r="J884" t="str">
        <f>_xlfn.XLOOKUP(B884,customer_orders!A:A,customer_orders!G:G)</f>
        <v>2026-w08</v>
      </c>
      <c r="K884">
        <f>IFERROR(_xlfn.XLOOKUP(B884,shipments!B:B,shipments!H:H),0)</f>
        <v>6.78</v>
      </c>
      <c r="L884">
        <f t="shared" si="40"/>
        <v>0.01</v>
      </c>
      <c r="M884" t="str">
        <f>_xlfn.XLOOKUP(B884,customer_orders!A:A,customer_orders!D:D)</f>
        <v>Walmart</v>
      </c>
      <c r="N884" t="str">
        <f>_xlfn.XLOOKUP(C884,inventory!B:B,inventory!C:C)</f>
        <v>Salt Lake City</v>
      </c>
      <c r="O884">
        <f>IF(_xlfn.XLOOKUP(C884,products!A:A,products!E:E)="NULL",0,_xlfn.XLOOKUP(C884,products!A:A,products!E:E))</f>
        <v>33.9</v>
      </c>
      <c r="P884">
        <f t="shared" si="41"/>
        <v>790.6099999999999</v>
      </c>
      <c r="Q884" s="2" t="str">
        <f>_xlfn.XLOOKUP(I884,products!B:B,products!D:D)</f>
        <v>Pet</v>
      </c>
    </row>
    <row r="885" spans="1:17">
      <c r="A885">
        <v>884</v>
      </c>
      <c r="B885">
        <v>1357</v>
      </c>
      <c r="C885">
        <v>126</v>
      </c>
      <c r="D885">
        <v>3</v>
      </c>
      <c r="E885">
        <v>32.17</v>
      </c>
      <c r="F885">
        <v>0</v>
      </c>
      <c r="G885">
        <f t="shared" si="39"/>
        <v>96.51</v>
      </c>
      <c r="H885" t="str">
        <f>_xlfn.XLOOKUP(B885,customer_orders!A:A,customer_orders!F:F)</f>
        <v>2026-02</v>
      </c>
      <c r="I885" t="str">
        <f>_xlfn.XLOOKUP(C885,products!A:A,products!B:B)</f>
        <v>SKU-0126</v>
      </c>
      <c r="J885" t="str">
        <f>_xlfn.XLOOKUP(B885,customer_orders!A:A,customer_orders!G:G)</f>
        <v>2026-w09</v>
      </c>
      <c r="K885">
        <f>IFERROR(_xlfn.XLOOKUP(B885,shipments!B:B,shipments!H:H),0)</f>
        <v>12.85</v>
      </c>
      <c r="L885">
        <f t="shared" si="40"/>
        <v>0.13</v>
      </c>
      <c r="M885" t="str">
        <f>_xlfn.XLOOKUP(B885,customer_orders!A:A,customer_orders!D:D)</f>
        <v>Walmart</v>
      </c>
      <c r="N885" t="str">
        <f>_xlfn.XLOOKUP(C885,inventory!B:B,inventory!C:C)</f>
        <v>South Jordan</v>
      </c>
      <c r="O885">
        <f>IF(_xlfn.XLOOKUP(C885,products!A:A,products!E:E)="NULL",0,_xlfn.XLOOKUP(C885,products!A:A,products!E:E))</f>
        <v>104.51</v>
      </c>
      <c r="P885">
        <f t="shared" si="41"/>
        <v>-8</v>
      </c>
      <c r="Q885" s="2" t="str">
        <f>_xlfn.XLOOKUP(I885,products!B:B,products!D:D)</f>
        <v>Office</v>
      </c>
    </row>
    <row r="886" spans="1:17">
      <c r="A886">
        <v>885</v>
      </c>
      <c r="B886">
        <v>1358</v>
      </c>
      <c r="C886">
        <v>47</v>
      </c>
      <c r="D886">
        <v>7</v>
      </c>
      <c r="E886">
        <v>100.5</v>
      </c>
      <c r="F886">
        <v>0</v>
      </c>
      <c r="G886">
        <f t="shared" si="39"/>
        <v>703.5</v>
      </c>
      <c r="H886" t="str">
        <f>_xlfn.XLOOKUP(B886,customer_orders!A:A,customer_orders!F:F)</f>
        <v>2026-02</v>
      </c>
      <c r="I886" t="str">
        <f>_xlfn.XLOOKUP(C886,products!A:A,products!B:B)</f>
        <v>SKU-0047</v>
      </c>
      <c r="J886" t="str">
        <f>_xlfn.XLOOKUP(B886,customer_orders!A:A,customer_orders!G:G)</f>
        <v>2026-w07</v>
      </c>
      <c r="K886">
        <f>IFERROR(_xlfn.XLOOKUP(B886,shipments!B:B,shipments!H:H),0)</f>
        <v>41.15</v>
      </c>
      <c r="L886">
        <f t="shared" si="40"/>
        <v>0.06</v>
      </c>
      <c r="M886" t="str">
        <f>_xlfn.XLOOKUP(B886,customer_orders!A:A,customer_orders!D:D)</f>
        <v>Walmart</v>
      </c>
      <c r="N886" t="str">
        <f>_xlfn.XLOOKUP(C886,inventory!B:B,inventory!C:C)</f>
        <v>Salt Lake City</v>
      </c>
      <c r="O886">
        <f>IF(_xlfn.XLOOKUP(C886,products!A:A,products!E:E)="NULL",0,_xlfn.XLOOKUP(C886,products!A:A,products!E:E))</f>
        <v>122.55</v>
      </c>
      <c r="P886">
        <f t="shared" si="41"/>
        <v>580.95000000000005</v>
      </c>
      <c r="Q886" s="2" t="str">
        <f>_xlfn.XLOOKUP(I886,products!B:B,products!D:D)</f>
        <v>Office</v>
      </c>
    </row>
    <row r="887" spans="1:17">
      <c r="A887">
        <v>886</v>
      </c>
      <c r="B887">
        <v>1358</v>
      </c>
      <c r="C887">
        <v>74</v>
      </c>
      <c r="D887">
        <v>6</v>
      </c>
      <c r="E887">
        <v>130.72999999999999</v>
      </c>
      <c r="F887">
        <v>0</v>
      </c>
      <c r="G887">
        <f t="shared" si="39"/>
        <v>784.37999999999988</v>
      </c>
      <c r="H887" t="str">
        <f>_xlfn.XLOOKUP(B887,customer_orders!A:A,customer_orders!F:F)</f>
        <v>2026-02</v>
      </c>
      <c r="I887" t="str">
        <f>_xlfn.XLOOKUP(C887,products!A:A,products!B:B)</f>
        <v>SKU0074</v>
      </c>
      <c r="J887" t="str">
        <f>_xlfn.XLOOKUP(B887,customer_orders!A:A,customer_orders!G:G)</f>
        <v>2026-w07</v>
      </c>
      <c r="K887">
        <f>IFERROR(_xlfn.XLOOKUP(B887,shipments!B:B,shipments!H:H),0)</f>
        <v>41.15</v>
      </c>
      <c r="L887">
        <f t="shared" si="40"/>
        <v>0.05</v>
      </c>
      <c r="M887" t="str">
        <f>_xlfn.XLOOKUP(B887,customer_orders!A:A,customer_orders!D:D)</f>
        <v>Walmart</v>
      </c>
      <c r="N887" t="str">
        <f>_xlfn.XLOOKUP(C887,inventory!B:B,inventory!C:C)</f>
        <v>Unknown</v>
      </c>
      <c r="O887">
        <f>IF(_xlfn.XLOOKUP(C887,products!A:A,products!E:E)="NULL",0,_xlfn.XLOOKUP(C887,products!A:A,products!E:E))</f>
        <v>104.59</v>
      </c>
      <c r="P887">
        <f t="shared" si="41"/>
        <v>679.78999999999985</v>
      </c>
      <c r="Q887" s="2" t="str">
        <f>_xlfn.XLOOKUP(I887,products!B:B,products!D:D)</f>
        <v>Toys</v>
      </c>
    </row>
    <row r="888" spans="1:17">
      <c r="A888">
        <v>887</v>
      </c>
      <c r="B888">
        <v>1358</v>
      </c>
      <c r="C888">
        <v>128</v>
      </c>
      <c r="D888">
        <v>6</v>
      </c>
      <c r="E888">
        <v>143.38999999999999</v>
      </c>
      <c r="F888">
        <v>0</v>
      </c>
      <c r="G888">
        <f t="shared" si="39"/>
        <v>860.33999999999992</v>
      </c>
      <c r="H888" t="str">
        <f>_xlfn.XLOOKUP(B888,customer_orders!A:A,customer_orders!F:F)</f>
        <v>2026-02</v>
      </c>
      <c r="I888" t="str">
        <f>_xlfn.XLOOKUP(C888,products!A:A,products!B:B)</f>
        <v>SKU-0128</v>
      </c>
      <c r="J888" t="str">
        <f>_xlfn.XLOOKUP(B888,customer_orders!A:A,customer_orders!G:G)</f>
        <v>2026-w07</v>
      </c>
      <c r="K888">
        <f>IFERROR(_xlfn.XLOOKUP(B888,shipments!B:B,shipments!H:H),0)</f>
        <v>41.15</v>
      </c>
      <c r="L888">
        <f t="shared" si="40"/>
        <v>0.05</v>
      </c>
      <c r="M888" t="str">
        <f>_xlfn.XLOOKUP(B888,customer_orders!A:A,customer_orders!D:D)</f>
        <v>Walmart</v>
      </c>
      <c r="N888" t="str">
        <f>_xlfn.XLOOKUP(C888,inventory!B:B,inventory!C:C)</f>
        <v>West Valley</v>
      </c>
      <c r="O888">
        <f>IF(_xlfn.XLOOKUP(C888,products!A:A,products!E:E)="NULL",0,_xlfn.XLOOKUP(C888,products!A:A,products!E:E))</f>
        <v>5.47</v>
      </c>
      <c r="P888">
        <f t="shared" si="41"/>
        <v>854.86999999999989</v>
      </c>
      <c r="Q888" s="2" t="str">
        <f>_xlfn.XLOOKUP(I888,products!B:B,products!D:D)</f>
        <v>Home</v>
      </c>
    </row>
    <row r="889" spans="1:17">
      <c r="A889">
        <v>888</v>
      </c>
      <c r="B889">
        <v>1359</v>
      </c>
      <c r="C889">
        <v>38</v>
      </c>
      <c r="D889">
        <v>2</v>
      </c>
      <c r="E889">
        <v>256.88</v>
      </c>
      <c r="F889">
        <v>0</v>
      </c>
      <c r="G889">
        <f t="shared" si="39"/>
        <v>513.76</v>
      </c>
      <c r="H889" t="str">
        <f>_xlfn.XLOOKUP(B889,customer_orders!A:A,customer_orders!F:F)</f>
        <v>2026-01</v>
      </c>
      <c r="I889" t="str">
        <f>_xlfn.XLOOKUP(C889,products!A:A,products!B:B)</f>
        <v>SKU-0038</v>
      </c>
      <c r="J889" t="str">
        <f>_xlfn.XLOOKUP(B889,customer_orders!A:A,customer_orders!G:G)</f>
        <v>2026-w05</v>
      </c>
      <c r="K889">
        <f>IFERROR(_xlfn.XLOOKUP(B889,shipments!B:B,shipments!H:H),0)</f>
        <v>20.03</v>
      </c>
      <c r="L889">
        <f t="shared" si="40"/>
        <v>0.04</v>
      </c>
      <c r="M889" t="str">
        <f>_xlfn.XLOOKUP(B889,customer_orders!A:A,customer_orders!D:D)</f>
        <v>Walmart</v>
      </c>
      <c r="N889" t="str">
        <f>_xlfn.XLOOKUP(C889,inventory!B:B,inventory!C:C)</f>
        <v>Unknown</v>
      </c>
      <c r="O889">
        <f>IF(_xlfn.XLOOKUP(C889,products!A:A,products!E:E)="NULL",0,_xlfn.XLOOKUP(C889,products!A:A,products!E:E))</f>
        <v>167.11</v>
      </c>
      <c r="P889">
        <f t="shared" si="41"/>
        <v>346.65</v>
      </c>
      <c r="Q889" s="2" t="str">
        <f>_xlfn.XLOOKUP(I889,products!B:B,products!D:D)</f>
        <v>Electronics</v>
      </c>
    </row>
    <row r="890" spans="1:17">
      <c r="A890">
        <v>889</v>
      </c>
      <c r="B890">
        <v>1359</v>
      </c>
      <c r="C890">
        <v>47</v>
      </c>
      <c r="D890">
        <v>7</v>
      </c>
      <c r="E890">
        <v>100.5</v>
      </c>
      <c r="F890">
        <v>5.94</v>
      </c>
      <c r="G890">
        <f t="shared" si="39"/>
        <v>697.56</v>
      </c>
      <c r="H890" t="str">
        <f>_xlfn.XLOOKUP(B890,customer_orders!A:A,customer_orders!F:F)</f>
        <v>2026-01</v>
      </c>
      <c r="I890" t="str">
        <f>_xlfn.XLOOKUP(C890,products!A:A,products!B:B)</f>
        <v>SKU-0047</v>
      </c>
      <c r="J890" t="str">
        <f>_xlfn.XLOOKUP(B890,customer_orders!A:A,customer_orders!G:G)</f>
        <v>2026-w05</v>
      </c>
      <c r="K890">
        <f>IFERROR(_xlfn.XLOOKUP(B890,shipments!B:B,shipments!H:H),0)</f>
        <v>20.03</v>
      </c>
      <c r="L890">
        <f t="shared" si="40"/>
        <v>0.03</v>
      </c>
      <c r="M890" t="str">
        <f>_xlfn.XLOOKUP(B890,customer_orders!A:A,customer_orders!D:D)</f>
        <v>Walmart</v>
      </c>
      <c r="N890" t="str">
        <f>_xlfn.XLOOKUP(C890,inventory!B:B,inventory!C:C)</f>
        <v>Salt Lake City</v>
      </c>
      <c r="O890">
        <f>IF(_xlfn.XLOOKUP(C890,products!A:A,products!E:E)="NULL",0,_xlfn.XLOOKUP(C890,products!A:A,products!E:E))</f>
        <v>122.55</v>
      </c>
      <c r="P890">
        <f t="shared" si="41"/>
        <v>575.01</v>
      </c>
      <c r="Q890" s="2" t="str">
        <f>_xlfn.XLOOKUP(I890,products!B:B,products!D:D)</f>
        <v>Office</v>
      </c>
    </row>
    <row r="891" spans="1:17">
      <c r="A891">
        <v>890</v>
      </c>
      <c r="B891">
        <v>1359</v>
      </c>
      <c r="C891">
        <v>109</v>
      </c>
      <c r="D891">
        <v>8</v>
      </c>
      <c r="E891">
        <v>257.52</v>
      </c>
      <c r="F891">
        <v>10.71</v>
      </c>
      <c r="G891">
        <f t="shared" si="39"/>
        <v>2049.4499999999998</v>
      </c>
      <c r="H891" t="str">
        <f>_xlfn.XLOOKUP(B891,customer_orders!A:A,customer_orders!F:F)</f>
        <v>2026-01</v>
      </c>
      <c r="I891" t="str">
        <f>_xlfn.XLOOKUP(C891,products!A:A,products!B:B)</f>
        <v>SKU-0109</v>
      </c>
      <c r="J891" t="str">
        <f>_xlfn.XLOOKUP(B891,customer_orders!A:A,customer_orders!G:G)</f>
        <v>2026-w05</v>
      </c>
      <c r="K891">
        <f>IFERROR(_xlfn.XLOOKUP(B891,shipments!B:B,shipments!H:H),0)</f>
        <v>20.03</v>
      </c>
      <c r="L891">
        <f t="shared" si="40"/>
        <v>0.01</v>
      </c>
      <c r="M891" t="str">
        <f>_xlfn.XLOOKUP(B891,customer_orders!A:A,customer_orders!D:D)</f>
        <v>Walmart</v>
      </c>
      <c r="N891" t="str">
        <f>_xlfn.XLOOKUP(C891,inventory!B:B,inventory!C:C)</f>
        <v>Draper</v>
      </c>
      <c r="O891">
        <f>IF(_xlfn.XLOOKUP(C891,products!A:A,products!E:E)="NULL",0,_xlfn.XLOOKUP(C891,products!A:A,products!E:E))</f>
        <v>10.02</v>
      </c>
      <c r="P891">
        <f t="shared" si="41"/>
        <v>2039.4299999999998</v>
      </c>
      <c r="Q891" s="2" t="str">
        <f>_xlfn.XLOOKUP(I891,products!B:B,products!D:D)</f>
        <v>Office</v>
      </c>
    </row>
    <row r="892" spans="1:17">
      <c r="A892">
        <v>891</v>
      </c>
      <c r="B892">
        <v>1360</v>
      </c>
      <c r="C892">
        <v>99</v>
      </c>
      <c r="D892">
        <v>2</v>
      </c>
      <c r="E892">
        <v>50.97</v>
      </c>
      <c r="F892">
        <v>9.1300000000000008</v>
      </c>
      <c r="G892">
        <f t="shared" si="39"/>
        <v>92.81</v>
      </c>
      <c r="H892" t="str">
        <f>_xlfn.XLOOKUP(B892,customer_orders!A:A,customer_orders!F:F)</f>
        <v>2026-05</v>
      </c>
      <c r="I892" t="str">
        <f>_xlfn.XLOOKUP(C892,products!A:A,products!B:B)</f>
        <v>SKU-0099</v>
      </c>
      <c r="J892" t="str">
        <f>_xlfn.XLOOKUP(B892,customer_orders!A:A,customer_orders!G:G)</f>
        <v>2026-w19</v>
      </c>
      <c r="K892">
        <f>IFERROR(_xlfn.XLOOKUP(B892,shipments!B:B,shipments!H:H),0)</f>
        <v>607.11</v>
      </c>
      <c r="L892">
        <f t="shared" si="40"/>
        <v>6.54</v>
      </c>
      <c r="M892" t="str">
        <f>_xlfn.XLOOKUP(B892,customer_orders!A:A,customer_orders!D:D)</f>
        <v>Amazon</v>
      </c>
      <c r="N892" t="str">
        <f>_xlfn.XLOOKUP(C892,inventory!B:B,inventory!C:C)</f>
        <v>Lehi</v>
      </c>
      <c r="O892">
        <f>IF(_xlfn.XLOOKUP(C892,products!A:A,products!E:E)="NULL",0,_xlfn.XLOOKUP(C892,products!A:A,products!E:E))</f>
        <v>31.67</v>
      </c>
      <c r="P892">
        <f t="shared" si="41"/>
        <v>61.14</v>
      </c>
      <c r="Q892" s="2" t="str">
        <f>_xlfn.XLOOKUP(I892,products!B:B,products!D:D)</f>
        <v>Electronics</v>
      </c>
    </row>
    <row r="893" spans="1:17">
      <c r="A893">
        <v>892</v>
      </c>
      <c r="B893">
        <v>1360</v>
      </c>
      <c r="C893">
        <v>135</v>
      </c>
      <c r="D893">
        <v>4</v>
      </c>
      <c r="E893">
        <v>41.03</v>
      </c>
      <c r="F893">
        <v>0</v>
      </c>
      <c r="G893">
        <f t="shared" si="39"/>
        <v>164.12</v>
      </c>
      <c r="H893" t="str">
        <f>_xlfn.XLOOKUP(B893,customer_orders!A:A,customer_orders!F:F)</f>
        <v>2026-05</v>
      </c>
      <c r="I893" t="str">
        <f>_xlfn.XLOOKUP(C893,products!A:A,products!B:B)</f>
        <v>SKU-0135</v>
      </c>
      <c r="J893" t="str">
        <f>_xlfn.XLOOKUP(B893,customer_orders!A:A,customer_orders!G:G)</f>
        <v>2026-w19</v>
      </c>
      <c r="K893">
        <f>IFERROR(_xlfn.XLOOKUP(B893,shipments!B:B,shipments!H:H),0)</f>
        <v>607.11</v>
      </c>
      <c r="L893">
        <f t="shared" si="40"/>
        <v>3.7</v>
      </c>
      <c r="M893" t="str">
        <f>_xlfn.XLOOKUP(B893,customer_orders!A:A,customer_orders!D:D)</f>
        <v>Amazon</v>
      </c>
      <c r="N893" t="str">
        <f>_xlfn.XLOOKUP(C893,inventory!B:B,inventory!C:C)</f>
        <v>Lehi</v>
      </c>
      <c r="O893">
        <f>IF(_xlfn.XLOOKUP(C893,products!A:A,products!E:E)="NULL",0,_xlfn.XLOOKUP(C893,products!A:A,products!E:E))</f>
        <v>48.81</v>
      </c>
      <c r="P893">
        <f t="shared" si="41"/>
        <v>115.31</v>
      </c>
      <c r="Q893" s="2" t="str">
        <f>_xlfn.XLOOKUP(I893,products!B:B,products!D:D)</f>
        <v>Kitchen</v>
      </c>
    </row>
    <row r="894" spans="1:17">
      <c r="A894">
        <v>893</v>
      </c>
      <c r="B894">
        <v>1361</v>
      </c>
      <c r="C894">
        <v>37</v>
      </c>
      <c r="D894">
        <v>7</v>
      </c>
      <c r="E894">
        <v>258.95</v>
      </c>
      <c r="F894">
        <v>0</v>
      </c>
      <c r="G894">
        <f t="shared" si="39"/>
        <v>1812.6499999999999</v>
      </c>
      <c r="H894" t="str">
        <f>_xlfn.XLOOKUP(B894,customer_orders!A:A,customer_orders!F:F)</f>
        <v>2026-03</v>
      </c>
      <c r="I894" t="str">
        <f>_xlfn.XLOOKUP(C894,products!A:A,products!B:B)</f>
        <v>SKU0037</v>
      </c>
      <c r="J894" t="str">
        <f>_xlfn.XLOOKUP(B894,customer_orders!A:A,customer_orders!G:G)</f>
        <v>2026-w14</v>
      </c>
      <c r="K894">
        <f>IFERROR(_xlfn.XLOOKUP(B894,shipments!B:B,shipments!H:H),0)</f>
        <v>0</v>
      </c>
      <c r="L894">
        <f t="shared" si="40"/>
        <v>0</v>
      </c>
      <c r="M894" t="str">
        <f>_xlfn.XLOOKUP(B894,customer_orders!A:A,customer_orders!D:D)</f>
        <v>Shopify</v>
      </c>
      <c r="N894" t="str">
        <f>_xlfn.XLOOKUP(C894,inventory!B:B,inventory!C:C)</f>
        <v>Unknown</v>
      </c>
      <c r="O894">
        <f>IF(_xlfn.XLOOKUP(C894,products!A:A,products!E:E)="NULL",0,_xlfn.XLOOKUP(C894,products!A:A,products!E:E))</f>
        <v>146.4</v>
      </c>
      <c r="P894">
        <f t="shared" si="41"/>
        <v>1666.2499999999998</v>
      </c>
      <c r="Q894" s="2" t="str">
        <f>_xlfn.XLOOKUP(I894,products!B:B,products!D:D)</f>
        <v>Home</v>
      </c>
    </row>
    <row r="895" spans="1:17">
      <c r="A895">
        <v>894</v>
      </c>
      <c r="B895">
        <v>1361</v>
      </c>
      <c r="C895">
        <v>15</v>
      </c>
      <c r="D895">
        <v>3</v>
      </c>
      <c r="E895">
        <v>198.21</v>
      </c>
      <c r="F895">
        <v>0</v>
      </c>
      <c r="G895">
        <f t="shared" si="39"/>
        <v>594.63</v>
      </c>
      <c r="H895" t="str">
        <f>_xlfn.XLOOKUP(B895,customer_orders!A:A,customer_orders!F:F)</f>
        <v>2026-03</v>
      </c>
      <c r="I895" t="str">
        <f>_xlfn.XLOOKUP(C895,products!A:A,products!B:B)</f>
        <v>SKU-0015</v>
      </c>
      <c r="J895" t="str">
        <f>_xlfn.XLOOKUP(B895,customer_orders!A:A,customer_orders!G:G)</f>
        <v>2026-w14</v>
      </c>
      <c r="K895">
        <f>IFERROR(_xlfn.XLOOKUP(B895,shipments!B:B,shipments!H:H),0)</f>
        <v>0</v>
      </c>
      <c r="L895">
        <f t="shared" si="40"/>
        <v>0</v>
      </c>
      <c r="M895" t="str">
        <f>_xlfn.XLOOKUP(B895,customer_orders!A:A,customer_orders!D:D)</f>
        <v>Shopify</v>
      </c>
      <c r="N895" t="str">
        <f>_xlfn.XLOOKUP(C895,inventory!B:B,inventory!C:C)</f>
        <v>South Jordan</v>
      </c>
      <c r="O895">
        <f>IF(_xlfn.XLOOKUP(C895,products!A:A,products!E:E)="NULL",0,_xlfn.XLOOKUP(C895,products!A:A,products!E:E))</f>
        <v>159.82</v>
      </c>
      <c r="P895">
        <f t="shared" si="41"/>
        <v>434.81</v>
      </c>
      <c r="Q895" s="2" t="str">
        <f>_xlfn.XLOOKUP(I895,products!B:B,products!D:D)</f>
        <v>Pet</v>
      </c>
    </row>
    <row r="896" spans="1:17">
      <c r="A896">
        <v>895</v>
      </c>
      <c r="B896">
        <v>1361</v>
      </c>
      <c r="C896">
        <v>97</v>
      </c>
      <c r="D896">
        <v>1</v>
      </c>
      <c r="E896">
        <v>168.73</v>
      </c>
      <c r="F896">
        <v>10.75</v>
      </c>
      <c r="G896">
        <f t="shared" si="39"/>
        <v>157.97999999999999</v>
      </c>
      <c r="H896" t="str">
        <f>_xlfn.XLOOKUP(B896,customer_orders!A:A,customer_orders!F:F)</f>
        <v>2026-03</v>
      </c>
      <c r="I896" t="str">
        <f>_xlfn.XLOOKUP(C896,products!A:A,products!B:B)</f>
        <v>SKU-0097</v>
      </c>
      <c r="J896" t="str">
        <f>_xlfn.XLOOKUP(B896,customer_orders!A:A,customer_orders!G:G)</f>
        <v>2026-w14</v>
      </c>
      <c r="K896">
        <f>IFERROR(_xlfn.XLOOKUP(B896,shipments!B:B,shipments!H:H),0)</f>
        <v>0</v>
      </c>
      <c r="L896">
        <f t="shared" si="40"/>
        <v>0</v>
      </c>
      <c r="M896" t="str">
        <f>_xlfn.XLOOKUP(B896,customer_orders!A:A,customer_orders!D:D)</f>
        <v>Shopify</v>
      </c>
      <c r="N896" t="str">
        <f>_xlfn.XLOOKUP(C896,inventory!B:B,inventory!C:C)</f>
        <v>West Valley</v>
      </c>
      <c r="O896">
        <f>IF(_xlfn.XLOOKUP(C896,products!A:A,products!E:E)="NULL",0,_xlfn.XLOOKUP(C896,products!A:A,products!E:E))</f>
        <v>8.39</v>
      </c>
      <c r="P896">
        <f t="shared" si="41"/>
        <v>149.58999999999997</v>
      </c>
      <c r="Q896" s="2" t="str">
        <f>_xlfn.XLOOKUP(I896,products!B:B,products!D:D)</f>
        <v>Home</v>
      </c>
    </row>
    <row r="897" spans="1:17">
      <c r="A897">
        <v>896</v>
      </c>
      <c r="B897">
        <v>1361</v>
      </c>
      <c r="C897">
        <v>96</v>
      </c>
      <c r="D897">
        <v>1</v>
      </c>
      <c r="E897">
        <v>252.1</v>
      </c>
      <c r="F897">
        <v>0</v>
      </c>
      <c r="G897">
        <f t="shared" si="39"/>
        <v>252.1</v>
      </c>
      <c r="H897" t="str">
        <f>_xlfn.XLOOKUP(B897,customer_orders!A:A,customer_orders!F:F)</f>
        <v>2026-03</v>
      </c>
      <c r="I897" t="str">
        <f>_xlfn.XLOOKUP(C897,products!A:A,products!B:B)</f>
        <v>SKU-0096</v>
      </c>
      <c r="J897" t="str">
        <f>_xlfn.XLOOKUP(B897,customer_orders!A:A,customer_orders!G:G)</f>
        <v>2026-w14</v>
      </c>
      <c r="K897">
        <f>IFERROR(_xlfn.XLOOKUP(B897,shipments!B:B,shipments!H:H),0)</f>
        <v>0</v>
      </c>
      <c r="L897">
        <f t="shared" si="40"/>
        <v>0</v>
      </c>
      <c r="M897" t="str">
        <f>_xlfn.XLOOKUP(B897,customer_orders!A:A,customer_orders!D:D)</f>
        <v>Shopify</v>
      </c>
      <c r="N897" t="str">
        <f>_xlfn.XLOOKUP(C897,inventory!B:B,inventory!C:C)</f>
        <v>Unknown</v>
      </c>
      <c r="O897">
        <f>IF(_xlfn.XLOOKUP(C897,products!A:A,products!E:E)="NULL",0,_xlfn.XLOOKUP(C897,products!A:A,products!E:E))</f>
        <v>136.6</v>
      </c>
      <c r="P897">
        <f t="shared" si="41"/>
        <v>115.5</v>
      </c>
      <c r="Q897" s="2" t="str">
        <f>_xlfn.XLOOKUP(I897,products!B:B,products!D:D)</f>
        <v>Office</v>
      </c>
    </row>
    <row r="898" spans="1:17">
      <c r="A898">
        <v>897</v>
      </c>
      <c r="B898">
        <v>1362</v>
      </c>
      <c r="C898">
        <v>21</v>
      </c>
      <c r="D898">
        <v>4</v>
      </c>
      <c r="E898">
        <v>60.07</v>
      </c>
      <c r="F898">
        <v>2.08</v>
      </c>
      <c r="G898">
        <f t="shared" si="39"/>
        <v>238.2</v>
      </c>
      <c r="H898" t="str">
        <f>_xlfn.XLOOKUP(B898,customer_orders!A:A,customer_orders!F:F)</f>
        <v>2026-02</v>
      </c>
      <c r="I898" t="str">
        <f>_xlfn.XLOOKUP(C898,products!A:A,products!B:B)</f>
        <v>SKU-0021</v>
      </c>
      <c r="J898" t="str">
        <f>_xlfn.XLOOKUP(B898,customer_orders!A:A,customer_orders!G:G)</f>
        <v>2026-w07</v>
      </c>
      <c r="K898">
        <f>IFERROR(_xlfn.XLOOKUP(B898,shipments!B:B,shipments!H:H),0)</f>
        <v>58.54</v>
      </c>
      <c r="L898">
        <f t="shared" si="40"/>
        <v>0.25</v>
      </c>
      <c r="M898" t="str">
        <f>_xlfn.XLOOKUP(B898,customer_orders!A:A,customer_orders!D:D)</f>
        <v>Shopify</v>
      </c>
      <c r="N898" t="str">
        <f>_xlfn.XLOOKUP(C898,inventory!B:B,inventory!C:C)</f>
        <v>Salt Lake City</v>
      </c>
      <c r="O898">
        <f>IF(_xlfn.XLOOKUP(C898,products!A:A,products!E:E)="NULL",0,_xlfn.XLOOKUP(C898,products!A:A,products!E:E))</f>
        <v>56.36</v>
      </c>
      <c r="P898">
        <f t="shared" si="41"/>
        <v>181.83999999999997</v>
      </c>
      <c r="Q898" s="2" t="str">
        <f>_xlfn.XLOOKUP(I898,products!B:B,products!D:D)</f>
        <v>Kitchen</v>
      </c>
    </row>
    <row r="899" spans="1:17">
      <c r="A899">
        <v>898</v>
      </c>
      <c r="B899">
        <v>1362</v>
      </c>
      <c r="C899">
        <v>39</v>
      </c>
      <c r="D899">
        <v>3</v>
      </c>
      <c r="E899">
        <v>129.30000000000001</v>
      </c>
      <c r="F899">
        <v>0</v>
      </c>
      <c r="G899">
        <f t="shared" ref="G899:G962" si="42">E899*D899-F899</f>
        <v>387.90000000000003</v>
      </c>
      <c r="H899" t="str">
        <f>_xlfn.XLOOKUP(B899,customer_orders!A:A,customer_orders!F:F)</f>
        <v>2026-02</v>
      </c>
      <c r="I899" t="str">
        <f>_xlfn.XLOOKUP(C899,products!A:A,products!B:B)</f>
        <v>SKU-0039</v>
      </c>
      <c r="J899" t="str">
        <f>_xlfn.XLOOKUP(B899,customer_orders!A:A,customer_orders!G:G)</f>
        <v>2026-w07</v>
      </c>
      <c r="K899">
        <f>IFERROR(_xlfn.XLOOKUP(B899,shipments!B:B,shipments!H:H),0)</f>
        <v>58.54</v>
      </c>
      <c r="L899">
        <f t="shared" ref="L899:L962" si="43">ROUND(K899/G899,2)</f>
        <v>0.15</v>
      </c>
      <c r="M899" t="str">
        <f>_xlfn.XLOOKUP(B899,customer_orders!A:A,customer_orders!D:D)</f>
        <v>Shopify</v>
      </c>
      <c r="N899" t="str">
        <f>_xlfn.XLOOKUP(C899,inventory!B:B,inventory!C:C)</f>
        <v>West Valley</v>
      </c>
      <c r="O899">
        <f>IF(_xlfn.XLOOKUP(C899,products!A:A,products!E:E)="NULL",0,_xlfn.XLOOKUP(C899,products!A:A,products!E:E))</f>
        <v>42.41</v>
      </c>
      <c r="P899">
        <f t="shared" ref="P899:P962" si="44">G899-O899</f>
        <v>345.49</v>
      </c>
      <c r="Q899" s="2" t="str">
        <f>_xlfn.XLOOKUP(I899,products!B:B,products!D:D)</f>
        <v>Pet</v>
      </c>
    </row>
    <row r="900" spans="1:17">
      <c r="A900">
        <v>899</v>
      </c>
      <c r="B900">
        <v>1363</v>
      </c>
      <c r="C900">
        <v>45</v>
      </c>
      <c r="D900">
        <v>3</v>
      </c>
      <c r="E900">
        <v>184.44</v>
      </c>
      <c r="F900">
        <v>1.1499999999999999</v>
      </c>
      <c r="G900">
        <f t="shared" si="42"/>
        <v>552.16999999999996</v>
      </c>
      <c r="H900" t="str">
        <f>_xlfn.XLOOKUP(B900,customer_orders!A:A,customer_orders!F:F)</f>
        <v>2026-01</v>
      </c>
      <c r="I900" t="str">
        <f>_xlfn.XLOOKUP(C900,products!A:A,products!B:B)</f>
        <v>SKU-0045</v>
      </c>
      <c r="J900" t="str">
        <f>_xlfn.XLOOKUP(B900,customer_orders!A:A,customer_orders!G:G)</f>
        <v>2026-w05</v>
      </c>
      <c r="K900">
        <f>IFERROR(_xlfn.XLOOKUP(B900,shipments!B:B,shipments!H:H),0)</f>
        <v>86.52</v>
      </c>
      <c r="L900">
        <f t="shared" si="43"/>
        <v>0.16</v>
      </c>
      <c r="M900" t="str">
        <f>_xlfn.XLOOKUP(B900,customer_orders!A:A,customer_orders!D:D)</f>
        <v>Amazon</v>
      </c>
      <c r="N900" t="str">
        <f>_xlfn.XLOOKUP(C900,inventory!B:B,inventory!C:C)</f>
        <v>Draper</v>
      </c>
      <c r="O900">
        <f>IF(_xlfn.XLOOKUP(C900,products!A:A,products!E:E)="NULL",0,_xlfn.XLOOKUP(C900,products!A:A,products!E:E))</f>
        <v>48.09</v>
      </c>
      <c r="P900">
        <f t="shared" si="44"/>
        <v>504.07999999999993</v>
      </c>
      <c r="Q900" s="2" t="str">
        <f>_xlfn.XLOOKUP(I900,products!B:B,products!D:D)</f>
        <v>Home</v>
      </c>
    </row>
    <row r="901" spans="1:17">
      <c r="A901">
        <v>900</v>
      </c>
      <c r="B901">
        <v>1364</v>
      </c>
      <c r="C901">
        <v>33</v>
      </c>
      <c r="D901">
        <v>4</v>
      </c>
      <c r="E901">
        <v>42.63</v>
      </c>
      <c r="F901">
        <v>0</v>
      </c>
      <c r="G901">
        <f t="shared" si="42"/>
        <v>170.52</v>
      </c>
      <c r="H901" t="str">
        <f>_xlfn.XLOOKUP(B901,customer_orders!A:A,customer_orders!F:F)</f>
        <v>2026-04</v>
      </c>
      <c r="I901" t="str">
        <f>_xlfn.XLOOKUP(C901,products!A:A,products!B:B)</f>
        <v>SKU-0033</v>
      </c>
      <c r="J901" t="str">
        <f>_xlfn.XLOOKUP(B901,customer_orders!A:A,customer_orders!G:G)</f>
        <v>2026-w17</v>
      </c>
      <c r="K901">
        <f>IFERROR(_xlfn.XLOOKUP(B901,shipments!B:B,shipments!H:H),0)</f>
        <v>35.31</v>
      </c>
      <c r="L901">
        <f t="shared" si="43"/>
        <v>0.21</v>
      </c>
      <c r="M901" t="str">
        <f>_xlfn.XLOOKUP(B901,customer_orders!A:A,customer_orders!D:D)</f>
        <v>Ebay</v>
      </c>
      <c r="N901" t="str">
        <f>_xlfn.XLOOKUP(C901,inventory!B:B,inventory!C:C)</f>
        <v>South Jordan</v>
      </c>
      <c r="O901">
        <f>IF(_xlfn.XLOOKUP(C901,products!A:A,products!E:E)="NULL",0,_xlfn.XLOOKUP(C901,products!A:A,products!E:E))</f>
        <v>38.32</v>
      </c>
      <c r="P901">
        <f t="shared" si="44"/>
        <v>132.20000000000002</v>
      </c>
      <c r="Q901" s="2" t="str">
        <f>_xlfn.XLOOKUP(I901,products!B:B,products!D:D)</f>
        <v>Pet</v>
      </c>
    </row>
    <row r="902" spans="1:17">
      <c r="A902">
        <v>901</v>
      </c>
      <c r="B902">
        <v>1364</v>
      </c>
      <c r="C902">
        <v>57</v>
      </c>
      <c r="D902">
        <v>7</v>
      </c>
      <c r="E902">
        <v>266.69</v>
      </c>
      <c r="F902">
        <v>0</v>
      </c>
      <c r="G902">
        <f t="shared" si="42"/>
        <v>1866.83</v>
      </c>
      <c r="H902" t="str">
        <f>_xlfn.XLOOKUP(B902,customer_orders!A:A,customer_orders!F:F)</f>
        <v>2026-04</v>
      </c>
      <c r="I902" t="str">
        <f>_xlfn.XLOOKUP(C902,products!A:A,products!B:B)</f>
        <v>SKU-0057</v>
      </c>
      <c r="J902" t="str">
        <f>_xlfn.XLOOKUP(B902,customer_orders!A:A,customer_orders!G:G)</f>
        <v>2026-w17</v>
      </c>
      <c r="K902">
        <f>IFERROR(_xlfn.XLOOKUP(B902,shipments!B:B,shipments!H:H),0)</f>
        <v>35.31</v>
      </c>
      <c r="L902">
        <f t="shared" si="43"/>
        <v>0.02</v>
      </c>
      <c r="M902" t="str">
        <f>_xlfn.XLOOKUP(B902,customer_orders!A:A,customer_orders!D:D)</f>
        <v>Ebay</v>
      </c>
      <c r="N902" t="str">
        <f>_xlfn.XLOOKUP(C902,inventory!B:B,inventory!C:C)</f>
        <v>South Jordan</v>
      </c>
      <c r="O902">
        <f>IF(_xlfn.XLOOKUP(C902,products!A:A,products!E:E)="NULL",0,_xlfn.XLOOKUP(C902,products!A:A,products!E:E))</f>
        <v>18.170000000000002</v>
      </c>
      <c r="P902">
        <f t="shared" si="44"/>
        <v>1848.6599999999999</v>
      </c>
      <c r="Q902" s="2" t="str">
        <f>_xlfn.XLOOKUP(I902,products!B:B,products!D:D)</f>
        <v>Electronics</v>
      </c>
    </row>
    <row r="903" spans="1:17">
      <c r="A903">
        <v>902</v>
      </c>
      <c r="B903">
        <v>1364</v>
      </c>
      <c r="C903">
        <v>120</v>
      </c>
      <c r="D903">
        <v>8</v>
      </c>
      <c r="E903">
        <v>229.55</v>
      </c>
      <c r="F903">
        <v>5.38</v>
      </c>
      <c r="G903">
        <f t="shared" si="42"/>
        <v>1831.02</v>
      </c>
      <c r="H903" t="str">
        <f>_xlfn.XLOOKUP(B903,customer_orders!A:A,customer_orders!F:F)</f>
        <v>2026-04</v>
      </c>
      <c r="I903" t="str">
        <f>_xlfn.XLOOKUP(C903,products!A:A,products!B:B)</f>
        <v>SKU-0120</v>
      </c>
      <c r="J903" t="str">
        <f>_xlfn.XLOOKUP(B903,customer_orders!A:A,customer_orders!G:G)</f>
        <v>2026-w17</v>
      </c>
      <c r="K903">
        <f>IFERROR(_xlfn.XLOOKUP(B903,shipments!B:B,shipments!H:H),0)</f>
        <v>35.31</v>
      </c>
      <c r="L903">
        <f t="shared" si="43"/>
        <v>0.02</v>
      </c>
      <c r="M903" t="str">
        <f>_xlfn.XLOOKUP(B903,customer_orders!A:A,customer_orders!D:D)</f>
        <v>Ebay</v>
      </c>
      <c r="N903" t="str">
        <f>_xlfn.XLOOKUP(C903,inventory!B:B,inventory!C:C)</f>
        <v>Draper</v>
      </c>
      <c r="O903">
        <f>IF(_xlfn.XLOOKUP(C903,products!A:A,products!E:E)="NULL",0,_xlfn.XLOOKUP(C903,products!A:A,products!E:E))</f>
        <v>116.63</v>
      </c>
      <c r="P903">
        <f t="shared" si="44"/>
        <v>1714.3899999999999</v>
      </c>
      <c r="Q903" s="2" t="str">
        <f>_xlfn.XLOOKUP(I903,products!B:B,products!D:D)</f>
        <v>Sports</v>
      </c>
    </row>
    <row r="904" spans="1:17">
      <c r="A904">
        <v>903</v>
      </c>
      <c r="B904">
        <v>1364</v>
      </c>
      <c r="C904">
        <v>98</v>
      </c>
      <c r="D904">
        <v>3</v>
      </c>
      <c r="E904">
        <v>285.64</v>
      </c>
      <c r="F904">
        <v>0</v>
      </c>
      <c r="G904">
        <f t="shared" si="42"/>
        <v>856.92</v>
      </c>
      <c r="H904" t="str">
        <f>_xlfn.XLOOKUP(B904,customer_orders!A:A,customer_orders!F:F)</f>
        <v>2026-04</v>
      </c>
      <c r="I904" t="str">
        <f>_xlfn.XLOOKUP(C904,products!A:A,products!B:B)</f>
        <v>SKU-0098</v>
      </c>
      <c r="J904" t="str">
        <f>_xlfn.XLOOKUP(B904,customer_orders!A:A,customer_orders!G:G)</f>
        <v>2026-w17</v>
      </c>
      <c r="K904">
        <f>IFERROR(_xlfn.XLOOKUP(B904,shipments!B:B,shipments!H:H),0)</f>
        <v>35.31</v>
      </c>
      <c r="L904">
        <f t="shared" si="43"/>
        <v>0.04</v>
      </c>
      <c r="M904" t="str">
        <f>_xlfn.XLOOKUP(B904,customer_orders!A:A,customer_orders!D:D)</f>
        <v>Ebay</v>
      </c>
      <c r="N904" t="str">
        <f>_xlfn.XLOOKUP(C904,inventory!B:B,inventory!C:C)</f>
        <v>South Jordan</v>
      </c>
      <c r="O904">
        <f>IF(_xlfn.XLOOKUP(C904,products!A:A,products!E:E)="NULL",0,_xlfn.XLOOKUP(C904,products!A:A,products!E:E))</f>
        <v>136.99</v>
      </c>
      <c r="P904">
        <f t="shared" si="44"/>
        <v>719.93</v>
      </c>
      <c r="Q904" s="2" t="str">
        <f>_xlfn.XLOOKUP(I904,products!B:B,products!D:D)</f>
        <v>Home</v>
      </c>
    </row>
    <row r="905" spans="1:17">
      <c r="A905">
        <v>904</v>
      </c>
      <c r="B905">
        <v>1365</v>
      </c>
      <c r="C905">
        <v>17</v>
      </c>
      <c r="D905">
        <v>4</v>
      </c>
      <c r="E905">
        <v>299.3</v>
      </c>
      <c r="F905">
        <v>0</v>
      </c>
      <c r="G905">
        <f t="shared" si="42"/>
        <v>1197.2</v>
      </c>
      <c r="H905" t="str">
        <f>_xlfn.XLOOKUP(B905,customer_orders!A:A,customer_orders!F:F)</f>
        <v>2026-03</v>
      </c>
      <c r="I905" t="str">
        <f>_xlfn.XLOOKUP(C905,products!A:A,products!B:B)</f>
        <v>SKU-0017</v>
      </c>
      <c r="J905" t="str">
        <f>_xlfn.XLOOKUP(B905,customer_orders!A:A,customer_orders!G:G)</f>
        <v>2026-w10</v>
      </c>
      <c r="K905">
        <f>IFERROR(_xlfn.XLOOKUP(B905,shipments!B:B,shipments!H:H),0)</f>
        <v>31.88</v>
      </c>
      <c r="L905">
        <f t="shared" si="43"/>
        <v>0.03</v>
      </c>
      <c r="M905" t="str">
        <f>_xlfn.XLOOKUP(B905,customer_orders!A:A,customer_orders!D:D)</f>
        <v>Shopify</v>
      </c>
      <c r="N905" t="str">
        <f>_xlfn.XLOOKUP(C905,inventory!B:B,inventory!C:C)</f>
        <v>West Valley</v>
      </c>
      <c r="O905">
        <f>IF(_xlfn.XLOOKUP(C905,products!A:A,products!E:E)="NULL",0,_xlfn.XLOOKUP(C905,products!A:A,products!E:E))</f>
        <v>43.38</v>
      </c>
      <c r="P905">
        <f t="shared" si="44"/>
        <v>1153.82</v>
      </c>
      <c r="Q905" s="2" t="str">
        <f>_xlfn.XLOOKUP(I905,products!B:B,products!D:D)</f>
        <v>Office</v>
      </c>
    </row>
    <row r="906" spans="1:17">
      <c r="A906">
        <v>905</v>
      </c>
      <c r="B906">
        <v>1366</v>
      </c>
      <c r="C906">
        <v>80</v>
      </c>
      <c r="D906">
        <v>1</v>
      </c>
      <c r="E906">
        <v>84.54</v>
      </c>
      <c r="F906">
        <v>0</v>
      </c>
      <c r="G906">
        <f t="shared" si="42"/>
        <v>84.54</v>
      </c>
      <c r="H906" t="str">
        <f>_xlfn.XLOOKUP(B906,customer_orders!A:A,customer_orders!F:F)</f>
        <v>2026-05</v>
      </c>
      <c r="I906" t="str">
        <f>_xlfn.XLOOKUP(C906,products!A:A,products!B:B)</f>
        <v>SKU-0080</v>
      </c>
      <c r="J906" t="str">
        <f>_xlfn.XLOOKUP(B906,customer_orders!A:A,customer_orders!G:G)</f>
        <v>2026-w19</v>
      </c>
      <c r="K906">
        <f>IFERROR(_xlfn.XLOOKUP(B906,shipments!B:B,shipments!H:H),0)</f>
        <v>40.479999999999997</v>
      </c>
      <c r="L906">
        <f t="shared" si="43"/>
        <v>0.48</v>
      </c>
      <c r="M906" t="str">
        <f>_xlfn.XLOOKUP(B906,customer_orders!A:A,customer_orders!D:D)</f>
        <v>Amazon</v>
      </c>
      <c r="N906" t="str">
        <f>_xlfn.XLOOKUP(C906,inventory!B:B,inventory!C:C)</f>
        <v>Salt Lake City</v>
      </c>
      <c r="O906">
        <f>IF(_xlfn.XLOOKUP(C906,products!A:A,products!E:E)="NULL",0,_xlfn.XLOOKUP(C906,products!A:A,products!E:E))</f>
        <v>91.52</v>
      </c>
      <c r="P906">
        <f t="shared" si="44"/>
        <v>-6.9799999999999898</v>
      </c>
      <c r="Q906" s="2" t="str">
        <f>_xlfn.XLOOKUP(I906,products!B:B,products!D:D)</f>
        <v>Beauty</v>
      </c>
    </row>
    <row r="907" spans="1:17">
      <c r="A907">
        <v>906</v>
      </c>
      <c r="B907">
        <v>1367</v>
      </c>
      <c r="C907">
        <v>129</v>
      </c>
      <c r="D907">
        <v>3</v>
      </c>
      <c r="E907">
        <v>95.57</v>
      </c>
      <c r="F907">
        <v>1.33</v>
      </c>
      <c r="G907">
        <f t="shared" si="42"/>
        <v>285.38</v>
      </c>
      <c r="H907" t="str">
        <f>_xlfn.XLOOKUP(B907,customer_orders!A:A,customer_orders!F:F)</f>
        <v>2026-03</v>
      </c>
      <c r="I907" t="str">
        <f>_xlfn.XLOOKUP(C907,products!A:A,products!B:B)</f>
        <v>SKU-0129</v>
      </c>
      <c r="J907" t="str">
        <f>_xlfn.XLOOKUP(B907,customer_orders!A:A,customer_orders!G:G)</f>
        <v>2026-w13</v>
      </c>
      <c r="K907">
        <f>IFERROR(_xlfn.XLOOKUP(B907,shipments!B:B,shipments!H:H),0)</f>
        <v>37.65</v>
      </c>
      <c r="L907">
        <f t="shared" si="43"/>
        <v>0.13</v>
      </c>
      <c r="M907" t="str">
        <f>_xlfn.XLOOKUP(B907,customer_orders!A:A,customer_orders!D:D)</f>
        <v>Shopify</v>
      </c>
      <c r="N907" t="str">
        <f>_xlfn.XLOOKUP(C907,inventory!B:B,inventory!C:C)</f>
        <v>South Jordan</v>
      </c>
      <c r="O907">
        <f>IF(_xlfn.XLOOKUP(C907,products!A:A,products!E:E)="NULL",0,_xlfn.XLOOKUP(C907,products!A:A,products!E:E))</f>
        <v>55.42</v>
      </c>
      <c r="P907">
        <f t="shared" si="44"/>
        <v>229.95999999999998</v>
      </c>
      <c r="Q907" s="2" t="str">
        <f>_xlfn.XLOOKUP(I907,products!B:B,products!D:D)</f>
        <v>Electronics</v>
      </c>
    </row>
    <row r="908" spans="1:17">
      <c r="A908">
        <v>907</v>
      </c>
      <c r="B908">
        <v>1368</v>
      </c>
      <c r="C908">
        <v>42</v>
      </c>
      <c r="D908">
        <v>6</v>
      </c>
      <c r="E908">
        <v>169.53</v>
      </c>
      <c r="F908">
        <v>0</v>
      </c>
      <c r="G908">
        <f t="shared" si="42"/>
        <v>1017.1800000000001</v>
      </c>
      <c r="H908" t="str">
        <f>_xlfn.XLOOKUP(B908,customer_orders!A:A,customer_orders!F:F)</f>
        <v>2026-03</v>
      </c>
      <c r="I908" t="str">
        <f>_xlfn.XLOOKUP(C908,products!A:A,products!B:B)</f>
        <v>SKU-0042</v>
      </c>
      <c r="J908" t="str">
        <f>_xlfn.XLOOKUP(B908,customer_orders!A:A,customer_orders!G:G)</f>
        <v>2026-w10</v>
      </c>
      <c r="K908">
        <f>IFERROR(_xlfn.XLOOKUP(B908,shipments!B:B,shipments!H:H),0)</f>
        <v>31.74</v>
      </c>
      <c r="L908">
        <f t="shared" si="43"/>
        <v>0.03</v>
      </c>
      <c r="M908" t="str">
        <f>_xlfn.XLOOKUP(B908,customer_orders!A:A,customer_orders!D:D)</f>
        <v>Shopify</v>
      </c>
      <c r="N908" t="str">
        <f>_xlfn.XLOOKUP(C908,inventory!B:B,inventory!C:C)</f>
        <v>South Jordan</v>
      </c>
      <c r="O908">
        <f>IF(_xlfn.XLOOKUP(C908,products!A:A,products!E:E)="NULL",0,_xlfn.XLOOKUP(C908,products!A:A,products!E:E))</f>
        <v>106.36</v>
      </c>
      <c r="P908">
        <f t="shared" si="44"/>
        <v>910.82</v>
      </c>
      <c r="Q908" s="2" t="str">
        <f>_xlfn.XLOOKUP(I908,products!B:B,products!D:D)</f>
        <v>Beauty</v>
      </c>
    </row>
    <row r="909" spans="1:17">
      <c r="A909">
        <v>908</v>
      </c>
      <c r="B909">
        <v>1368</v>
      </c>
      <c r="C909">
        <v>87</v>
      </c>
      <c r="D909">
        <v>5</v>
      </c>
      <c r="E909">
        <v>124.17</v>
      </c>
      <c r="F909">
        <v>6.04</v>
      </c>
      <c r="G909">
        <f t="shared" si="42"/>
        <v>614.81000000000006</v>
      </c>
      <c r="H909" t="str">
        <f>_xlfn.XLOOKUP(B909,customer_orders!A:A,customer_orders!F:F)</f>
        <v>2026-03</v>
      </c>
      <c r="I909" t="str">
        <f>_xlfn.XLOOKUP(C909,products!A:A,products!B:B)</f>
        <v>SKU-0087</v>
      </c>
      <c r="J909" t="str">
        <f>_xlfn.XLOOKUP(B909,customer_orders!A:A,customer_orders!G:G)</f>
        <v>2026-w10</v>
      </c>
      <c r="K909">
        <f>IFERROR(_xlfn.XLOOKUP(B909,shipments!B:B,shipments!H:H),0)</f>
        <v>31.74</v>
      </c>
      <c r="L909">
        <f t="shared" si="43"/>
        <v>0.05</v>
      </c>
      <c r="M909" t="str">
        <f>_xlfn.XLOOKUP(B909,customer_orders!A:A,customer_orders!D:D)</f>
        <v>Shopify</v>
      </c>
      <c r="N909" t="str">
        <f>_xlfn.XLOOKUP(C909,inventory!B:B,inventory!C:C)</f>
        <v>Unknown</v>
      </c>
      <c r="O909">
        <f>IF(_xlfn.XLOOKUP(C909,products!A:A,products!E:E)="NULL",0,_xlfn.XLOOKUP(C909,products!A:A,products!E:E))</f>
        <v>31.4</v>
      </c>
      <c r="P909">
        <f t="shared" si="44"/>
        <v>583.41000000000008</v>
      </c>
      <c r="Q909" s="2" t="str">
        <f>_xlfn.XLOOKUP(I909,products!B:B,products!D:D)</f>
        <v>Home</v>
      </c>
    </row>
    <row r="910" spans="1:17">
      <c r="A910">
        <v>909</v>
      </c>
      <c r="B910">
        <v>1369</v>
      </c>
      <c r="C910">
        <v>141</v>
      </c>
      <c r="D910">
        <v>2</v>
      </c>
      <c r="E910">
        <v>15.33</v>
      </c>
      <c r="F910">
        <v>7.98</v>
      </c>
      <c r="G910">
        <f t="shared" si="42"/>
        <v>22.68</v>
      </c>
      <c r="H910" t="str">
        <f>_xlfn.XLOOKUP(B910,customer_orders!A:A,customer_orders!F:F)</f>
        <v>2026-05</v>
      </c>
      <c r="I910" t="str">
        <f>_xlfn.XLOOKUP(C910,products!A:A,products!B:B)</f>
        <v>SKU-0141</v>
      </c>
      <c r="J910" t="str">
        <f>_xlfn.XLOOKUP(B910,customer_orders!A:A,customer_orders!G:G)</f>
        <v>2026-w19</v>
      </c>
      <c r="K910">
        <f>IFERROR(_xlfn.XLOOKUP(B910,shipments!B:B,shipments!H:H),0)</f>
        <v>86.44</v>
      </c>
      <c r="L910">
        <f t="shared" si="43"/>
        <v>3.81</v>
      </c>
      <c r="M910" t="str">
        <f>_xlfn.XLOOKUP(B910,customer_orders!A:A,customer_orders!D:D)</f>
        <v>Amazon</v>
      </c>
      <c r="N910" t="str">
        <f>_xlfn.XLOOKUP(C910,inventory!B:B,inventory!C:C)</f>
        <v>Unknown</v>
      </c>
      <c r="O910">
        <f>IF(_xlfn.XLOOKUP(C910,products!A:A,products!E:E)="NULL",0,_xlfn.XLOOKUP(C910,products!A:A,products!E:E))</f>
        <v>149.36000000000001</v>
      </c>
      <c r="P910">
        <f t="shared" si="44"/>
        <v>-126.68</v>
      </c>
      <c r="Q910" s="2" t="str">
        <f>_xlfn.XLOOKUP(I910,products!B:B,products!D:D)</f>
        <v>Office</v>
      </c>
    </row>
    <row r="911" spans="1:17">
      <c r="A911">
        <v>910</v>
      </c>
      <c r="B911">
        <v>1369</v>
      </c>
      <c r="C911">
        <v>81</v>
      </c>
      <c r="D911">
        <v>3</v>
      </c>
      <c r="E911">
        <v>244.17</v>
      </c>
      <c r="F911">
        <v>0</v>
      </c>
      <c r="G911">
        <f t="shared" si="42"/>
        <v>732.51</v>
      </c>
      <c r="H911" t="str">
        <f>_xlfn.XLOOKUP(B911,customer_orders!A:A,customer_orders!F:F)</f>
        <v>2026-05</v>
      </c>
      <c r="I911" t="str">
        <f>_xlfn.XLOOKUP(C911,products!A:A,products!B:B)</f>
        <v>SKU-0081</v>
      </c>
      <c r="J911" t="str">
        <f>_xlfn.XLOOKUP(B911,customer_orders!A:A,customer_orders!G:G)</f>
        <v>2026-w19</v>
      </c>
      <c r="K911">
        <f>IFERROR(_xlfn.XLOOKUP(B911,shipments!B:B,shipments!H:H),0)</f>
        <v>86.44</v>
      </c>
      <c r="L911">
        <f t="shared" si="43"/>
        <v>0.12</v>
      </c>
      <c r="M911" t="str">
        <f>_xlfn.XLOOKUP(B911,customer_orders!A:A,customer_orders!D:D)</f>
        <v>Amazon</v>
      </c>
      <c r="N911" t="str">
        <f>_xlfn.XLOOKUP(C911,inventory!B:B,inventory!C:C)</f>
        <v>Lehi</v>
      </c>
      <c r="O911">
        <f>IF(_xlfn.XLOOKUP(C911,products!A:A,products!E:E)="NULL",0,_xlfn.XLOOKUP(C911,products!A:A,products!E:E))</f>
        <v>43.3</v>
      </c>
      <c r="P911">
        <f t="shared" si="44"/>
        <v>689.21</v>
      </c>
      <c r="Q911" s="2" t="str">
        <f>_xlfn.XLOOKUP(I911,products!B:B,products!D:D)</f>
        <v>Home</v>
      </c>
    </row>
    <row r="912" spans="1:17">
      <c r="A912">
        <v>911</v>
      </c>
      <c r="B912">
        <v>1369</v>
      </c>
      <c r="C912">
        <v>18</v>
      </c>
      <c r="D912">
        <v>5</v>
      </c>
      <c r="E912">
        <v>60.59</v>
      </c>
      <c r="F912">
        <v>0</v>
      </c>
      <c r="G912">
        <f t="shared" si="42"/>
        <v>302.95000000000005</v>
      </c>
      <c r="H912" t="str">
        <f>_xlfn.XLOOKUP(B912,customer_orders!A:A,customer_orders!F:F)</f>
        <v>2026-05</v>
      </c>
      <c r="I912" t="str">
        <f>_xlfn.XLOOKUP(C912,products!A:A,products!B:B)</f>
        <v>SKU-0018</v>
      </c>
      <c r="J912" t="str">
        <f>_xlfn.XLOOKUP(B912,customer_orders!A:A,customer_orders!G:G)</f>
        <v>2026-w19</v>
      </c>
      <c r="K912">
        <f>IFERROR(_xlfn.XLOOKUP(B912,shipments!B:B,shipments!H:H),0)</f>
        <v>86.44</v>
      </c>
      <c r="L912">
        <f t="shared" si="43"/>
        <v>0.28999999999999998</v>
      </c>
      <c r="M912" t="str">
        <f>_xlfn.XLOOKUP(B912,customer_orders!A:A,customer_orders!D:D)</f>
        <v>Amazon</v>
      </c>
      <c r="N912" t="str">
        <f>_xlfn.XLOOKUP(C912,inventory!B:B,inventory!C:C)</f>
        <v>Unknown</v>
      </c>
      <c r="O912">
        <f>IF(_xlfn.XLOOKUP(C912,products!A:A,products!E:E)="NULL",0,_xlfn.XLOOKUP(C912,products!A:A,products!E:E))</f>
        <v>31.75</v>
      </c>
      <c r="P912">
        <f t="shared" si="44"/>
        <v>271.20000000000005</v>
      </c>
      <c r="Q912" s="2" t="str">
        <f>_xlfn.XLOOKUP(I912,products!B:B,products!D:D)</f>
        <v>Electronics</v>
      </c>
    </row>
    <row r="913" spans="1:17">
      <c r="A913">
        <v>912</v>
      </c>
      <c r="B913">
        <v>1370</v>
      </c>
      <c r="C913">
        <v>94</v>
      </c>
      <c r="D913">
        <v>5</v>
      </c>
      <c r="E913">
        <v>53.67</v>
      </c>
      <c r="F913">
        <v>0</v>
      </c>
      <c r="G913">
        <f t="shared" si="42"/>
        <v>268.35000000000002</v>
      </c>
      <c r="H913" t="str">
        <f>_xlfn.XLOOKUP(B913,customer_orders!A:A,customer_orders!F:F)</f>
        <v>2026-02</v>
      </c>
      <c r="I913" t="str">
        <f>_xlfn.XLOOKUP(C913,products!A:A,products!B:B)</f>
        <v>SKU-0094</v>
      </c>
      <c r="J913" t="str">
        <f>_xlfn.XLOOKUP(B913,customer_orders!A:A,customer_orders!G:G)</f>
        <v>2026-w06</v>
      </c>
      <c r="K913">
        <f>IFERROR(_xlfn.XLOOKUP(B913,shipments!B:B,shipments!H:H),0)</f>
        <v>102</v>
      </c>
      <c r="L913">
        <f t="shared" si="43"/>
        <v>0.38</v>
      </c>
      <c r="M913" t="str">
        <f>_xlfn.XLOOKUP(B913,customer_orders!A:A,customer_orders!D:D)</f>
        <v>Amazon</v>
      </c>
      <c r="N913" t="str">
        <f>_xlfn.XLOOKUP(C913,inventory!B:B,inventory!C:C)</f>
        <v>Draper</v>
      </c>
      <c r="O913">
        <f>IF(_xlfn.XLOOKUP(C913,products!A:A,products!E:E)="NULL",0,_xlfn.XLOOKUP(C913,products!A:A,products!E:E))</f>
        <v>117.48</v>
      </c>
      <c r="P913">
        <f t="shared" si="44"/>
        <v>150.87</v>
      </c>
      <c r="Q913" s="2" t="str">
        <f>_xlfn.XLOOKUP(I913,products!B:B,products!D:D)</f>
        <v>Electronics</v>
      </c>
    </row>
    <row r="914" spans="1:17">
      <c r="A914">
        <v>913</v>
      </c>
      <c r="B914">
        <v>1371</v>
      </c>
      <c r="C914">
        <v>15</v>
      </c>
      <c r="D914">
        <v>4</v>
      </c>
      <c r="E914">
        <v>198.21</v>
      </c>
      <c r="F914">
        <v>0</v>
      </c>
      <c r="G914">
        <f t="shared" si="42"/>
        <v>792.84</v>
      </c>
      <c r="H914" t="str">
        <f>_xlfn.XLOOKUP(B914,customer_orders!A:A,customer_orders!F:F)</f>
        <v>2026-05</v>
      </c>
      <c r="I914" t="str">
        <f>_xlfn.XLOOKUP(C914,products!A:A,products!B:B)</f>
        <v>SKU-0015</v>
      </c>
      <c r="J914" t="str">
        <f>_xlfn.XLOOKUP(B914,customer_orders!A:A,customer_orders!G:G)</f>
        <v>2026-w20</v>
      </c>
      <c r="K914">
        <f>IFERROR(_xlfn.XLOOKUP(B914,shipments!B:B,shipments!H:H),0)</f>
        <v>47.6</v>
      </c>
      <c r="L914">
        <f t="shared" si="43"/>
        <v>0.06</v>
      </c>
      <c r="M914" t="str">
        <f>_xlfn.XLOOKUP(B914,customer_orders!A:A,customer_orders!D:D)</f>
        <v>Ebay</v>
      </c>
      <c r="N914" t="str">
        <f>_xlfn.XLOOKUP(C914,inventory!B:B,inventory!C:C)</f>
        <v>South Jordan</v>
      </c>
      <c r="O914">
        <f>IF(_xlfn.XLOOKUP(C914,products!A:A,products!E:E)="NULL",0,_xlfn.XLOOKUP(C914,products!A:A,products!E:E))</f>
        <v>159.82</v>
      </c>
      <c r="P914">
        <f t="shared" si="44"/>
        <v>633.02</v>
      </c>
      <c r="Q914" s="2" t="str">
        <f>_xlfn.XLOOKUP(I914,products!B:B,products!D:D)</f>
        <v>Pet</v>
      </c>
    </row>
    <row r="915" spans="1:17">
      <c r="A915">
        <v>914</v>
      </c>
      <c r="B915">
        <v>1372</v>
      </c>
      <c r="C915">
        <v>120</v>
      </c>
      <c r="D915">
        <v>8</v>
      </c>
      <c r="E915">
        <v>229.55</v>
      </c>
      <c r="F915">
        <v>0</v>
      </c>
      <c r="G915">
        <f t="shared" si="42"/>
        <v>1836.4</v>
      </c>
      <c r="H915" t="str">
        <f>_xlfn.XLOOKUP(B915,customer_orders!A:A,customer_orders!F:F)</f>
        <v>2026-04</v>
      </c>
      <c r="I915" t="str">
        <f>_xlfn.XLOOKUP(C915,products!A:A,products!B:B)</f>
        <v>SKU-0120</v>
      </c>
      <c r="J915" t="str">
        <f>_xlfn.XLOOKUP(B915,customer_orders!A:A,customer_orders!G:G)</f>
        <v>2026-w18</v>
      </c>
      <c r="K915">
        <f>IFERROR(_xlfn.XLOOKUP(B915,shipments!B:B,shipments!H:H),0)</f>
        <v>8.44</v>
      </c>
      <c r="L915">
        <f t="shared" si="43"/>
        <v>0</v>
      </c>
      <c r="M915" t="str">
        <f>_xlfn.XLOOKUP(B915,customer_orders!A:A,customer_orders!D:D)</f>
        <v>Amazon</v>
      </c>
      <c r="N915" t="str">
        <f>_xlfn.XLOOKUP(C915,inventory!B:B,inventory!C:C)</f>
        <v>Draper</v>
      </c>
      <c r="O915">
        <f>IF(_xlfn.XLOOKUP(C915,products!A:A,products!E:E)="NULL",0,_xlfn.XLOOKUP(C915,products!A:A,products!E:E))</f>
        <v>116.63</v>
      </c>
      <c r="P915">
        <f t="shared" si="44"/>
        <v>1719.77</v>
      </c>
      <c r="Q915" s="2" t="str">
        <f>_xlfn.XLOOKUP(I915,products!B:B,products!D:D)</f>
        <v>Sports</v>
      </c>
    </row>
    <row r="916" spans="1:17">
      <c r="A916">
        <v>915</v>
      </c>
      <c r="B916">
        <v>1372</v>
      </c>
      <c r="C916">
        <v>28</v>
      </c>
      <c r="D916">
        <v>7</v>
      </c>
      <c r="E916">
        <v>206.43</v>
      </c>
      <c r="F916">
        <v>0</v>
      </c>
      <c r="G916">
        <f t="shared" si="42"/>
        <v>1445.01</v>
      </c>
      <c r="H916" t="str">
        <f>_xlfn.XLOOKUP(B916,customer_orders!A:A,customer_orders!F:F)</f>
        <v>2026-04</v>
      </c>
      <c r="I916" t="str">
        <f>_xlfn.XLOOKUP(C916,products!A:A,products!B:B)</f>
        <v>SKU-0028</v>
      </c>
      <c r="J916" t="str">
        <f>_xlfn.XLOOKUP(B916,customer_orders!A:A,customer_orders!G:G)</f>
        <v>2026-w18</v>
      </c>
      <c r="K916">
        <f>IFERROR(_xlfn.XLOOKUP(B916,shipments!B:B,shipments!H:H),0)</f>
        <v>8.44</v>
      </c>
      <c r="L916">
        <f t="shared" si="43"/>
        <v>0.01</v>
      </c>
      <c r="M916" t="str">
        <f>_xlfn.XLOOKUP(B916,customer_orders!A:A,customer_orders!D:D)</f>
        <v>Amazon</v>
      </c>
      <c r="N916" t="str">
        <f>_xlfn.XLOOKUP(C916,inventory!B:B,inventory!C:C)</f>
        <v>West Valley</v>
      </c>
      <c r="O916">
        <f>IF(_xlfn.XLOOKUP(C916,products!A:A,products!E:E)="NULL",0,_xlfn.XLOOKUP(C916,products!A:A,products!E:E))</f>
        <v>74.819999999999993</v>
      </c>
      <c r="P916">
        <f t="shared" si="44"/>
        <v>1370.19</v>
      </c>
      <c r="Q916" s="2" t="str">
        <f>_xlfn.XLOOKUP(I916,products!B:B,products!D:D)</f>
        <v>Beauty</v>
      </c>
    </row>
    <row r="917" spans="1:17">
      <c r="A917">
        <v>916</v>
      </c>
      <c r="B917">
        <v>1372</v>
      </c>
      <c r="C917">
        <v>103</v>
      </c>
      <c r="D917">
        <v>6</v>
      </c>
      <c r="E917">
        <v>241.92</v>
      </c>
      <c r="F917">
        <v>0</v>
      </c>
      <c r="G917">
        <f t="shared" si="42"/>
        <v>1451.52</v>
      </c>
      <c r="H917" t="str">
        <f>_xlfn.XLOOKUP(B917,customer_orders!A:A,customer_orders!F:F)</f>
        <v>2026-04</v>
      </c>
      <c r="I917" t="str">
        <f>_xlfn.XLOOKUP(C917,products!A:A,products!B:B)</f>
        <v>SKU-0103</v>
      </c>
      <c r="J917" t="str">
        <f>_xlfn.XLOOKUP(B917,customer_orders!A:A,customer_orders!G:G)</f>
        <v>2026-w18</v>
      </c>
      <c r="K917">
        <f>IFERROR(_xlfn.XLOOKUP(B917,shipments!B:B,shipments!H:H),0)</f>
        <v>8.44</v>
      </c>
      <c r="L917">
        <f t="shared" si="43"/>
        <v>0.01</v>
      </c>
      <c r="M917" t="str">
        <f>_xlfn.XLOOKUP(B917,customer_orders!A:A,customer_orders!D:D)</f>
        <v>Amazon</v>
      </c>
      <c r="N917" t="str">
        <f>_xlfn.XLOOKUP(C917,inventory!B:B,inventory!C:C)</f>
        <v>Draper</v>
      </c>
      <c r="O917">
        <f>IF(_xlfn.XLOOKUP(C917,products!A:A,products!E:E)="NULL",0,_xlfn.XLOOKUP(C917,products!A:A,products!E:E))</f>
        <v>145.97</v>
      </c>
      <c r="P917">
        <f t="shared" si="44"/>
        <v>1305.55</v>
      </c>
      <c r="Q917" s="2" t="str">
        <f>_xlfn.XLOOKUP(I917,products!B:B,products!D:D)</f>
        <v>Sports</v>
      </c>
    </row>
    <row r="918" spans="1:17">
      <c r="A918">
        <v>917</v>
      </c>
      <c r="B918">
        <v>1372</v>
      </c>
      <c r="C918">
        <v>125</v>
      </c>
      <c r="D918">
        <v>4</v>
      </c>
      <c r="E918">
        <v>273.92</v>
      </c>
      <c r="F918">
        <v>10.83</v>
      </c>
      <c r="G918">
        <f t="shared" si="42"/>
        <v>1084.8500000000001</v>
      </c>
      <c r="H918" t="str">
        <f>_xlfn.XLOOKUP(B918,customer_orders!A:A,customer_orders!F:F)</f>
        <v>2026-04</v>
      </c>
      <c r="I918" t="str">
        <f>_xlfn.XLOOKUP(C918,products!A:A,products!B:B)</f>
        <v>SKU-0125</v>
      </c>
      <c r="J918" t="str">
        <f>_xlfn.XLOOKUP(B918,customer_orders!A:A,customer_orders!G:G)</f>
        <v>2026-w18</v>
      </c>
      <c r="K918">
        <f>IFERROR(_xlfn.XLOOKUP(B918,shipments!B:B,shipments!H:H),0)</f>
        <v>8.44</v>
      </c>
      <c r="L918">
        <f t="shared" si="43"/>
        <v>0.01</v>
      </c>
      <c r="M918" t="str">
        <f>_xlfn.XLOOKUP(B918,customer_orders!A:A,customer_orders!D:D)</f>
        <v>Amazon</v>
      </c>
      <c r="N918" t="str">
        <f>_xlfn.XLOOKUP(C918,inventory!B:B,inventory!C:C)</f>
        <v>Draper</v>
      </c>
      <c r="O918">
        <f>IF(_xlfn.XLOOKUP(C918,products!A:A,products!E:E)="NULL",0,_xlfn.XLOOKUP(C918,products!A:A,products!E:E))</f>
        <v>71.569999999999993</v>
      </c>
      <c r="P918">
        <f t="shared" si="44"/>
        <v>1013.2800000000002</v>
      </c>
      <c r="Q918" s="2" t="str">
        <f>_xlfn.XLOOKUP(I918,products!B:B,products!D:D)</f>
        <v>Beauty</v>
      </c>
    </row>
    <row r="919" spans="1:17">
      <c r="A919">
        <v>918</v>
      </c>
      <c r="B919">
        <v>1373</v>
      </c>
      <c r="C919">
        <v>16</v>
      </c>
      <c r="D919">
        <v>6</v>
      </c>
      <c r="E919">
        <v>168.61</v>
      </c>
      <c r="F919">
        <v>12.05</v>
      </c>
      <c r="G919">
        <f t="shared" si="42"/>
        <v>999.61000000000013</v>
      </c>
      <c r="H919" t="str">
        <f>_xlfn.XLOOKUP(B919,customer_orders!A:A,customer_orders!F:F)</f>
        <v>2026-03</v>
      </c>
      <c r="I919" t="str">
        <f>_xlfn.XLOOKUP(C919,products!A:A,products!B:B)</f>
        <v>SKU-0016</v>
      </c>
      <c r="J919" t="str">
        <f>_xlfn.XLOOKUP(B919,customer_orders!A:A,customer_orders!G:G)</f>
        <v>2026-w13</v>
      </c>
      <c r="K919">
        <f>IFERROR(_xlfn.XLOOKUP(B919,shipments!B:B,shipments!H:H),0)</f>
        <v>105.07</v>
      </c>
      <c r="L919">
        <f t="shared" si="43"/>
        <v>0.11</v>
      </c>
      <c r="M919" t="str">
        <f>_xlfn.XLOOKUP(B919,customer_orders!A:A,customer_orders!D:D)</f>
        <v>Amazon</v>
      </c>
      <c r="N919" t="str">
        <f>_xlfn.XLOOKUP(C919,inventory!B:B,inventory!C:C)</f>
        <v>Draper</v>
      </c>
      <c r="O919">
        <f>IF(_xlfn.XLOOKUP(C919,products!A:A,products!E:E)="NULL",0,_xlfn.XLOOKUP(C919,products!A:A,products!E:E))</f>
        <v>135.37</v>
      </c>
      <c r="P919">
        <f t="shared" si="44"/>
        <v>864.24000000000012</v>
      </c>
      <c r="Q919" s="2" t="str">
        <f>_xlfn.XLOOKUP(I919,products!B:B,products!D:D)</f>
        <v>Toys</v>
      </c>
    </row>
    <row r="920" spans="1:17">
      <c r="A920">
        <v>919</v>
      </c>
      <c r="B920">
        <v>1373</v>
      </c>
      <c r="C920">
        <v>55</v>
      </c>
      <c r="D920">
        <v>1</v>
      </c>
      <c r="E920">
        <v>110.06</v>
      </c>
      <c r="F920">
        <v>0</v>
      </c>
      <c r="G920">
        <f t="shared" si="42"/>
        <v>110.06</v>
      </c>
      <c r="H920" t="str">
        <f>_xlfn.XLOOKUP(B920,customer_orders!A:A,customer_orders!F:F)</f>
        <v>2026-03</v>
      </c>
      <c r="I920" t="str">
        <f>_xlfn.XLOOKUP(C920,products!A:A,products!B:B)</f>
        <v>SKU-0055</v>
      </c>
      <c r="J920" t="str">
        <f>_xlfn.XLOOKUP(B920,customer_orders!A:A,customer_orders!G:G)</f>
        <v>2026-w13</v>
      </c>
      <c r="K920">
        <f>IFERROR(_xlfn.XLOOKUP(B920,shipments!B:B,shipments!H:H),0)</f>
        <v>105.07</v>
      </c>
      <c r="L920">
        <f t="shared" si="43"/>
        <v>0.95</v>
      </c>
      <c r="M920" t="str">
        <f>_xlfn.XLOOKUP(B920,customer_orders!A:A,customer_orders!D:D)</f>
        <v>Amazon</v>
      </c>
      <c r="N920" t="str">
        <f>_xlfn.XLOOKUP(C920,inventory!B:B,inventory!C:C)</f>
        <v>South Jordan</v>
      </c>
      <c r="O920">
        <f>IF(_xlfn.XLOOKUP(C920,products!A:A,products!E:E)="NULL",0,_xlfn.XLOOKUP(C920,products!A:A,products!E:E))</f>
        <v>12.72</v>
      </c>
      <c r="P920">
        <f t="shared" si="44"/>
        <v>97.34</v>
      </c>
      <c r="Q920" s="2" t="str">
        <f>_xlfn.XLOOKUP(I920,products!B:B,products!D:D)</f>
        <v>Office</v>
      </c>
    </row>
    <row r="921" spans="1:17">
      <c r="A921">
        <v>920</v>
      </c>
      <c r="B921">
        <v>1373</v>
      </c>
      <c r="C921">
        <v>109</v>
      </c>
      <c r="D921">
        <v>5</v>
      </c>
      <c r="E921">
        <v>257.52</v>
      </c>
      <c r="F921">
        <v>0</v>
      </c>
      <c r="G921">
        <f t="shared" si="42"/>
        <v>1287.5999999999999</v>
      </c>
      <c r="H921" t="str">
        <f>_xlfn.XLOOKUP(B921,customer_orders!A:A,customer_orders!F:F)</f>
        <v>2026-03</v>
      </c>
      <c r="I921" t="str">
        <f>_xlfn.XLOOKUP(C921,products!A:A,products!B:B)</f>
        <v>SKU-0109</v>
      </c>
      <c r="J921" t="str">
        <f>_xlfn.XLOOKUP(B921,customer_orders!A:A,customer_orders!G:G)</f>
        <v>2026-w13</v>
      </c>
      <c r="K921">
        <f>IFERROR(_xlfn.XLOOKUP(B921,shipments!B:B,shipments!H:H),0)</f>
        <v>105.07</v>
      </c>
      <c r="L921">
        <f t="shared" si="43"/>
        <v>0.08</v>
      </c>
      <c r="M921" t="str">
        <f>_xlfn.XLOOKUP(B921,customer_orders!A:A,customer_orders!D:D)</f>
        <v>Amazon</v>
      </c>
      <c r="N921" t="str">
        <f>_xlfn.XLOOKUP(C921,inventory!B:B,inventory!C:C)</f>
        <v>Draper</v>
      </c>
      <c r="O921">
        <f>IF(_xlfn.XLOOKUP(C921,products!A:A,products!E:E)="NULL",0,_xlfn.XLOOKUP(C921,products!A:A,products!E:E))</f>
        <v>10.02</v>
      </c>
      <c r="P921">
        <f t="shared" si="44"/>
        <v>1277.58</v>
      </c>
      <c r="Q921" s="2" t="str">
        <f>_xlfn.XLOOKUP(I921,products!B:B,products!D:D)</f>
        <v>Office</v>
      </c>
    </row>
    <row r="922" spans="1:17">
      <c r="A922">
        <v>921</v>
      </c>
      <c r="B922">
        <v>1373</v>
      </c>
      <c r="C922">
        <v>22</v>
      </c>
      <c r="D922">
        <v>3</v>
      </c>
      <c r="E922">
        <v>159.69</v>
      </c>
      <c r="F922">
        <v>1.97</v>
      </c>
      <c r="G922">
        <f t="shared" si="42"/>
        <v>477.09999999999997</v>
      </c>
      <c r="H922" t="str">
        <f>_xlfn.XLOOKUP(B922,customer_orders!A:A,customer_orders!F:F)</f>
        <v>2026-03</v>
      </c>
      <c r="I922" t="str">
        <f>_xlfn.XLOOKUP(C922,products!A:A,products!B:B)</f>
        <v>SKU-0022</v>
      </c>
      <c r="J922" t="str">
        <f>_xlfn.XLOOKUP(B922,customer_orders!A:A,customer_orders!G:G)</f>
        <v>2026-w13</v>
      </c>
      <c r="K922">
        <f>IFERROR(_xlfn.XLOOKUP(B922,shipments!B:B,shipments!H:H),0)</f>
        <v>105.07</v>
      </c>
      <c r="L922">
        <f t="shared" si="43"/>
        <v>0.22</v>
      </c>
      <c r="M922" t="str">
        <f>_xlfn.XLOOKUP(B922,customer_orders!A:A,customer_orders!D:D)</f>
        <v>Amazon</v>
      </c>
      <c r="N922" t="str">
        <f>_xlfn.XLOOKUP(C922,inventory!B:B,inventory!C:C)</f>
        <v>Lehi</v>
      </c>
      <c r="O922">
        <f>IF(_xlfn.XLOOKUP(C922,products!A:A,products!E:E)="NULL",0,_xlfn.XLOOKUP(C922,products!A:A,products!E:E))</f>
        <v>138.34</v>
      </c>
      <c r="P922">
        <f t="shared" si="44"/>
        <v>338.76</v>
      </c>
      <c r="Q922" s="2" t="str">
        <f>_xlfn.XLOOKUP(I922,products!B:B,products!D:D)</f>
        <v>Sports</v>
      </c>
    </row>
    <row r="923" spans="1:17">
      <c r="A923">
        <v>922</v>
      </c>
      <c r="B923">
        <v>1374</v>
      </c>
      <c r="C923">
        <v>43</v>
      </c>
      <c r="D923">
        <v>4</v>
      </c>
      <c r="E923">
        <v>277.02999999999997</v>
      </c>
      <c r="F923">
        <v>5.89</v>
      </c>
      <c r="G923">
        <f t="shared" si="42"/>
        <v>1102.2299999999998</v>
      </c>
      <c r="H923" t="str">
        <f>_xlfn.XLOOKUP(B923,customer_orders!A:A,customer_orders!F:F)</f>
        <v>2026-01</v>
      </c>
      <c r="I923" t="str">
        <f>_xlfn.XLOOKUP(C923,products!A:A,products!B:B)</f>
        <v>SKU-0043</v>
      </c>
      <c r="J923" t="str">
        <f>_xlfn.XLOOKUP(B923,customer_orders!A:A,customer_orders!G:G)</f>
        <v>2026-w03</v>
      </c>
      <c r="K923">
        <f>IFERROR(_xlfn.XLOOKUP(B923,shipments!B:B,shipments!H:H),0)</f>
        <v>27.03</v>
      </c>
      <c r="L923">
        <f t="shared" si="43"/>
        <v>0.02</v>
      </c>
      <c r="M923" t="str">
        <f>_xlfn.XLOOKUP(B923,customer_orders!A:A,customer_orders!D:D)</f>
        <v>Walmart</v>
      </c>
      <c r="N923" t="str">
        <f>_xlfn.XLOOKUP(C923,inventory!B:B,inventory!C:C)</f>
        <v>Draper</v>
      </c>
      <c r="O923">
        <f>IF(_xlfn.XLOOKUP(C923,products!A:A,products!E:E)="NULL",0,_xlfn.XLOOKUP(C923,products!A:A,products!E:E))</f>
        <v>88.44</v>
      </c>
      <c r="P923">
        <f t="shared" si="44"/>
        <v>1013.7899999999997</v>
      </c>
      <c r="Q923" s="2" t="str">
        <f>_xlfn.XLOOKUP(I923,products!B:B,products!D:D)</f>
        <v>Electronics</v>
      </c>
    </row>
    <row r="924" spans="1:17">
      <c r="A924">
        <v>923</v>
      </c>
      <c r="B924">
        <v>1374</v>
      </c>
      <c r="C924">
        <v>124</v>
      </c>
      <c r="D924">
        <v>8</v>
      </c>
      <c r="E924">
        <v>48.76</v>
      </c>
      <c r="F924">
        <v>0</v>
      </c>
      <c r="G924">
        <f t="shared" si="42"/>
        <v>390.08</v>
      </c>
      <c r="H924" t="str">
        <f>_xlfn.XLOOKUP(B924,customer_orders!A:A,customer_orders!F:F)</f>
        <v>2026-01</v>
      </c>
      <c r="I924" t="str">
        <f>_xlfn.XLOOKUP(C924,products!A:A,products!B:B)</f>
        <v>SKU-0124</v>
      </c>
      <c r="J924" t="str">
        <f>_xlfn.XLOOKUP(B924,customer_orders!A:A,customer_orders!G:G)</f>
        <v>2026-w03</v>
      </c>
      <c r="K924">
        <f>IFERROR(_xlfn.XLOOKUP(B924,shipments!B:B,shipments!H:H),0)</f>
        <v>27.03</v>
      </c>
      <c r="L924">
        <f t="shared" si="43"/>
        <v>7.0000000000000007E-2</v>
      </c>
      <c r="M924" t="str">
        <f>_xlfn.XLOOKUP(B924,customer_orders!A:A,customer_orders!D:D)</f>
        <v>Walmart</v>
      </c>
      <c r="N924" t="str">
        <f>_xlfn.XLOOKUP(C924,inventory!B:B,inventory!C:C)</f>
        <v>Lehi</v>
      </c>
      <c r="O924">
        <f>IF(_xlfn.XLOOKUP(C924,products!A:A,products!E:E)="NULL",0,_xlfn.XLOOKUP(C924,products!A:A,products!E:E))</f>
        <v>178.94</v>
      </c>
      <c r="P924">
        <f t="shared" si="44"/>
        <v>211.14</v>
      </c>
      <c r="Q924" s="2" t="str">
        <f>_xlfn.XLOOKUP(I924,products!B:B,products!D:D)</f>
        <v>Sports</v>
      </c>
    </row>
    <row r="925" spans="1:17">
      <c r="A925">
        <v>924</v>
      </c>
      <c r="B925">
        <v>1374</v>
      </c>
      <c r="C925">
        <v>112</v>
      </c>
      <c r="D925">
        <v>6</v>
      </c>
      <c r="E925">
        <v>154.88</v>
      </c>
      <c r="F925">
        <v>13.78</v>
      </c>
      <c r="G925">
        <f t="shared" si="42"/>
        <v>915.5</v>
      </c>
      <c r="H925" t="str">
        <f>_xlfn.XLOOKUP(B925,customer_orders!A:A,customer_orders!F:F)</f>
        <v>2026-01</v>
      </c>
      <c r="I925" t="str">
        <f>_xlfn.XLOOKUP(C925,products!A:A,products!B:B)</f>
        <v>SKU-0112</v>
      </c>
      <c r="J925" t="str">
        <f>_xlfn.XLOOKUP(B925,customer_orders!A:A,customer_orders!G:G)</f>
        <v>2026-w03</v>
      </c>
      <c r="K925">
        <f>IFERROR(_xlfn.XLOOKUP(B925,shipments!B:B,shipments!H:H),0)</f>
        <v>27.03</v>
      </c>
      <c r="L925">
        <f t="shared" si="43"/>
        <v>0.03</v>
      </c>
      <c r="M925" t="str">
        <f>_xlfn.XLOOKUP(B925,customer_orders!A:A,customer_orders!D:D)</f>
        <v>Walmart</v>
      </c>
      <c r="N925" t="str">
        <f>_xlfn.XLOOKUP(C925,inventory!B:B,inventory!C:C)</f>
        <v>South Jordan</v>
      </c>
      <c r="O925">
        <f>IF(_xlfn.XLOOKUP(C925,products!A:A,products!E:E)="NULL",0,_xlfn.XLOOKUP(C925,products!A:A,products!E:E))</f>
        <v>118.03</v>
      </c>
      <c r="P925">
        <f t="shared" si="44"/>
        <v>797.47</v>
      </c>
      <c r="Q925" s="2" t="str">
        <f>_xlfn.XLOOKUP(I925,products!B:B,products!D:D)</f>
        <v>Beauty</v>
      </c>
    </row>
    <row r="926" spans="1:17">
      <c r="A926">
        <v>925</v>
      </c>
      <c r="B926">
        <v>1375</v>
      </c>
      <c r="C926">
        <v>128</v>
      </c>
      <c r="D926">
        <v>6</v>
      </c>
      <c r="E926">
        <v>143.38999999999999</v>
      </c>
      <c r="F926">
        <v>2.59</v>
      </c>
      <c r="G926">
        <f t="shared" si="42"/>
        <v>857.74999999999989</v>
      </c>
      <c r="H926" t="str">
        <f>_xlfn.XLOOKUP(B926,customer_orders!A:A,customer_orders!F:F)</f>
        <v>2026-03</v>
      </c>
      <c r="I926" t="str">
        <f>_xlfn.XLOOKUP(C926,products!A:A,products!B:B)</f>
        <v>SKU-0128</v>
      </c>
      <c r="J926" t="str">
        <f>_xlfn.XLOOKUP(B926,customer_orders!A:A,customer_orders!G:G)</f>
        <v>2026-w13</v>
      </c>
      <c r="K926">
        <f>IFERROR(_xlfn.XLOOKUP(B926,shipments!B:B,shipments!H:H),0)</f>
        <v>15.3</v>
      </c>
      <c r="L926">
        <f t="shared" si="43"/>
        <v>0.02</v>
      </c>
      <c r="M926" t="str">
        <f>_xlfn.XLOOKUP(B926,customer_orders!A:A,customer_orders!D:D)</f>
        <v>Shopify</v>
      </c>
      <c r="N926" t="str">
        <f>_xlfn.XLOOKUP(C926,inventory!B:B,inventory!C:C)</f>
        <v>West Valley</v>
      </c>
      <c r="O926">
        <f>IF(_xlfn.XLOOKUP(C926,products!A:A,products!E:E)="NULL",0,_xlfn.XLOOKUP(C926,products!A:A,products!E:E))</f>
        <v>5.47</v>
      </c>
      <c r="P926">
        <f t="shared" si="44"/>
        <v>852.27999999999986</v>
      </c>
      <c r="Q926" s="2" t="str">
        <f>_xlfn.XLOOKUP(I926,products!B:B,products!D:D)</f>
        <v>Home</v>
      </c>
    </row>
    <row r="927" spans="1:17">
      <c r="A927">
        <v>926</v>
      </c>
      <c r="B927">
        <v>1375</v>
      </c>
      <c r="C927">
        <v>68</v>
      </c>
      <c r="D927">
        <v>1</v>
      </c>
      <c r="E927">
        <v>138.85</v>
      </c>
      <c r="F927">
        <v>0</v>
      </c>
      <c r="G927">
        <f t="shared" si="42"/>
        <v>138.85</v>
      </c>
      <c r="H927" t="str">
        <f>_xlfn.XLOOKUP(B927,customer_orders!A:A,customer_orders!F:F)</f>
        <v>2026-03</v>
      </c>
      <c r="I927" t="str">
        <f>_xlfn.XLOOKUP(C927,products!A:A,products!B:B)</f>
        <v>SKU-0068</v>
      </c>
      <c r="J927" t="str">
        <f>_xlfn.XLOOKUP(B927,customer_orders!A:A,customer_orders!G:G)</f>
        <v>2026-w13</v>
      </c>
      <c r="K927">
        <f>IFERROR(_xlfn.XLOOKUP(B927,shipments!B:B,shipments!H:H),0)</f>
        <v>15.3</v>
      </c>
      <c r="L927">
        <f t="shared" si="43"/>
        <v>0.11</v>
      </c>
      <c r="M927" t="str">
        <f>_xlfn.XLOOKUP(B927,customer_orders!A:A,customer_orders!D:D)</f>
        <v>Shopify</v>
      </c>
      <c r="N927" t="str">
        <f>_xlfn.XLOOKUP(C927,inventory!B:B,inventory!C:C)</f>
        <v>West Valley</v>
      </c>
      <c r="O927">
        <f>IF(_xlfn.XLOOKUP(C927,products!A:A,products!E:E)="NULL",0,_xlfn.XLOOKUP(C927,products!A:A,products!E:E))</f>
        <v>23.97</v>
      </c>
      <c r="P927">
        <f t="shared" si="44"/>
        <v>114.88</v>
      </c>
      <c r="Q927" s="2" t="str">
        <f>_xlfn.XLOOKUP(I927,products!B:B,products!D:D)</f>
        <v>Sports</v>
      </c>
    </row>
    <row r="928" spans="1:17">
      <c r="A928">
        <v>927</v>
      </c>
      <c r="B928">
        <v>1376</v>
      </c>
      <c r="C928">
        <v>54</v>
      </c>
      <c r="D928">
        <v>4</v>
      </c>
      <c r="E928">
        <v>256.14</v>
      </c>
      <c r="F928">
        <v>0</v>
      </c>
      <c r="G928">
        <f t="shared" si="42"/>
        <v>1024.56</v>
      </c>
      <c r="H928" t="str">
        <f>_xlfn.XLOOKUP(B928,customer_orders!A:A,customer_orders!F:F)</f>
        <v>2026-02</v>
      </c>
      <c r="I928" t="str">
        <f>_xlfn.XLOOKUP(C928,products!A:A,products!B:B)</f>
        <v>SKU-0054</v>
      </c>
      <c r="J928" t="str">
        <f>_xlfn.XLOOKUP(B928,customer_orders!A:A,customer_orders!G:G)</f>
        <v>2026-w07</v>
      </c>
      <c r="K928">
        <f>IFERROR(_xlfn.XLOOKUP(B928,shipments!B:B,shipments!H:H),0)</f>
        <v>44.86</v>
      </c>
      <c r="L928">
        <f t="shared" si="43"/>
        <v>0.04</v>
      </c>
      <c r="M928" t="str">
        <f>_xlfn.XLOOKUP(B928,customer_orders!A:A,customer_orders!D:D)</f>
        <v>Walmart</v>
      </c>
      <c r="N928" t="str">
        <f>_xlfn.XLOOKUP(C928,inventory!B:B,inventory!C:C)</f>
        <v>Salt Lake City</v>
      </c>
      <c r="O928">
        <f>IF(_xlfn.XLOOKUP(C928,products!A:A,products!E:E)="NULL",0,_xlfn.XLOOKUP(C928,products!A:A,products!E:E))</f>
        <v>163.43</v>
      </c>
      <c r="P928">
        <f t="shared" si="44"/>
        <v>861.12999999999988</v>
      </c>
      <c r="Q928" s="2" t="str">
        <f>_xlfn.XLOOKUP(I928,products!B:B,products!D:D)</f>
        <v>Pet</v>
      </c>
    </row>
    <row r="929" spans="1:17">
      <c r="A929">
        <v>928</v>
      </c>
      <c r="B929">
        <v>1376</v>
      </c>
      <c r="C929">
        <v>95</v>
      </c>
      <c r="D929">
        <v>6</v>
      </c>
      <c r="E929">
        <v>75.319999999999993</v>
      </c>
      <c r="F929">
        <v>0</v>
      </c>
      <c r="G929">
        <f t="shared" si="42"/>
        <v>451.91999999999996</v>
      </c>
      <c r="H929" t="str">
        <f>_xlfn.XLOOKUP(B929,customer_orders!A:A,customer_orders!F:F)</f>
        <v>2026-02</v>
      </c>
      <c r="I929" t="str">
        <f>_xlfn.XLOOKUP(C929,products!A:A,products!B:B)</f>
        <v>SKU-0095</v>
      </c>
      <c r="J929" t="str">
        <f>_xlfn.XLOOKUP(B929,customer_orders!A:A,customer_orders!G:G)</f>
        <v>2026-w07</v>
      </c>
      <c r="K929">
        <f>IFERROR(_xlfn.XLOOKUP(B929,shipments!B:B,shipments!H:H),0)</f>
        <v>44.86</v>
      </c>
      <c r="L929">
        <f t="shared" si="43"/>
        <v>0.1</v>
      </c>
      <c r="M929" t="str">
        <f>_xlfn.XLOOKUP(B929,customer_orders!A:A,customer_orders!D:D)</f>
        <v>Walmart</v>
      </c>
      <c r="N929" t="str">
        <f>_xlfn.XLOOKUP(C929,inventory!B:B,inventory!C:C)</f>
        <v>Draper</v>
      </c>
      <c r="O929">
        <f>IF(_xlfn.XLOOKUP(C929,products!A:A,products!E:E)="NULL",0,_xlfn.XLOOKUP(C929,products!A:A,products!E:E))</f>
        <v>71.34</v>
      </c>
      <c r="P929">
        <f t="shared" si="44"/>
        <v>380.57999999999993</v>
      </c>
      <c r="Q929" s="2" t="str">
        <f>_xlfn.XLOOKUP(I929,products!B:B,products!D:D)</f>
        <v>Electronics</v>
      </c>
    </row>
    <row r="930" spans="1:17">
      <c r="A930">
        <v>929</v>
      </c>
      <c r="B930">
        <v>1376</v>
      </c>
      <c r="C930">
        <v>129</v>
      </c>
      <c r="D930">
        <v>2</v>
      </c>
      <c r="E930">
        <v>95.57</v>
      </c>
      <c r="F930">
        <v>10.79</v>
      </c>
      <c r="G930">
        <f t="shared" si="42"/>
        <v>180.35</v>
      </c>
      <c r="H930" t="str">
        <f>_xlfn.XLOOKUP(B930,customer_orders!A:A,customer_orders!F:F)</f>
        <v>2026-02</v>
      </c>
      <c r="I930" t="str">
        <f>_xlfn.XLOOKUP(C930,products!A:A,products!B:B)</f>
        <v>SKU-0129</v>
      </c>
      <c r="J930" t="str">
        <f>_xlfn.XLOOKUP(B930,customer_orders!A:A,customer_orders!G:G)</f>
        <v>2026-w07</v>
      </c>
      <c r="K930">
        <f>IFERROR(_xlfn.XLOOKUP(B930,shipments!B:B,shipments!H:H),0)</f>
        <v>44.86</v>
      </c>
      <c r="L930">
        <f t="shared" si="43"/>
        <v>0.25</v>
      </c>
      <c r="M930" t="str">
        <f>_xlfn.XLOOKUP(B930,customer_orders!A:A,customer_orders!D:D)</f>
        <v>Walmart</v>
      </c>
      <c r="N930" t="str">
        <f>_xlfn.XLOOKUP(C930,inventory!B:B,inventory!C:C)</f>
        <v>South Jordan</v>
      </c>
      <c r="O930">
        <f>IF(_xlfn.XLOOKUP(C930,products!A:A,products!E:E)="NULL",0,_xlfn.XLOOKUP(C930,products!A:A,products!E:E))</f>
        <v>55.42</v>
      </c>
      <c r="P930">
        <f t="shared" si="44"/>
        <v>124.92999999999999</v>
      </c>
      <c r="Q930" s="2" t="str">
        <f>_xlfn.XLOOKUP(I930,products!B:B,products!D:D)</f>
        <v>Electronics</v>
      </c>
    </row>
    <row r="931" spans="1:17">
      <c r="A931">
        <v>930</v>
      </c>
      <c r="B931">
        <v>1377</v>
      </c>
      <c r="C931">
        <v>142</v>
      </c>
      <c r="D931">
        <v>3</v>
      </c>
      <c r="E931">
        <v>192.45</v>
      </c>
      <c r="F931">
        <v>8.6</v>
      </c>
      <c r="G931">
        <f t="shared" si="42"/>
        <v>568.74999999999989</v>
      </c>
      <c r="H931" t="str">
        <f>_xlfn.XLOOKUP(B931,customer_orders!A:A,customer_orders!F:F)</f>
        <v>2026-02</v>
      </c>
      <c r="I931" t="str">
        <f>_xlfn.XLOOKUP(C931,products!A:A,products!B:B)</f>
        <v>SKU-0142</v>
      </c>
      <c r="J931" t="str">
        <f>_xlfn.XLOOKUP(B931,customer_orders!A:A,customer_orders!G:G)</f>
        <v>2026-w08</v>
      </c>
      <c r="K931">
        <f>IFERROR(_xlfn.XLOOKUP(B931,shipments!B:B,shipments!H:H),0)</f>
        <v>79.36</v>
      </c>
      <c r="L931">
        <f t="shared" si="43"/>
        <v>0.14000000000000001</v>
      </c>
      <c r="M931" t="str">
        <f>_xlfn.XLOOKUP(B931,customer_orders!A:A,customer_orders!D:D)</f>
        <v>Walmart</v>
      </c>
      <c r="N931" t="str">
        <f>_xlfn.XLOOKUP(C931,inventory!B:B,inventory!C:C)</f>
        <v>Lehi</v>
      </c>
      <c r="O931">
        <f>IF(_xlfn.XLOOKUP(C931,products!A:A,products!E:E)="NULL",0,_xlfn.XLOOKUP(C931,products!A:A,products!E:E))</f>
        <v>95.73</v>
      </c>
      <c r="P931">
        <f t="shared" si="44"/>
        <v>473.01999999999987</v>
      </c>
      <c r="Q931" s="2" t="str">
        <f>_xlfn.XLOOKUP(I931,products!B:B,products!D:D)</f>
        <v>Electronics</v>
      </c>
    </row>
    <row r="932" spans="1:17">
      <c r="A932">
        <v>931</v>
      </c>
      <c r="B932">
        <v>1377</v>
      </c>
      <c r="C932">
        <v>73</v>
      </c>
      <c r="D932">
        <v>7</v>
      </c>
      <c r="E932">
        <v>134.83000000000001</v>
      </c>
      <c r="F932">
        <v>0</v>
      </c>
      <c r="G932">
        <f t="shared" si="42"/>
        <v>943.81000000000006</v>
      </c>
      <c r="H932" t="str">
        <f>_xlfn.XLOOKUP(B932,customer_orders!A:A,customer_orders!F:F)</f>
        <v>2026-02</v>
      </c>
      <c r="I932" t="str">
        <f>_xlfn.XLOOKUP(C932,products!A:A,products!B:B)</f>
        <v>SKU-0073</v>
      </c>
      <c r="J932" t="str">
        <f>_xlfn.XLOOKUP(B932,customer_orders!A:A,customer_orders!G:G)</f>
        <v>2026-w08</v>
      </c>
      <c r="K932">
        <f>IFERROR(_xlfn.XLOOKUP(B932,shipments!B:B,shipments!H:H),0)</f>
        <v>79.36</v>
      </c>
      <c r="L932">
        <f t="shared" si="43"/>
        <v>0.08</v>
      </c>
      <c r="M932" t="str">
        <f>_xlfn.XLOOKUP(B932,customer_orders!A:A,customer_orders!D:D)</f>
        <v>Walmart</v>
      </c>
      <c r="N932" t="str">
        <f>_xlfn.XLOOKUP(C932,inventory!B:B,inventory!C:C)</f>
        <v>Draper</v>
      </c>
      <c r="O932">
        <f>IF(_xlfn.XLOOKUP(C932,products!A:A,products!E:E)="NULL",0,_xlfn.XLOOKUP(C932,products!A:A,products!E:E))</f>
        <v>27.28</v>
      </c>
      <c r="P932">
        <f t="shared" si="44"/>
        <v>916.53000000000009</v>
      </c>
      <c r="Q932" s="2" t="str">
        <f>_xlfn.XLOOKUP(I932,products!B:B,products!D:D)</f>
        <v>Sports</v>
      </c>
    </row>
    <row r="933" spans="1:17">
      <c r="A933">
        <v>932</v>
      </c>
      <c r="B933">
        <v>1378</v>
      </c>
      <c r="C933">
        <v>75</v>
      </c>
      <c r="D933">
        <v>7</v>
      </c>
      <c r="E933">
        <v>180.3</v>
      </c>
      <c r="F933">
        <v>3.97</v>
      </c>
      <c r="G933">
        <f t="shared" si="42"/>
        <v>1258.1300000000001</v>
      </c>
      <c r="H933" t="str">
        <f>_xlfn.XLOOKUP(B933,customer_orders!A:A,customer_orders!F:F)</f>
        <v>2026-01</v>
      </c>
      <c r="I933" t="str">
        <f>_xlfn.XLOOKUP(C933,products!A:A,products!B:B)</f>
        <v>SKU-0075</v>
      </c>
      <c r="J933" t="str">
        <f>_xlfn.XLOOKUP(B933,customer_orders!A:A,customer_orders!G:G)</f>
        <v>2026-w05</v>
      </c>
      <c r="K933">
        <f>IFERROR(_xlfn.XLOOKUP(B933,shipments!B:B,shipments!H:H),0)</f>
        <v>26.68</v>
      </c>
      <c r="L933">
        <f t="shared" si="43"/>
        <v>0.02</v>
      </c>
      <c r="M933" t="str">
        <f>_xlfn.XLOOKUP(B933,customer_orders!A:A,customer_orders!D:D)</f>
        <v>Walmart</v>
      </c>
      <c r="N933" t="str">
        <f>_xlfn.XLOOKUP(C933,inventory!B:B,inventory!C:C)</f>
        <v>Salt Lake City</v>
      </c>
      <c r="O933">
        <f>IF(_xlfn.XLOOKUP(C933,products!A:A,products!E:E)="NULL",0,_xlfn.XLOOKUP(C933,products!A:A,products!E:E))</f>
        <v>80.23</v>
      </c>
      <c r="P933">
        <f t="shared" si="44"/>
        <v>1177.9000000000001</v>
      </c>
      <c r="Q933" s="2" t="str">
        <f>_xlfn.XLOOKUP(I933,products!B:B,products!D:D)</f>
        <v>Sports</v>
      </c>
    </row>
    <row r="934" spans="1:17">
      <c r="A934">
        <v>933</v>
      </c>
      <c r="B934">
        <v>1379</v>
      </c>
      <c r="C934">
        <v>2</v>
      </c>
      <c r="D934">
        <v>6</v>
      </c>
      <c r="E934">
        <v>135.25</v>
      </c>
      <c r="F934">
        <v>0</v>
      </c>
      <c r="G934">
        <f t="shared" si="42"/>
        <v>811.5</v>
      </c>
      <c r="H934" t="str">
        <f>_xlfn.XLOOKUP(B934,customer_orders!A:A,customer_orders!F:F)</f>
        <v>2026-04</v>
      </c>
      <c r="I934" t="str">
        <f>_xlfn.XLOOKUP(C934,products!A:A,products!B:B)</f>
        <v>SKU-0002</v>
      </c>
      <c r="J934" t="str">
        <f>_xlfn.XLOOKUP(B934,customer_orders!A:A,customer_orders!G:G)</f>
        <v>2026-w16</v>
      </c>
      <c r="K934">
        <f>IFERROR(_xlfn.XLOOKUP(B934,shipments!B:B,shipments!H:H),0)</f>
        <v>40.83</v>
      </c>
      <c r="L934">
        <f t="shared" si="43"/>
        <v>0.05</v>
      </c>
      <c r="M934" t="str">
        <f>_xlfn.XLOOKUP(B934,customer_orders!A:A,customer_orders!D:D)</f>
        <v>Shopify</v>
      </c>
      <c r="N934" t="str">
        <f>_xlfn.XLOOKUP(C934,inventory!B:B,inventory!C:C)</f>
        <v>South Jordan</v>
      </c>
      <c r="O934">
        <f>IF(_xlfn.XLOOKUP(C934,products!A:A,products!E:E)="NULL",0,_xlfn.XLOOKUP(C934,products!A:A,products!E:E))</f>
        <v>20.21</v>
      </c>
      <c r="P934">
        <f t="shared" si="44"/>
        <v>791.29</v>
      </c>
      <c r="Q934" s="2" t="str">
        <f>_xlfn.XLOOKUP(I934,products!B:B,products!D:D)</f>
        <v>Home</v>
      </c>
    </row>
    <row r="935" spans="1:17">
      <c r="A935">
        <v>934</v>
      </c>
      <c r="B935">
        <v>1379</v>
      </c>
      <c r="C935">
        <v>69</v>
      </c>
      <c r="D935">
        <v>5</v>
      </c>
      <c r="E935">
        <v>69.17</v>
      </c>
      <c r="F935">
        <v>5.3</v>
      </c>
      <c r="G935">
        <f t="shared" si="42"/>
        <v>340.55</v>
      </c>
      <c r="H935" t="str">
        <f>_xlfn.XLOOKUP(B935,customer_orders!A:A,customer_orders!F:F)</f>
        <v>2026-04</v>
      </c>
      <c r="I935" t="str">
        <f>_xlfn.XLOOKUP(C935,products!A:A,products!B:B)</f>
        <v>SKU-0069</v>
      </c>
      <c r="J935" t="str">
        <f>_xlfn.XLOOKUP(B935,customer_orders!A:A,customer_orders!G:G)</f>
        <v>2026-w16</v>
      </c>
      <c r="K935">
        <f>IFERROR(_xlfn.XLOOKUP(B935,shipments!B:B,shipments!H:H),0)</f>
        <v>40.83</v>
      </c>
      <c r="L935">
        <f t="shared" si="43"/>
        <v>0.12</v>
      </c>
      <c r="M935" t="str">
        <f>_xlfn.XLOOKUP(B935,customer_orders!A:A,customer_orders!D:D)</f>
        <v>Shopify</v>
      </c>
      <c r="N935" t="str">
        <f>_xlfn.XLOOKUP(C935,inventory!B:B,inventory!C:C)</f>
        <v>South Jordan</v>
      </c>
      <c r="O935">
        <f>IF(_xlfn.XLOOKUP(C935,products!A:A,products!E:E)="NULL",0,_xlfn.XLOOKUP(C935,products!A:A,products!E:E))</f>
        <v>162.41</v>
      </c>
      <c r="P935">
        <f t="shared" si="44"/>
        <v>178.14000000000001</v>
      </c>
      <c r="Q935" s="2" t="str">
        <f>_xlfn.XLOOKUP(I935,products!B:B,products!D:D)</f>
        <v>Home</v>
      </c>
    </row>
    <row r="936" spans="1:17">
      <c r="A936">
        <v>935</v>
      </c>
      <c r="B936">
        <v>1379</v>
      </c>
      <c r="C936">
        <v>62</v>
      </c>
      <c r="D936">
        <v>1</v>
      </c>
      <c r="E936">
        <v>109.67</v>
      </c>
      <c r="F936">
        <v>13.6</v>
      </c>
      <c r="G936">
        <f t="shared" si="42"/>
        <v>96.070000000000007</v>
      </c>
      <c r="H936" t="str">
        <f>_xlfn.XLOOKUP(B936,customer_orders!A:A,customer_orders!F:F)</f>
        <v>2026-04</v>
      </c>
      <c r="I936" t="str">
        <f>_xlfn.XLOOKUP(C936,products!A:A,products!B:B)</f>
        <v>SKU-0062</v>
      </c>
      <c r="J936" t="str">
        <f>_xlfn.XLOOKUP(B936,customer_orders!A:A,customer_orders!G:G)</f>
        <v>2026-w16</v>
      </c>
      <c r="K936">
        <f>IFERROR(_xlfn.XLOOKUP(B936,shipments!B:B,shipments!H:H),0)</f>
        <v>40.83</v>
      </c>
      <c r="L936">
        <f t="shared" si="43"/>
        <v>0.43</v>
      </c>
      <c r="M936" t="str">
        <f>_xlfn.XLOOKUP(B936,customer_orders!A:A,customer_orders!D:D)</f>
        <v>Shopify</v>
      </c>
      <c r="N936" t="str">
        <f>_xlfn.XLOOKUP(C936,inventory!B:B,inventory!C:C)</f>
        <v>South Jordan</v>
      </c>
      <c r="O936">
        <f>IF(_xlfn.XLOOKUP(C936,products!A:A,products!E:E)="NULL",0,_xlfn.XLOOKUP(C936,products!A:A,products!E:E))</f>
        <v>133.9</v>
      </c>
      <c r="P936">
        <f t="shared" si="44"/>
        <v>-37.83</v>
      </c>
      <c r="Q936" s="2" t="str">
        <f>_xlfn.XLOOKUP(I936,products!B:B,products!D:D)</f>
        <v>Electronics</v>
      </c>
    </row>
    <row r="937" spans="1:17">
      <c r="A937">
        <v>936</v>
      </c>
      <c r="B937">
        <v>1379</v>
      </c>
      <c r="C937">
        <v>9</v>
      </c>
      <c r="D937">
        <v>1</v>
      </c>
      <c r="E937">
        <v>235.32</v>
      </c>
      <c r="F937">
        <v>0</v>
      </c>
      <c r="G937">
        <f t="shared" si="42"/>
        <v>235.32</v>
      </c>
      <c r="H937" t="str">
        <f>_xlfn.XLOOKUP(B937,customer_orders!A:A,customer_orders!F:F)</f>
        <v>2026-04</v>
      </c>
      <c r="I937" t="str">
        <f>_xlfn.XLOOKUP(C937,products!A:A,products!B:B)</f>
        <v>SKU-0009</v>
      </c>
      <c r="J937" t="str">
        <f>_xlfn.XLOOKUP(B937,customer_orders!A:A,customer_orders!G:G)</f>
        <v>2026-w16</v>
      </c>
      <c r="K937">
        <f>IFERROR(_xlfn.XLOOKUP(B937,shipments!B:B,shipments!H:H),0)</f>
        <v>40.83</v>
      </c>
      <c r="L937">
        <f t="shared" si="43"/>
        <v>0.17</v>
      </c>
      <c r="M937" t="str">
        <f>_xlfn.XLOOKUP(B937,customer_orders!A:A,customer_orders!D:D)</f>
        <v>Shopify</v>
      </c>
      <c r="N937" t="str">
        <f>_xlfn.XLOOKUP(C937,inventory!B:B,inventory!C:C)</f>
        <v>Salt Lake City</v>
      </c>
      <c r="O937">
        <f>IF(_xlfn.XLOOKUP(C937,products!A:A,products!E:E)="NULL",0,_xlfn.XLOOKUP(C937,products!A:A,products!E:E))</f>
        <v>120.72</v>
      </c>
      <c r="P937">
        <f t="shared" si="44"/>
        <v>114.6</v>
      </c>
      <c r="Q937" s="2" t="str">
        <f>_xlfn.XLOOKUP(I937,products!B:B,products!D:D)</f>
        <v>Home</v>
      </c>
    </row>
    <row r="938" spans="1:17">
      <c r="A938">
        <v>937</v>
      </c>
      <c r="B938">
        <v>1380</v>
      </c>
      <c r="C938">
        <v>14</v>
      </c>
      <c r="D938">
        <v>7</v>
      </c>
      <c r="E938">
        <v>33.86</v>
      </c>
      <c r="F938">
        <v>2.8</v>
      </c>
      <c r="G938">
        <f t="shared" si="42"/>
        <v>234.21999999999997</v>
      </c>
      <c r="H938" t="str">
        <f>_xlfn.XLOOKUP(B938,customer_orders!A:A,customer_orders!F:F)</f>
        <v>2026-04</v>
      </c>
      <c r="I938" t="str">
        <f>_xlfn.XLOOKUP(C938,products!A:A,products!B:B)</f>
        <v>SKU-0014</v>
      </c>
      <c r="J938" t="str">
        <f>_xlfn.XLOOKUP(B938,customer_orders!A:A,customer_orders!G:G)</f>
        <v>2026-w15</v>
      </c>
      <c r="K938">
        <f>IFERROR(_xlfn.XLOOKUP(B938,shipments!B:B,shipments!H:H),0)</f>
        <v>22.45</v>
      </c>
      <c r="L938">
        <f t="shared" si="43"/>
        <v>0.1</v>
      </c>
      <c r="M938" t="str">
        <f>_xlfn.XLOOKUP(B938,customer_orders!A:A,customer_orders!D:D)</f>
        <v>Amazon</v>
      </c>
      <c r="N938" t="str">
        <f>_xlfn.XLOOKUP(C938,inventory!B:B,inventory!C:C)</f>
        <v>Lehi</v>
      </c>
      <c r="O938">
        <f>IF(_xlfn.XLOOKUP(C938,products!A:A,products!E:E)="NULL",0,_xlfn.XLOOKUP(C938,products!A:A,products!E:E))</f>
        <v>75.2</v>
      </c>
      <c r="P938">
        <f t="shared" si="44"/>
        <v>159.01999999999998</v>
      </c>
      <c r="Q938" s="2" t="str">
        <f>_xlfn.XLOOKUP(I938,products!B:B,products!D:D)</f>
        <v>Electronics</v>
      </c>
    </row>
    <row r="939" spans="1:17">
      <c r="A939">
        <v>938</v>
      </c>
      <c r="B939">
        <v>1380</v>
      </c>
      <c r="C939">
        <v>45</v>
      </c>
      <c r="D939">
        <v>7</v>
      </c>
      <c r="E939">
        <v>184.44</v>
      </c>
      <c r="F939">
        <v>0</v>
      </c>
      <c r="G939">
        <f t="shared" si="42"/>
        <v>1291.08</v>
      </c>
      <c r="H939" t="str">
        <f>_xlfn.XLOOKUP(B939,customer_orders!A:A,customer_orders!F:F)</f>
        <v>2026-04</v>
      </c>
      <c r="I939" t="str">
        <f>_xlfn.XLOOKUP(C939,products!A:A,products!B:B)</f>
        <v>SKU-0045</v>
      </c>
      <c r="J939" t="str">
        <f>_xlfn.XLOOKUP(B939,customer_orders!A:A,customer_orders!G:G)</f>
        <v>2026-w15</v>
      </c>
      <c r="K939">
        <f>IFERROR(_xlfn.XLOOKUP(B939,shipments!B:B,shipments!H:H),0)</f>
        <v>22.45</v>
      </c>
      <c r="L939">
        <f t="shared" si="43"/>
        <v>0.02</v>
      </c>
      <c r="M939" t="str">
        <f>_xlfn.XLOOKUP(B939,customer_orders!A:A,customer_orders!D:D)</f>
        <v>Amazon</v>
      </c>
      <c r="N939" t="str">
        <f>_xlfn.XLOOKUP(C939,inventory!B:B,inventory!C:C)</f>
        <v>Draper</v>
      </c>
      <c r="O939">
        <f>IF(_xlfn.XLOOKUP(C939,products!A:A,products!E:E)="NULL",0,_xlfn.XLOOKUP(C939,products!A:A,products!E:E))</f>
        <v>48.09</v>
      </c>
      <c r="P939">
        <f t="shared" si="44"/>
        <v>1242.99</v>
      </c>
      <c r="Q939" s="2" t="str">
        <f>_xlfn.XLOOKUP(I939,products!B:B,products!D:D)</f>
        <v>Home</v>
      </c>
    </row>
    <row r="940" spans="1:17">
      <c r="A940">
        <v>939</v>
      </c>
      <c r="B940">
        <v>1380</v>
      </c>
      <c r="C940">
        <v>112</v>
      </c>
      <c r="D940">
        <v>4</v>
      </c>
      <c r="E940">
        <v>154.88</v>
      </c>
      <c r="F940">
        <v>0</v>
      </c>
      <c r="G940">
        <f t="shared" si="42"/>
        <v>619.52</v>
      </c>
      <c r="H940" t="str">
        <f>_xlfn.XLOOKUP(B940,customer_orders!A:A,customer_orders!F:F)</f>
        <v>2026-04</v>
      </c>
      <c r="I940" t="str">
        <f>_xlfn.XLOOKUP(C940,products!A:A,products!B:B)</f>
        <v>SKU-0112</v>
      </c>
      <c r="J940" t="str">
        <f>_xlfn.XLOOKUP(B940,customer_orders!A:A,customer_orders!G:G)</f>
        <v>2026-w15</v>
      </c>
      <c r="K940">
        <f>IFERROR(_xlfn.XLOOKUP(B940,shipments!B:B,shipments!H:H),0)</f>
        <v>22.45</v>
      </c>
      <c r="L940">
        <f t="shared" si="43"/>
        <v>0.04</v>
      </c>
      <c r="M940" t="str">
        <f>_xlfn.XLOOKUP(B940,customer_orders!A:A,customer_orders!D:D)</f>
        <v>Amazon</v>
      </c>
      <c r="N940" t="str">
        <f>_xlfn.XLOOKUP(C940,inventory!B:B,inventory!C:C)</f>
        <v>South Jordan</v>
      </c>
      <c r="O940">
        <f>IF(_xlfn.XLOOKUP(C940,products!A:A,products!E:E)="NULL",0,_xlfn.XLOOKUP(C940,products!A:A,products!E:E))</f>
        <v>118.03</v>
      </c>
      <c r="P940">
        <f t="shared" si="44"/>
        <v>501.49</v>
      </c>
      <c r="Q940" s="2" t="str">
        <f>_xlfn.XLOOKUP(I940,products!B:B,products!D:D)</f>
        <v>Beauty</v>
      </c>
    </row>
    <row r="941" spans="1:17">
      <c r="A941">
        <v>940</v>
      </c>
      <c r="B941">
        <v>1380</v>
      </c>
      <c r="C941">
        <v>130</v>
      </c>
      <c r="D941">
        <v>2</v>
      </c>
      <c r="E941">
        <v>193.14</v>
      </c>
      <c r="F941">
        <v>9.84</v>
      </c>
      <c r="G941">
        <f t="shared" si="42"/>
        <v>376.44</v>
      </c>
      <c r="H941" t="str">
        <f>_xlfn.XLOOKUP(B941,customer_orders!A:A,customer_orders!F:F)</f>
        <v>2026-04</v>
      </c>
      <c r="I941" t="str">
        <f>_xlfn.XLOOKUP(C941,products!A:A,products!B:B)</f>
        <v>SKU-0130</v>
      </c>
      <c r="J941" t="str">
        <f>_xlfn.XLOOKUP(B941,customer_orders!A:A,customer_orders!G:G)</f>
        <v>2026-w15</v>
      </c>
      <c r="K941">
        <f>IFERROR(_xlfn.XLOOKUP(B941,shipments!B:B,shipments!H:H),0)</f>
        <v>22.45</v>
      </c>
      <c r="L941">
        <f t="shared" si="43"/>
        <v>0.06</v>
      </c>
      <c r="M941" t="str">
        <f>_xlfn.XLOOKUP(B941,customer_orders!A:A,customer_orders!D:D)</f>
        <v>Amazon</v>
      </c>
      <c r="N941" t="str">
        <f>_xlfn.XLOOKUP(C941,inventory!B:B,inventory!C:C)</f>
        <v>South Jordan</v>
      </c>
      <c r="O941">
        <f>IF(_xlfn.XLOOKUP(C941,products!A:A,products!E:E)="NULL",0,_xlfn.XLOOKUP(C941,products!A:A,products!E:E))</f>
        <v>142.87</v>
      </c>
      <c r="P941">
        <f t="shared" si="44"/>
        <v>233.57</v>
      </c>
      <c r="Q941" s="2" t="str">
        <f>_xlfn.XLOOKUP(I941,products!B:B,products!D:D)</f>
        <v>Beauty</v>
      </c>
    </row>
    <row r="942" spans="1:17">
      <c r="A942">
        <v>941</v>
      </c>
      <c r="B942">
        <v>1381</v>
      </c>
      <c r="C942">
        <v>8</v>
      </c>
      <c r="D942">
        <v>2</v>
      </c>
      <c r="E942">
        <v>118.07</v>
      </c>
      <c r="F942">
        <v>0</v>
      </c>
      <c r="G942">
        <f t="shared" si="42"/>
        <v>236.14</v>
      </c>
      <c r="H942" t="str">
        <f>_xlfn.XLOOKUP(B942,customer_orders!A:A,customer_orders!F:F)</f>
        <v>2026-04</v>
      </c>
      <c r="I942" t="str">
        <f>_xlfn.XLOOKUP(C942,products!A:A,products!B:B)</f>
        <v>SKU-0008</v>
      </c>
      <c r="J942" t="str">
        <f>_xlfn.XLOOKUP(B942,customer_orders!A:A,customer_orders!G:G)</f>
        <v>2026-w17</v>
      </c>
      <c r="K942">
        <f>IFERROR(_xlfn.XLOOKUP(B942,shipments!B:B,shipments!H:H),0)</f>
        <v>38.44</v>
      </c>
      <c r="L942">
        <f t="shared" si="43"/>
        <v>0.16</v>
      </c>
      <c r="M942" t="str">
        <f>_xlfn.XLOOKUP(B942,customer_orders!A:A,customer_orders!D:D)</f>
        <v>Shopify</v>
      </c>
      <c r="N942" t="str">
        <f>_xlfn.XLOOKUP(C942,inventory!B:B,inventory!C:C)</f>
        <v>Salt Lake City</v>
      </c>
      <c r="O942">
        <f>IF(_xlfn.XLOOKUP(C942,products!A:A,products!E:E)="NULL",0,_xlfn.XLOOKUP(C942,products!A:A,products!E:E))</f>
        <v>159.94999999999999</v>
      </c>
      <c r="P942">
        <f t="shared" si="44"/>
        <v>76.19</v>
      </c>
      <c r="Q942" s="2" t="str">
        <f>_xlfn.XLOOKUP(I942,products!B:B,products!D:D)</f>
        <v>Sports</v>
      </c>
    </row>
    <row r="943" spans="1:17">
      <c r="A943">
        <v>942</v>
      </c>
      <c r="B943">
        <v>1381</v>
      </c>
      <c r="C943">
        <v>34</v>
      </c>
      <c r="D943">
        <v>8</v>
      </c>
      <c r="E943">
        <v>222.79</v>
      </c>
      <c r="F943">
        <v>0</v>
      </c>
      <c r="G943">
        <f t="shared" si="42"/>
        <v>1782.32</v>
      </c>
      <c r="H943" t="str">
        <f>_xlfn.XLOOKUP(B943,customer_orders!A:A,customer_orders!F:F)</f>
        <v>2026-04</v>
      </c>
      <c r="I943" t="str">
        <f>_xlfn.XLOOKUP(C943,products!A:A,products!B:B)</f>
        <v>SKU-0034</v>
      </c>
      <c r="J943" t="str">
        <f>_xlfn.XLOOKUP(B943,customer_orders!A:A,customer_orders!G:G)</f>
        <v>2026-w17</v>
      </c>
      <c r="K943">
        <f>IFERROR(_xlfn.XLOOKUP(B943,shipments!B:B,shipments!H:H),0)</f>
        <v>38.44</v>
      </c>
      <c r="L943">
        <f t="shared" si="43"/>
        <v>0.02</v>
      </c>
      <c r="M943" t="str">
        <f>_xlfn.XLOOKUP(B943,customer_orders!A:A,customer_orders!D:D)</f>
        <v>Shopify</v>
      </c>
      <c r="N943" t="str">
        <f>_xlfn.XLOOKUP(C943,inventory!B:B,inventory!C:C)</f>
        <v>Salt Lake City</v>
      </c>
      <c r="O943">
        <f>IF(_xlfn.XLOOKUP(C943,products!A:A,products!E:E)="NULL",0,_xlfn.XLOOKUP(C943,products!A:A,products!E:E))</f>
        <v>86.73</v>
      </c>
      <c r="P943">
        <f t="shared" si="44"/>
        <v>1695.59</v>
      </c>
      <c r="Q943" s="2" t="str">
        <f>_xlfn.XLOOKUP(I943,products!B:B,products!D:D)</f>
        <v>Office</v>
      </c>
    </row>
    <row r="944" spans="1:17">
      <c r="A944">
        <v>943</v>
      </c>
      <c r="B944">
        <v>1382</v>
      </c>
      <c r="C944">
        <v>149</v>
      </c>
      <c r="D944">
        <v>2</v>
      </c>
      <c r="E944">
        <v>258.51</v>
      </c>
      <c r="F944">
        <v>0</v>
      </c>
      <c r="G944">
        <f t="shared" si="42"/>
        <v>517.02</v>
      </c>
      <c r="H944" t="str">
        <f>_xlfn.XLOOKUP(B944,customer_orders!A:A,customer_orders!F:F)</f>
        <v>2026-01</v>
      </c>
      <c r="I944" t="str">
        <f>_xlfn.XLOOKUP(C944,products!A:A,products!B:B)</f>
        <v>SKU-0149</v>
      </c>
      <c r="J944" t="str">
        <f>_xlfn.XLOOKUP(B944,customer_orders!A:A,customer_orders!G:G)</f>
        <v>2026-w03</v>
      </c>
      <c r="K944">
        <f>IFERROR(_xlfn.XLOOKUP(B944,shipments!B:B,shipments!H:H),0)</f>
        <v>14.76</v>
      </c>
      <c r="L944">
        <f t="shared" si="43"/>
        <v>0.03</v>
      </c>
      <c r="M944" t="str">
        <f>_xlfn.XLOOKUP(B944,customer_orders!A:A,customer_orders!D:D)</f>
        <v>Amazon</v>
      </c>
      <c r="N944" t="str">
        <f>_xlfn.XLOOKUP(C944,inventory!B:B,inventory!C:C)</f>
        <v>South Jordan</v>
      </c>
      <c r="O944">
        <f>IF(_xlfn.XLOOKUP(C944,products!A:A,products!E:E)="NULL",0,_xlfn.XLOOKUP(C944,products!A:A,products!E:E))</f>
        <v>140.22</v>
      </c>
      <c r="P944">
        <f t="shared" si="44"/>
        <v>376.79999999999995</v>
      </c>
      <c r="Q944" s="2" t="str">
        <f>_xlfn.XLOOKUP(I944,products!B:B,products!D:D)</f>
        <v>Home</v>
      </c>
    </row>
    <row r="945" spans="1:17">
      <c r="A945">
        <v>944</v>
      </c>
      <c r="B945">
        <v>1383</v>
      </c>
      <c r="C945">
        <v>125</v>
      </c>
      <c r="D945">
        <v>2</v>
      </c>
      <c r="E945">
        <v>273.92</v>
      </c>
      <c r="F945">
        <v>3.94</v>
      </c>
      <c r="G945">
        <f t="shared" si="42"/>
        <v>543.9</v>
      </c>
      <c r="H945" t="str">
        <f>_xlfn.XLOOKUP(B945,customer_orders!A:A,customer_orders!F:F)</f>
        <v>2026-01</v>
      </c>
      <c r="I945" t="str">
        <f>_xlfn.XLOOKUP(C945,products!A:A,products!B:B)</f>
        <v>SKU-0125</v>
      </c>
      <c r="J945" t="str">
        <f>_xlfn.XLOOKUP(B945,customer_orders!A:A,customer_orders!G:G)</f>
        <v>2026-w05</v>
      </c>
      <c r="K945">
        <f>IFERROR(_xlfn.XLOOKUP(B945,shipments!B:B,shipments!H:H),0)</f>
        <v>97.79</v>
      </c>
      <c r="L945">
        <f t="shared" si="43"/>
        <v>0.18</v>
      </c>
      <c r="M945" t="str">
        <f>_xlfn.XLOOKUP(B945,customer_orders!A:A,customer_orders!D:D)</f>
        <v>Amazon</v>
      </c>
      <c r="N945" t="str">
        <f>_xlfn.XLOOKUP(C945,inventory!B:B,inventory!C:C)</f>
        <v>Draper</v>
      </c>
      <c r="O945">
        <f>IF(_xlfn.XLOOKUP(C945,products!A:A,products!E:E)="NULL",0,_xlfn.XLOOKUP(C945,products!A:A,products!E:E))</f>
        <v>71.569999999999993</v>
      </c>
      <c r="P945">
        <f t="shared" si="44"/>
        <v>472.33</v>
      </c>
      <c r="Q945" s="2" t="str">
        <f>_xlfn.XLOOKUP(I945,products!B:B,products!D:D)</f>
        <v>Beauty</v>
      </c>
    </row>
    <row r="946" spans="1:17">
      <c r="A946">
        <v>945</v>
      </c>
      <c r="B946">
        <v>1384</v>
      </c>
      <c r="C946">
        <v>140</v>
      </c>
      <c r="D946">
        <v>1</v>
      </c>
      <c r="E946">
        <v>86.93</v>
      </c>
      <c r="F946">
        <v>0</v>
      </c>
      <c r="G946">
        <f t="shared" si="42"/>
        <v>86.93</v>
      </c>
      <c r="H946" t="str">
        <f>_xlfn.XLOOKUP(B946,customer_orders!A:A,customer_orders!F:F)</f>
        <v>2026-01</v>
      </c>
      <c r="I946" t="str">
        <f>_xlfn.XLOOKUP(C946,products!A:A,products!B:B)</f>
        <v>SKU-0140</v>
      </c>
      <c r="J946" t="str">
        <f>_xlfn.XLOOKUP(B946,customer_orders!A:A,customer_orders!G:G)</f>
        <v>2026-w02</v>
      </c>
      <c r="K946">
        <f>IFERROR(_xlfn.XLOOKUP(B946,shipments!B:B,shipments!H:H),0)</f>
        <v>35.04</v>
      </c>
      <c r="L946">
        <f t="shared" si="43"/>
        <v>0.4</v>
      </c>
      <c r="M946" t="str">
        <f>_xlfn.XLOOKUP(B946,customer_orders!A:A,customer_orders!D:D)</f>
        <v>Ebay</v>
      </c>
      <c r="N946" t="str">
        <f>_xlfn.XLOOKUP(C946,inventory!B:B,inventory!C:C)</f>
        <v>South Jordan</v>
      </c>
      <c r="O946">
        <f>IF(_xlfn.XLOOKUP(C946,products!A:A,products!E:E)="NULL",0,_xlfn.XLOOKUP(C946,products!A:A,products!E:E))</f>
        <v>20.41</v>
      </c>
      <c r="P946">
        <f t="shared" si="44"/>
        <v>66.52000000000001</v>
      </c>
      <c r="Q946" s="2" t="str">
        <f>_xlfn.XLOOKUP(I946,products!B:B,products!D:D)</f>
        <v>Electronics</v>
      </c>
    </row>
    <row r="947" spans="1:17">
      <c r="A947">
        <v>946</v>
      </c>
      <c r="B947">
        <v>1384</v>
      </c>
      <c r="C947">
        <v>32</v>
      </c>
      <c r="D947">
        <v>4</v>
      </c>
      <c r="E947">
        <v>221.16</v>
      </c>
      <c r="F947">
        <v>0</v>
      </c>
      <c r="G947">
        <f t="shared" si="42"/>
        <v>884.64</v>
      </c>
      <c r="H947" t="str">
        <f>_xlfn.XLOOKUP(B947,customer_orders!A:A,customer_orders!F:F)</f>
        <v>2026-01</v>
      </c>
      <c r="I947" t="str">
        <f>_xlfn.XLOOKUP(C947,products!A:A,products!B:B)</f>
        <v>SKU-0032</v>
      </c>
      <c r="J947" t="str">
        <f>_xlfn.XLOOKUP(B947,customer_orders!A:A,customer_orders!G:G)</f>
        <v>2026-w02</v>
      </c>
      <c r="K947">
        <f>IFERROR(_xlfn.XLOOKUP(B947,shipments!B:B,shipments!H:H),0)</f>
        <v>35.04</v>
      </c>
      <c r="L947">
        <f t="shared" si="43"/>
        <v>0.04</v>
      </c>
      <c r="M947" t="str">
        <f>_xlfn.XLOOKUP(B947,customer_orders!A:A,customer_orders!D:D)</f>
        <v>Ebay</v>
      </c>
      <c r="N947" t="str">
        <f>_xlfn.XLOOKUP(C947,inventory!B:B,inventory!C:C)</f>
        <v>Salt Lake City</v>
      </c>
      <c r="O947">
        <f>IF(_xlfn.XLOOKUP(C947,products!A:A,products!E:E)="NULL",0,_xlfn.XLOOKUP(C947,products!A:A,products!E:E))</f>
        <v>99.37</v>
      </c>
      <c r="P947">
        <f t="shared" si="44"/>
        <v>785.27</v>
      </c>
      <c r="Q947" s="2" t="str">
        <f>_xlfn.XLOOKUP(I947,products!B:B,products!D:D)</f>
        <v>Pet</v>
      </c>
    </row>
    <row r="948" spans="1:17">
      <c r="A948">
        <v>947</v>
      </c>
      <c r="B948">
        <v>1384</v>
      </c>
      <c r="C948">
        <v>133</v>
      </c>
      <c r="D948">
        <v>3</v>
      </c>
      <c r="E948">
        <v>214.42</v>
      </c>
      <c r="F948">
        <v>0</v>
      </c>
      <c r="G948">
        <f t="shared" si="42"/>
        <v>643.26</v>
      </c>
      <c r="H948" t="str">
        <f>_xlfn.XLOOKUP(B948,customer_orders!A:A,customer_orders!F:F)</f>
        <v>2026-01</v>
      </c>
      <c r="I948" t="str">
        <f>_xlfn.XLOOKUP(C948,products!A:A,products!B:B)</f>
        <v>SKU-0133</v>
      </c>
      <c r="J948" t="str">
        <f>_xlfn.XLOOKUP(B948,customer_orders!A:A,customer_orders!G:G)</f>
        <v>2026-w02</v>
      </c>
      <c r="K948">
        <f>IFERROR(_xlfn.XLOOKUP(B948,shipments!B:B,shipments!H:H),0)</f>
        <v>35.04</v>
      </c>
      <c r="L948">
        <f t="shared" si="43"/>
        <v>0.05</v>
      </c>
      <c r="M948" t="str">
        <f>_xlfn.XLOOKUP(B948,customer_orders!A:A,customer_orders!D:D)</f>
        <v>Ebay</v>
      </c>
      <c r="N948" t="str">
        <f>_xlfn.XLOOKUP(C948,inventory!B:B,inventory!C:C)</f>
        <v>Unknown</v>
      </c>
      <c r="O948">
        <f>IF(_xlfn.XLOOKUP(C948,products!A:A,products!E:E)="NULL",0,_xlfn.XLOOKUP(C948,products!A:A,products!E:E))</f>
        <v>125.52</v>
      </c>
      <c r="P948">
        <f t="shared" si="44"/>
        <v>517.74</v>
      </c>
      <c r="Q948" s="2" t="str">
        <f>_xlfn.XLOOKUP(I948,products!B:B,products!D:D)</f>
        <v>Home</v>
      </c>
    </row>
    <row r="949" spans="1:17">
      <c r="A949">
        <v>948</v>
      </c>
      <c r="B949">
        <v>1384</v>
      </c>
      <c r="C949">
        <v>30</v>
      </c>
      <c r="D949">
        <v>4</v>
      </c>
      <c r="E949">
        <v>35.229999999999997</v>
      </c>
      <c r="F949">
        <v>0</v>
      </c>
      <c r="G949">
        <f t="shared" si="42"/>
        <v>140.91999999999999</v>
      </c>
      <c r="H949" t="str">
        <f>_xlfn.XLOOKUP(B949,customer_orders!A:A,customer_orders!F:F)</f>
        <v>2026-01</v>
      </c>
      <c r="I949" t="str">
        <f>_xlfn.XLOOKUP(C949,products!A:A,products!B:B)</f>
        <v>SKU-0030</v>
      </c>
      <c r="J949" t="str">
        <f>_xlfn.XLOOKUP(B949,customer_orders!A:A,customer_orders!G:G)</f>
        <v>2026-w02</v>
      </c>
      <c r="K949">
        <f>IFERROR(_xlfn.XLOOKUP(B949,shipments!B:B,shipments!H:H),0)</f>
        <v>35.04</v>
      </c>
      <c r="L949">
        <f t="shared" si="43"/>
        <v>0.25</v>
      </c>
      <c r="M949" t="str">
        <f>_xlfn.XLOOKUP(B949,customer_orders!A:A,customer_orders!D:D)</f>
        <v>Ebay</v>
      </c>
      <c r="N949" t="str">
        <f>_xlfn.XLOOKUP(C949,inventory!B:B,inventory!C:C)</f>
        <v>Draper</v>
      </c>
      <c r="O949">
        <f>IF(_xlfn.XLOOKUP(C949,products!A:A,products!E:E)="NULL",0,_xlfn.XLOOKUP(C949,products!A:A,products!E:E))</f>
        <v>43.54</v>
      </c>
      <c r="P949">
        <f t="shared" si="44"/>
        <v>97.38</v>
      </c>
      <c r="Q949" s="2" t="str">
        <f>_xlfn.XLOOKUP(I949,products!B:B,products!D:D)</f>
        <v>Beauty</v>
      </c>
    </row>
    <row r="950" spans="1:17">
      <c r="A950">
        <v>949</v>
      </c>
      <c r="B950">
        <v>1385</v>
      </c>
      <c r="C950">
        <v>132</v>
      </c>
      <c r="D950">
        <v>7</v>
      </c>
      <c r="E950">
        <v>240.9</v>
      </c>
      <c r="F950">
        <v>0</v>
      </c>
      <c r="G950">
        <f t="shared" si="42"/>
        <v>1686.3</v>
      </c>
      <c r="H950" t="str">
        <f>_xlfn.XLOOKUP(B950,customer_orders!A:A,customer_orders!F:F)</f>
        <v>2026-03</v>
      </c>
      <c r="I950" t="str">
        <f>_xlfn.XLOOKUP(C950,products!A:A,products!B:B)</f>
        <v>SKU-0132</v>
      </c>
      <c r="J950" t="str">
        <f>_xlfn.XLOOKUP(B950,customer_orders!A:A,customer_orders!G:G)</f>
        <v>2026-w12</v>
      </c>
      <c r="K950">
        <f>IFERROR(_xlfn.XLOOKUP(B950,shipments!B:B,shipments!H:H),0)</f>
        <v>73.17</v>
      </c>
      <c r="L950">
        <f t="shared" si="43"/>
        <v>0.04</v>
      </c>
      <c r="M950" t="str">
        <f>_xlfn.XLOOKUP(B950,customer_orders!A:A,customer_orders!D:D)</f>
        <v>Shopify</v>
      </c>
      <c r="N950" t="str">
        <f>_xlfn.XLOOKUP(C950,inventory!B:B,inventory!C:C)</f>
        <v>Salt Lake City</v>
      </c>
      <c r="O950">
        <f>IF(_xlfn.XLOOKUP(C950,products!A:A,products!E:E)="NULL",0,_xlfn.XLOOKUP(C950,products!A:A,products!E:E))</f>
        <v>15.44</v>
      </c>
      <c r="P950">
        <f t="shared" si="44"/>
        <v>1670.86</v>
      </c>
      <c r="Q950" s="2" t="str">
        <f>_xlfn.XLOOKUP(I950,products!B:B,products!D:D)</f>
        <v>Toys</v>
      </c>
    </row>
    <row r="951" spans="1:17">
      <c r="A951">
        <v>950</v>
      </c>
      <c r="B951">
        <v>1385</v>
      </c>
      <c r="C951">
        <v>45</v>
      </c>
      <c r="D951">
        <v>4</v>
      </c>
      <c r="E951">
        <v>184.44</v>
      </c>
      <c r="F951">
        <v>0</v>
      </c>
      <c r="G951">
        <f t="shared" si="42"/>
        <v>737.76</v>
      </c>
      <c r="H951" t="str">
        <f>_xlfn.XLOOKUP(B951,customer_orders!A:A,customer_orders!F:F)</f>
        <v>2026-03</v>
      </c>
      <c r="I951" t="str">
        <f>_xlfn.XLOOKUP(C951,products!A:A,products!B:B)</f>
        <v>SKU-0045</v>
      </c>
      <c r="J951" t="str">
        <f>_xlfn.XLOOKUP(B951,customer_orders!A:A,customer_orders!G:G)</f>
        <v>2026-w12</v>
      </c>
      <c r="K951">
        <f>IFERROR(_xlfn.XLOOKUP(B951,shipments!B:B,shipments!H:H),0)</f>
        <v>73.17</v>
      </c>
      <c r="L951">
        <f t="shared" si="43"/>
        <v>0.1</v>
      </c>
      <c r="M951" t="str">
        <f>_xlfn.XLOOKUP(B951,customer_orders!A:A,customer_orders!D:D)</f>
        <v>Shopify</v>
      </c>
      <c r="N951" t="str">
        <f>_xlfn.XLOOKUP(C951,inventory!B:B,inventory!C:C)</f>
        <v>Draper</v>
      </c>
      <c r="O951">
        <f>IF(_xlfn.XLOOKUP(C951,products!A:A,products!E:E)="NULL",0,_xlfn.XLOOKUP(C951,products!A:A,products!E:E))</f>
        <v>48.09</v>
      </c>
      <c r="P951">
        <f t="shared" si="44"/>
        <v>689.67</v>
      </c>
      <c r="Q951" s="2" t="str">
        <f>_xlfn.XLOOKUP(I951,products!B:B,products!D:D)</f>
        <v>Home</v>
      </c>
    </row>
    <row r="952" spans="1:17">
      <c r="A952">
        <v>951</v>
      </c>
      <c r="B952">
        <v>1385</v>
      </c>
      <c r="C952">
        <v>101</v>
      </c>
      <c r="D952">
        <v>2</v>
      </c>
      <c r="E952">
        <v>45.81</v>
      </c>
      <c r="F952">
        <v>0</v>
      </c>
      <c r="G952">
        <f t="shared" si="42"/>
        <v>91.62</v>
      </c>
      <c r="H952" t="str">
        <f>_xlfn.XLOOKUP(B952,customer_orders!A:A,customer_orders!F:F)</f>
        <v>2026-03</v>
      </c>
      <c r="I952" t="str">
        <f>_xlfn.XLOOKUP(C952,products!A:A,products!B:B)</f>
        <v>SKU-0101</v>
      </c>
      <c r="J952" t="str">
        <f>_xlfn.XLOOKUP(B952,customer_orders!A:A,customer_orders!G:G)</f>
        <v>2026-w12</v>
      </c>
      <c r="K952">
        <f>IFERROR(_xlfn.XLOOKUP(B952,shipments!B:B,shipments!H:H),0)</f>
        <v>73.17</v>
      </c>
      <c r="L952">
        <f t="shared" si="43"/>
        <v>0.8</v>
      </c>
      <c r="M952" t="str">
        <f>_xlfn.XLOOKUP(B952,customer_orders!A:A,customer_orders!D:D)</f>
        <v>Shopify</v>
      </c>
      <c r="N952" t="str">
        <f>_xlfn.XLOOKUP(C952,inventory!B:B,inventory!C:C)</f>
        <v>South Jordan</v>
      </c>
      <c r="O952">
        <f>IF(_xlfn.XLOOKUP(C952,products!A:A,products!E:E)="NULL",0,_xlfn.XLOOKUP(C952,products!A:A,products!E:E))</f>
        <v>173.83</v>
      </c>
      <c r="P952">
        <f t="shared" si="44"/>
        <v>-82.210000000000008</v>
      </c>
      <c r="Q952" s="2" t="str">
        <f>_xlfn.XLOOKUP(I952,products!B:B,products!D:D)</f>
        <v>Home</v>
      </c>
    </row>
    <row r="953" spans="1:17">
      <c r="A953">
        <v>952</v>
      </c>
      <c r="B953">
        <v>1385</v>
      </c>
      <c r="C953">
        <v>43</v>
      </c>
      <c r="D953">
        <v>4</v>
      </c>
      <c r="E953">
        <v>277.02999999999997</v>
      </c>
      <c r="F953">
        <v>14.35</v>
      </c>
      <c r="G953">
        <f t="shared" si="42"/>
        <v>1093.77</v>
      </c>
      <c r="H953" t="str">
        <f>_xlfn.XLOOKUP(B953,customer_orders!A:A,customer_orders!F:F)</f>
        <v>2026-03</v>
      </c>
      <c r="I953" t="str">
        <f>_xlfn.XLOOKUP(C953,products!A:A,products!B:B)</f>
        <v>SKU-0043</v>
      </c>
      <c r="J953" t="str">
        <f>_xlfn.XLOOKUP(B953,customer_orders!A:A,customer_orders!G:G)</f>
        <v>2026-w12</v>
      </c>
      <c r="K953">
        <f>IFERROR(_xlfn.XLOOKUP(B953,shipments!B:B,shipments!H:H),0)</f>
        <v>73.17</v>
      </c>
      <c r="L953">
        <f t="shared" si="43"/>
        <v>7.0000000000000007E-2</v>
      </c>
      <c r="M953" t="str">
        <f>_xlfn.XLOOKUP(B953,customer_orders!A:A,customer_orders!D:D)</f>
        <v>Shopify</v>
      </c>
      <c r="N953" t="str">
        <f>_xlfn.XLOOKUP(C953,inventory!B:B,inventory!C:C)</f>
        <v>Draper</v>
      </c>
      <c r="O953">
        <f>IF(_xlfn.XLOOKUP(C953,products!A:A,products!E:E)="NULL",0,_xlfn.XLOOKUP(C953,products!A:A,products!E:E))</f>
        <v>88.44</v>
      </c>
      <c r="P953">
        <f t="shared" si="44"/>
        <v>1005.3299999999999</v>
      </c>
      <c r="Q953" s="2" t="str">
        <f>_xlfn.XLOOKUP(I953,products!B:B,products!D:D)</f>
        <v>Electronics</v>
      </c>
    </row>
    <row r="954" spans="1:17">
      <c r="A954">
        <v>953</v>
      </c>
      <c r="B954">
        <v>1386</v>
      </c>
      <c r="C954">
        <v>96</v>
      </c>
      <c r="D954">
        <v>2</v>
      </c>
      <c r="E954">
        <v>252.1</v>
      </c>
      <c r="F954">
        <v>0</v>
      </c>
      <c r="G954">
        <f t="shared" si="42"/>
        <v>504.2</v>
      </c>
      <c r="H954" t="str">
        <f>_xlfn.XLOOKUP(B954,customer_orders!A:A,customer_orders!F:F)</f>
        <v>2026-04</v>
      </c>
      <c r="I954" t="str">
        <f>_xlfn.XLOOKUP(C954,products!A:A,products!B:B)</f>
        <v>SKU-0096</v>
      </c>
      <c r="J954" t="str">
        <f>_xlfn.XLOOKUP(B954,customer_orders!A:A,customer_orders!G:G)</f>
        <v>2026-w15</v>
      </c>
      <c r="K954">
        <f>IFERROR(_xlfn.XLOOKUP(B954,shipments!B:B,shipments!H:H),0)</f>
        <v>95.74</v>
      </c>
      <c r="L954">
        <f t="shared" si="43"/>
        <v>0.19</v>
      </c>
      <c r="M954" t="str">
        <f>_xlfn.XLOOKUP(B954,customer_orders!A:A,customer_orders!D:D)</f>
        <v>Shopify</v>
      </c>
      <c r="N954" t="str">
        <f>_xlfn.XLOOKUP(C954,inventory!B:B,inventory!C:C)</f>
        <v>Unknown</v>
      </c>
      <c r="O954">
        <f>IF(_xlfn.XLOOKUP(C954,products!A:A,products!E:E)="NULL",0,_xlfn.XLOOKUP(C954,products!A:A,products!E:E))</f>
        <v>136.6</v>
      </c>
      <c r="P954">
        <f t="shared" si="44"/>
        <v>367.6</v>
      </c>
      <c r="Q954" s="2" t="str">
        <f>_xlfn.XLOOKUP(I954,products!B:B,products!D:D)</f>
        <v>Office</v>
      </c>
    </row>
    <row r="955" spans="1:17">
      <c r="A955">
        <v>954</v>
      </c>
      <c r="B955">
        <v>1386</v>
      </c>
      <c r="C955">
        <v>131</v>
      </c>
      <c r="D955">
        <v>5</v>
      </c>
      <c r="E955">
        <v>57.46</v>
      </c>
      <c r="F955">
        <v>0</v>
      </c>
      <c r="G955">
        <f t="shared" si="42"/>
        <v>287.3</v>
      </c>
      <c r="H955" t="str">
        <f>_xlfn.XLOOKUP(B955,customer_orders!A:A,customer_orders!F:F)</f>
        <v>2026-04</v>
      </c>
      <c r="I955" t="str">
        <f>_xlfn.XLOOKUP(C955,products!A:A,products!B:B)</f>
        <v>SKU-0131</v>
      </c>
      <c r="J955" t="str">
        <f>_xlfn.XLOOKUP(B955,customer_orders!A:A,customer_orders!G:G)</f>
        <v>2026-w15</v>
      </c>
      <c r="K955">
        <f>IFERROR(_xlfn.XLOOKUP(B955,shipments!B:B,shipments!H:H),0)</f>
        <v>95.74</v>
      </c>
      <c r="L955">
        <f t="shared" si="43"/>
        <v>0.33</v>
      </c>
      <c r="M955" t="str">
        <f>_xlfn.XLOOKUP(B955,customer_orders!A:A,customer_orders!D:D)</f>
        <v>Shopify</v>
      </c>
      <c r="N955" t="str">
        <f>_xlfn.XLOOKUP(C955,inventory!B:B,inventory!C:C)</f>
        <v>Salt Lake City</v>
      </c>
      <c r="O955">
        <f>IF(_xlfn.XLOOKUP(C955,products!A:A,products!E:E)="NULL",0,_xlfn.XLOOKUP(C955,products!A:A,products!E:E))</f>
        <v>44.34</v>
      </c>
      <c r="P955">
        <f t="shared" si="44"/>
        <v>242.96</v>
      </c>
      <c r="Q955" s="2" t="str">
        <f>_xlfn.XLOOKUP(I955,products!B:B,products!D:D)</f>
        <v>Home</v>
      </c>
    </row>
    <row r="956" spans="1:17">
      <c r="A956">
        <v>955</v>
      </c>
      <c r="B956">
        <v>1386</v>
      </c>
      <c r="C956">
        <v>136</v>
      </c>
      <c r="D956">
        <v>6</v>
      </c>
      <c r="E956">
        <v>230.54</v>
      </c>
      <c r="F956">
        <v>0</v>
      </c>
      <c r="G956">
        <f t="shared" si="42"/>
        <v>1383.24</v>
      </c>
      <c r="H956" t="str">
        <f>_xlfn.XLOOKUP(B956,customer_orders!A:A,customer_orders!F:F)</f>
        <v>2026-04</v>
      </c>
      <c r="I956" t="str">
        <f>_xlfn.XLOOKUP(C956,products!A:A,products!B:B)</f>
        <v>SKU-0136</v>
      </c>
      <c r="J956" t="str">
        <f>_xlfn.XLOOKUP(B956,customer_orders!A:A,customer_orders!G:G)</f>
        <v>2026-w15</v>
      </c>
      <c r="K956">
        <f>IFERROR(_xlfn.XLOOKUP(B956,shipments!B:B,shipments!H:H),0)</f>
        <v>95.74</v>
      </c>
      <c r="L956">
        <f t="shared" si="43"/>
        <v>7.0000000000000007E-2</v>
      </c>
      <c r="M956" t="str">
        <f>_xlfn.XLOOKUP(B956,customer_orders!A:A,customer_orders!D:D)</f>
        <v>Shopify</v>
      </c>
      <c r="N956" t="str">
        <f>_xlfn.XLOOKUP(C956,inventory!B:B,inventory!C:C)</f>
        <v>South Jordan</v>
      </c>
      <c r="O956">
        <f>IF(_xlfn.XLOOKUP(C956,products!A:A,products!E:E)="NULL",0,_xlfn.XLOOKUP(C956,products!A:A,products!E:E))</f>
        <v>12.04</v>
      </c>
      <c r="P956">
        <f t="shared" si="44"/>
        <v>1371.2</v>
      </c>
      <c r="Q956" s="2" t="str">
        <f>_xlfn.XLOOKUP(I956,products!B:B,products!D:D)</f>
        <v>Sports</v>
      </c>
    </row>
    <row r="957" spans="1:17">
      <c r="A957">
        <v>956</v>
      </c>
      <c r="B957">
        <v>1387</v>
      </c>
      <c r="C957">
        <v>82</v>
      </c>
      <c r="D957">
        <v>1</v>
      </c>
      <c r="E957">
        <v>243.4</v>
      </c>
      <c r="F957">
        <v>0</v>
      </c>
      <c r="G957">
        <f t="shared" si="42"/>
        <v>243.4</v>
      </c>
      <c r="H957" t="str">
        <f>_xlfn.XLOOKUP(B957,customer_orders!A:A,customer_orders!F:F)</f>
        <v>2026-04</v>
      </c>
      <c r="I957" t="str">
        <f>_xlfn.XLOOKUP(C957,products!A:A,products!B:B)</f>
        <v>SKU-0082</v>
      </c>
      <c r="J957" t="str">
        <f>_xlfn.XLOOKUP(B957,customer_orders!A:A,customer_orders!G:G)</f>
        <v>2026-w15</v>
      </c>
      <c r="K957">
        <f>IFERROR(_xlfn.XLOOKUP(B957,shipments!B:B,shipments!H:H),0)</f>
        <v>108.25</v>
      </c>
      <c r="L957">
        <f t="shared" si="43"/>
        <v>0.44</v>
      </c>
      <c r="M957" t="str">
        <f>_xlfn.XLOOKUP(B957,customer_orders!A:A,customer_orders!D:D)</f>
        <v>Ebay</v>
      </c>
      <c r="N957" t="str">
        <f>_xlfn.XLOOKUP(C957,inventory!B:B,inventory!C:C)</f>
        <v>Unknown</v>
      </c>
      <c r="O957">
        <f>IF(_xlfn.XLOOKUP(C957,products!A:A,products!E:E)="NULL",0,_xlfn.XLOOKUP(C957,products!A:A,products!E:E))</f>
        <v>84.88</v>
      </c>
      <c r="P957">
        <f t="shared" si="44"/>
        <v>158.52000000000001</v>
      </c>
      <c r="Q957" s="2" t="str">
        <f>_xlfn.XLOOKUP(I957,products!B:B,products!D:D)</f>
        <v>Beauty</v>
      </c>
    </row>
    <row r="958" spans="1:17">
      <c r="A958">
        <v>957</v>
      </c>
      <c r="B958">
        <v>1388</v>
      </c>
      <c r="C958">
        <v>20</v>
      </c>
      <c r="D958">
        <v>7</v>
      </c>
      <c r="E958">
        <v>168.04</v>
      </c>
      <c r="F958">
        <v>10.55</v>
      </c>
      <c r="G958">
        <f t="shared" si="42"/>
        <v>1165.73</v>
      </c>
      <c r="H958" t="str">
        <f>_xlfn.XLOOKUP(B958,customer_orders!A:A,customer_orders!F:F)</f>
        <v>2026-02</v>
      </c>
      <c r="I958" t="str">
        <f>_xlfn.XLOOKUP(C958,products!A:A,products!B:B)</f>
        <v>SKU-0020</v>
      </c>
      <c r="J958" t="str">
        <f>_xlfn.XLOOKUP(B958,customer_orders!A:A,customer_orders!G:G)</f>
        <v>2026-w09</v>
      </c>
      <c r="K958">
        <f>IFERROR(_xlfn.XLOOKUP(B958,shipments!B:B,shipments!H:H),0)</f>
        <v>56.52</v>
      </c>
      <c r="L958">
        <f t="shared" si="43"/>
        <v>0.05</v>
      </c>
      <c r="M958" t="str">
        <f>_xlfn.XLOOKUP(B958,customer_orders!A:A,customer_orders!D:D)</f>
        <v>Shopify</v>
      </c>
      <c r="N958" t="str">
        <f>_xlfn.XLOOKUP(C958,inventory!B:B,inventory!C:C)</f>
        <v>South Jordan</v>
      </c>
      <c r="O958">
        <f>IF(_xlfn.XLOOKUP(C958,products!A:A,products!E:E)="NULL",0,_xlfn.XLOOKUP(C958,products!A:A,products!E:E))</f>
        <v>124.3</v>
      </c>
      <c r="P958">
        <f t="shared" si="44"/>
        <v>1041.43</v>
      </c>
      <c r="Q958" s="2" t="str">
        <f>_xlfn.XLOOKUP(I958,products!B:B,products!D:D)</f>
        <v>Electronics</v>
      </c>
    </row>
    <row r="959" spans="1:17">
      <c r="A959">
        <v>958</v>
      </c>
      <c r="B959">
        <v>1388</v>
      </c>
      <c r="C959">
        <v>82</v>
      </c>
      <c r="D959">
        <v>6</v>
      </c>
      <c r="E959">
        <v>243.4</v>
      </c>
      <c r="F959">
        <v>0</v>
      </c>
      <c r="G959">
        <f t="shared" si="42"/>
        <v>1460.4</v>
      </c>
      <c r="H959" t="str">
        <f>_xlfn.XLOOKUP(B959,customer_orders!A:A,customer_orders!F:F)</f>
        <v>2026-02</v>
      </c>
      <c r="I959" t="str">
        <f>_xlfn.XLOOKUP(C959,products!A:A,products!B:B)</f>
        <v>SKU-0082</v>
      </c>
      <c r="J959" t="str">
        <f>_xlfn.XLOOKUP(B959,customer_orders!A:A,customer_orders!G:G)</f>
        <v>2026-w09</v>
      </c>
      <c r="K959">
        <f>IFERROR(_xlfn.XLOOKUP(B959,shipments!B:B,shipments!H:H),0)</f>
        <v>56.52</v>
      </c>
      <c r="L959">
        <f t="shared" si="43"/>
        <v>0.04</v>
      </c>
      <c r="M959" t="str">
        <f>_xlfn.XLOOKUP(B959,customer_orders!A:A,customer_orders!D:D)</f>
        <v>Shopify</v>
      </c>
      <c r="N959" t="str">
        <f>_xlfn.XLOOKUP(C959,inventory!B:B,inventory!C:C)</f>
        <v>Unknown</v>
      </c>
      <c r="O959">
        <f>IF(_xlfn.XLOOKUP(C959,products!A:A,products!E:E)="NULL",0,_xlfn.XLOOKUP(C959,products!A:A,products!E:E))</f>
        <v>84.88</v>
      </c>
      <c r="P959">
        <f t="shared" si="44"/>
        <v>1375.52</v>
      </c>
      <c r="Q959" s="2" t="str">
        <f>_xlfn.XLOOKUP(I959,products!B:B,products!D:D)</f>
        <v>Beauty</v>
      </c>
    </row>
    <row r="960" spans="1:17">
      <c r="A960">
        <v>959</v>
      </c>
      <c r="B960">
        <v>1388</v>
      </c>
      <c r="C960">
        <v>127</v>
      </c>
      <c r="D960">
        <v>8</v>
      </c>
      <c r="E960">
        <v>38.14</v>
      </c>
      <c r="F960">
        <v>0</v>
      </c>
      <c r="G960">
        <f t="shared" si="42"/>
        <v>305.12</v>
      </c>
      <c r="H960" t="str">
        <f>_xlfn.XLOOKUP(B960,customer_orders!A:A,customer_orders!F:F)</f>
        <v>2026-02</v>
      </c>
      <c r="I960" t="str">
        <f>_xlfn.XLOOKUP(C960,products!A:A,products!B:B)</f>
        <v>SKU-0127</v>
      </c>
      <c r="J960" t="str">
        <f>_xlfn.XLOOKUP(B960,customer_orders!A:A,customer_orders!G:G)</f>
        <v>2026-w09</v>
      </c>
      <c r="K960">
        <f>IFERROR(_xlfn.XLOOKUP(B960,shipments!B:B,shipments!H:H),0)</f>
        <v>56.52</v>
      </c>
      <c r="L960">
        <f t="shared" si="43"/>
        <v>0.19</v>
      </c>
      <c r="M960" t="str">
        <f>_xlfn.XLOOKUP(B960,customer_orders!A:A,customer_orders!D:D)</f>
        <v>Shopify</v>
      </c>
      <c r="N960" t="str">
        <f>_xlfn.XLOOKUP(C960,inventory!B:B,inventory!C:C)</f>
        <v>South Jordan</v>
      </c>
      <c r="O960">
        <f>IF(_xlfn.XLOOKUP(C960,products!A:A,products!E:E)="NULL",0,_xlfn.XLOOKUP(C960,products!A:A,products!E:E))</f>
        <v>51.31</v>
      </c>
      <c r="P960">
        <f t="shared" si="44"/>
        <v>253.81</v>
      </c>
      <c r="Q960" s="2" t="str">
        <f>_xlfn.XLOOKUP(I960,products!B:B,products!D:D)</f>
        <v>Beauty</v>
      </c>
    </row>
    <row r="961" spans="1:17">
      <c r="A961">
        <v>960</v>
      </c>
      <c r="B961">
        <v>1389</v>
      </c>
      <c r="C961">
        <v>119</v>
      </c>
      <c r="D961">
        <v>5</v>
      </c>
      <c r="E961">
        <v>27.97</v>
      </c>
      <c r="F961">
        <v>2.83</v>
      </c>
      <c r="G961">
        <f t="shared" si="42"/>
        <v>137.01999999999998</v>
      </c>
      <c r="H961" t="str">
        <f>_xlfn.XLOOKUP(B961,customer_orders!A:A,customer_orders!F:F)</f>
        <v>2026-01</v>
      </c>
      <c r="I961" t="str">
        <f>_xlfn.XLOOKUP(C961,products!A:A,products!B:B)</f>
        <v>SKU-0119</v>
      </c>
      <c r="J961" t="str">
        <f>_xlfn.XLOOKUP(B961,customer_orders!A:A,customer_orders!G:G)</f>
        <v>2026-w02</v>
      </c>
      <c r="K961">
        <f>IFERROR(_xlfn.XLOOKUP(B961,shipments!B:B,shipments!H:H),0)</f>
        <v>558.44000000000005</v>
      </c>
      <c r="L961">
        <f t="shared" si="43"/>
        <v>4.08</v>
      </c>
      <c r="M961" t="str">
        <f>_xlfn.XLOOKUP(B961,customer_orders!A:A,customer_orders!D:D)</f>
        <v>Amazon</v>
      </c>
      <c r="N961" t="str">
        <f>_xlfn.XLOOKUP(C961,inventory!B:B,inventory!C:C)</f>
        <v>Lehi</v>
      </c>
      <c r="O961">
        <f>IF(_xlfn.XLOOKUP(C961,products!A:A,products!E:E)="NULL",0,_xlfn.XLOOKUP(C961,products!A:A,products!E:E))</f>
        <v>27.15</v>
      </c>
      <c r="P961">
        <f t="shared" si="44"/>
        <v>109.86999999999998</v>
      </c>
      <c r="Q961" s="2" t="str">
        <f>_xlfn.XLOOKUP(I961,products!B:B,products!D:D)</f>
        <v>Electronics</v>
      </c>
    </row>
    <row r="962" spans="1:17">
      <c r="A962">
        <v>961</v>
      </c>
      <c r="B962">
        <v>1390</v>
      </c>
      <c r="C962">
        <v>127</v>
      </c>
      <c r="D962">
        <v>1</v>
      </c>
      <c r="E962">
        <v>38.14</v>
      </c>
      <c r="F962">
        <v>6.51</v>
      </c>
      <c r="G962">
        <f t="shared" si="42"/>
        <v>31.630000000000003</v>
      </c>
      <c r="H962" t="str">
        <f>_xlfn.XLOOKUP(B962,customer_orders!A:A,customer_orders!F:F)</f>
        <v>2026-03</v>
      </c>
      <c r="I962" t="str">
        <f>_xlfn.XLOOKUP(C962,products!A:A,products!B:B)</f>
        <v>SKU-0127</v>
      </c>
      <c r="J962" t="str">
        <f>_xlfn.XLOOKUP(B962,customer_orders!A:A,customer_orders!G:G)</f>
        <v>2026-w13</v>
      </c>
      <c r="K962">
        <f>IFERROR(_xlfn.XLOOKUP(B962,shipments!B:B,shipments!H:H),0)</f>
        <v>30.26</v>
      </c>
      <c r="L962">
        <f t="shared" si="43"/>
        <v>0.96</v>
      </c>
      <c r="M962" t="str">
        <f>_xlfn.XLOOKUP(B962,customer_orders!A:A,customer_orders!D:D)</f>
        <v>Walmart</v>
      </c>
      <c r="N962" t="str">
        <f>_xlfn.XLOOKUP(C962,inventory!B:B,inventory!C:C)</f>
        <v>South Jordan</v>
      </c>
      <c r="O962">
        <f>IF(_xlfn.XLOOKUP(C962,products!A:A,products!E:E)="NULL",0,_xlfn.XLOOKUP(C962,products!A:A,products!E:E))</f>
        <v>51.31</v>
      </c>
      <c r="P962">
        <f t="shared" si="44"/>
        <v>-19.68</v>
      </c>
      <c r="Q962" s="2" t="str">
        <f>_xlfn.XLOOKUP(I962,products!B:B,products!D:D)</f>
        <v>Beauty</v>
      </c>
    </row>
    <row r="963" spans="1:17">
      <c r="A963">
        <v>962</v>
      </c>
      <c r="B963">
        <v>1390</v>
      </c>
      <c r="C963">
        <v>127</v>
      </c>
      <c r="D963">
        <v>2</v>
      </c>
      <c r="E963">
        <v>38.14</v>
      </c>
      <c r="F963">
        <v>0</v>
      </c>
      <c r="G963">
        <f t="shared" ref="G963:G1026" si="45">E963*D963-F963</f>
        <v>76.28</v>
      </c>
      <c r="H963" t="str">
        <f>_xlfn.XLOOKUP(B963,customer_orders!A:A,customer_orders!F:F)</f>
        <v>2026-03</v>
      </c>
      <c r="I963" t="str">
        <f>_xlfn.XLOOKUP(C963,products!A:A,products!B:B)</f>
        <v>SKU-0127</v>
      </c>
      <c r="J963" t="str">
        <f>_xlfn.XLOOKUP(B963,customer_orders!A:A,customer_orders!G:G)</f>
        <v>2026-w13</v>
      </c>
      <c r="K963">
        <f>IFERROR(_xlfn.XLOOKUP(B963,shipments!B:B,shipments!H:H),0)</f>
        <v>30.26</v>
      </c>
      <c r="L963">
        <f t="shared" ref="L963:L1026" si="46">ROUND(K963/G963,2)</f>
        <v>0.4</v>
      </c>
      <c r="M963" t="str">
        <f>_xlfn.XLOOKUP(B963,customer_orders!A:A,customer_orders!D:D)</f>
        <v>Walmart</v>
      </c>
      <c r="N963" t="str">
        <f>_xlfn.XLOOKUP(C963,inventory!B:B,inventory!C:C)</f>
        <v>South Jordan</v>
      </c>
      <c r="O963">
        <f>IF(_xlfn.XLOOKUP(C963,products!A:A,products!E:E)="NULL",0,_xlfn.XLOOKUP(C963,products!A:A,products!E:E))</f>
        <v>51.31</v>
      </c>
      <c r="P963">
        <f t="shared" ref="P963:P1026" si="47">G963-O963</f>
        <v>24.97</v>
      </c>
      <c r="Q963" s="2" t="str">
        <f>_xlfn.XLOOKUP(I963,products!B:B,products!D:D)</f>
        <v>Beauty</v>
      </c>
    </row>
    <row r="964" spans="1:17">
      <c r="A964">
        <v>963</v>
      </c>
      <c r="B964">
        <v>1390</v>
      </c>
      <c r="C964">
        <v>8</v>
      </c>
      <c r="D964">
        <v>4</v>
      </c>
      <c r="E964">
        <v>118.07</v>
      </c>
      <c r="F964">
        <v>0</v>
      </c>
      <c r="G964">
        <f t="shared" si="45"/>
        <v>472.28</v>
      </c>
      <c r="H964" t="str">
        <f>_xlfn.XLOOKUP(B964,customer_orders!A:A,customer_orders!F:F)</f>
        <v>2026-03</v>
      </c>
      <c r="I964" t="str">
        <f>_xlfn.XLOOKUP(C964,products!A:A,products!B:B)</f>
        <v>SKU-0008</v>
      </c>
      <c r="J964" t="str">
        <f>_xlfn.XLOOKUP(B964,customer_orders!A:A,customer_orders!G:G)</f>
        <v>2026-w13</v>
      </c>
      <c r="K964">
        <f>IFERROR(_xlfn.XLOOKUP(B964,shipments!B:B,shipments!H:H),0)</f>
        <v>30.26</v>
      </c>
      <c r="L964">
        <f t="shared" si="46"/>
        <v>0.06</v>
      </c>
      <c r="M964" t="str">
        <f>_xlfn.XLOOKUP(B964,customer_orders!A:A,customer_orders!D:D)</f>
        <v>Walmart</v>
      </c>
      <c r="N964" t="str">
        <f>_xlfn.XLOOKUP(C964,inventory!B:B,inventory!C:C)</f>
        <v>Salt Lake City</v>
      </c>
      <c r="O964">
        <f>IF(_xlfn.XLOOKUP(C964,products!A:A,products!E:E)="NULL",0,_xlfn.XLOOKUP(C964,products!A:A,products!E:E))</f>
        <v>159.94999999999999</v>
      </c>
      <c r="P964">
        <f t="shared" si="47"/>
        <v>312.33</v>
      </c>
      <c r="Q964" s="2" t="str">
        <f>_xlfn.XLOOKUP(I964,products!B:B,products!D:D)</f>
        <v>Sports</v>
      </c>
    </row>
    <row r="965" spans="1:17">
      <c r="A965">
        <v>964</v>
      </c>
      <c r="B965">
        <v>1391</v>
      </c>
      <c r="C965">
        <v>29</v>
      </c>
      <c r="D965">
        <v>1</v>
      </c>
      <c r="E965">
        <v>33.25</v>
      </c>
      <c r="F965">
        <v>0</v>
      </c>
      <c r="G965">
        <f t="shared" si="45"/>
        <v>33.25</v>
      </c>
      <c r="H965" t="str">
        <f>_xlfn.XLOOKUP(B965,customer_orders!A:A,customer_orders!F:F)</f>
        <v>2026-01</v>
      </c>
      <c r="I965" t="str">
        <f>_xlfn.XLOOKUP(C965,products!A:A,products!B:B)</f>
        <v>SKU-0029</v>
      </c>
      <c r="J965" t="str">
        <f>_xlfn.XLOOKUP(B965,customer_orders!A:A,customer_orders!G:G)</f>
        <v>2026-w01</v>
      </c>
      <c r="K965">
        <f>IFERROR(_xlfn.XLOOKUP(B965,shipments!B:B,shipments!H:H),0)</f>
        <v>95.83</v>
      </c>
      <c r="L965">
        <f t="shared" si="46"/>
        <v>2.88</v>
      </c>
      <c r="M965" t="str">
        <f>_xlfn.XLOOKUP(B965,customer_orders!A:A,customer_orders!D:D)</f>
        <v>Amazon</v>
      </c>
      <c r="N965" t="str">
        <f>_xlfn.XLOOKUP(C965,inventory!B:B,inventory!C:C)</f>
        <v>Salt Lake City</v>
      </c>
      <c r="O965">
        <f>IF(_xlfn.XLOOKUP(C965,products!A:A,products!E:E)="NULL",0,_xlfn.XLOOKUP(C965,products!A:A,products!E:E))</f>
        <v>48.38</v>
      </c>
      <c r="P965">
        <f t="shared" si="47"/>
        <v>-15.130000000000003</v>
      </c>
      <c r="Q965" s="2" t="str">
        <f>_xlfn.XLOOKUP(I965,products!B:B,products!D:D)</f>
        <v>Pet</v>
      </c>
    </row>
    <row r="966" spans="1:17">
      <c r="A966">
        <v>965</v>
      </c>
      <c r="B966">
        <v>1392</v>
      </c>
      <c r="C966">
        <v>150</v>
      </c>
      <c r="D966">
        <v>7</v>
      </c>
      <c r="E966">
        <v>100.09</v>
      </c>
      <c r="F966">
        <v>0</v>
      </c>
      <c r="G966">
        <f t="shared" si="45"/>
        <v>700.63</v>
      </c>
      <c r="H966" t="str">
        <f>_xlfn.XLOOKUP(B966,customer_orders!A:A,customer_orders!F:F)</f>
        <v>2026-04</v>
      </c>
      <c r="I966" t="str">
        <f>_xlfn.XLOOKUP(C966,products!A:A,products!B:B)</f>
        <v>SKU-0150</v>
      </c>
      <c r="J966" t="str">
        <f>_xlfn.XLOOKUP(B966,customer_orders!A:A,customer_orders!G:G)</f>
        <v>2026-w18</v>
      </c>
      <c r="K966">
        <f>IFERROR(_xlfn.XLOOKUP(B966,shipments!B:B,shipments!H:H),0)</f>
        <v>30.2</v>
      </c>
      <c r="L966">
        <f t="shared" si="46"/>
        <v>0.04</v>
      </c>
      <c r="M966" t="str">
        <f>_xlfn.XLOOKUP(B966,customer_orders!A:A,customer_orders!D:D)</f>
        <v>Shopify</v>
      </c>
      <c r="N966" t="str">
        <f>_xlfn.XLOOKUP(C966,inventory!B:B,inventory!C:C)</f>
        <v>South Jordan</v>
      </c>
      <c r="O966">
        <f>IF(_xlfn.XLOOKUP(C966,products!A:A,products!E:E)="NULL",0,_xlfn.XLOOKUP(C966,products!A:A,products!E:E))</f>
        <v>54.5</v>
      </c>
      <c r="P966">
        <f t="shared" si="47"/>
        <v>646.13</v>
      </c>
      <c r="Q966" s="2" t="str">
        <f>_xlfn.XLOOKUP(I966,products!B:B,products!D:D)</f>
        <v>Sports</v>
      </c>
    </row>
    <row r="967" spans="1:17">
      <c r="A967">
        <v>966</v>
      </c>
      <c r="B967">
        <v>1392</v>
      </c>
      <c r="C967">
        <v>134</v>
      </c>
      <c r="D967">
        <v>4</v>
      </c>
      <c r="E967">
        <v>26.36</v>
      </c>
      <c r="F967">
        <v>9.09</v>
      </c>
      <c r="G967">
        <f t="shared" si="45"/>
        <v>96.35</v>
      </c>
      <c r="H967" t="str">
        <f>_xlfn.XLOOKUP(B967,customer_orders!A:A,customer_orders!F:F)</f>
        <v>2026-04</v>
      </c>
      <c r="I967" t="str">
        <f>_xlfn.XLOOKUP(C967,products!A:A,products!B:B)</f>
        <v>SKU-0134</v>
      </c>
      <c r="J967" t="str">
        <f>_xlfn.XLOOKUP(B967,customer_orders!A:A,customer_orders!G:G)</f>
        <v>2026-w18</v>
      </c>
      <c r="K967">
        <f>IFERROR(_xlfn.XLOOKUP(B967,shipments!B:B,shipments!H:H),0)</f>
        <v>30.2</v>
      </c>
      <c r="L967">
        <f t="shared" si="46"/>
        <v>0.31</v>
      </c>
      <c r="M967" t="str">
        <f>_xlfn.XLOOKUP(B967,customer_orders!A:A,customer_orders!D:D)</f>
        <v>Shopify</v>
      </c>
      <c r="N967" t="str">
        <f>_xlfn.XLOOKUP(C967,inventory!B:B,inventory!C:C)</f>
        <v>Draper</v>
      </c>
      <c r="O967">
        <f>IF(_xlfn.XLOOKUP(C967,products!A:A,products!E:E)="NULL",0,_xlfn.XLOOKUP(C967,products!A:A,products!E:E))</f>
        <v>19.079999999999998</v>
      </c>
      <c r="P967">
        <f t="shared" si="47"/>
        <v>77.27</v>
      </c>
      <c r="Q967" s="2" t="str">
        <f>_xlfn.XLOOKUP(I967,products!B:B,products!D:D)</f>
        <v>Pet</v>
      </c>
    </row>
    <row r="968" spans="1:17">
      <c r="A968">
        <v>967</v>
      </c>
      <c r="B968">
        <v>1393</v>
      </c>
      <c r="C968">
        <v>20</v>
      </c>
      <c r="D968">
        <v>2</v>
      </c>
      <c r="E968">
        <v>168.04</v>
      </c>
      <c r="F968">
        <v>0</v>
      </c>
      <c r="G968">
        <f t="shared" si="45"/>
        <v>336.08</v>
      </c>
      <c r="H968" t="str">
        <f>_xlfn.XLOOKUP(B968,customer_orders!A:A,customer_orders!F:F)</f>
        <v>2026-03</v>
      </c>
      <c r="I968" t="str">
        <f>_xlfn.XLOOKUP(C968,products!A:A,products!B:B)</f>
        <v>SKU-0020</v>
      </c>
      <c r="J968" t="str">
        <f>_xlfn.XLOOKUP(B968,customer_orders!A:A,customer_orders!G:G)</f>
        <v>2026-w10</v>
      </c>
      <c r="K968">
        <f>IFERROR(_xlfn.XLOOKUP(B968,shipments!B:B,shipments!H:H),0)</f>
        <v>16.13</v>
      </c>
      <c r="L968">
        <f t="shared" si="46"/>
        <v>0.05</v>
      </c>
      <c r="M968" t="str">
        <f>_xlfn.XLOOKUP(B968,customer_orders!A:A,customer_orders!D:D)</f>
        <v>Shopify</v>
      </c>
      <c r="N968" t="str">
        <f>_xlfn.XLOOKUP(C968,inventory!B:B,inventory!C:C)</f>
        <v>South Jordan</v>
      </c>
      <c r="O968">
        <f>IF(_xlfn.XLOOKUP(C968,products!A:A,products!E:E)="NULL",0,_xlfn.XLOOKUP(C968,products!A:A,products!E:E))</f>
        <v>124.3</v>
      </c>
      <c r="P968">
        <f t="shared" si="47"/>
        <v>211.77999999999997</v>
      </c>
      <c r="Q968" s="2" t="str">
        <f>_xlfn.XLOOKUP(I968,products!B:B,products!D:D)</f>
        <v>Electronics</v>
      </c>
    </row>
    <row r="969" spans="1:17">
      <c r="A969">
        <v>968</v>
      </c>
      <c r="B969">
        <v>1393</v>
      </c>
      <c r="C969">
        <v>55</v>
      </c>
      <c r="D969">
        <v>1</v>
      </c>
      <c r="E969">
        <v>110.06</v>
      </c>
      <c r="F969">
        <v>10.39</v>
      </c>
      <c r="G969">
        <f t="shared" si="45"/>
        <v>99.67</v>
      </c>
      <c r="H969" t="str">
        <f>_xlfn.XLOOKUP(B969,customer_orders!A:A,customer_orders!F:F)</f>
        <v>2026-03</v>
      </c>
      <c r="I969" t="str">
        <f>_xlfn.XLOOKUP(C969,products!A:A,products!B:B)</f>
        <v>SKU-0055</v>
      </c>
      <c r="J969" t="str">
        <f>_xlfn.XLOOKUP(B969,customer_orders!A:A,customer_orders!G:G)</f>
        <v>2026-w10</v>
      </c>
      <c r="K969">
        <f>IFERROR(_xlfn.XLOOKUP(B969,shipments!B:B,shipments!H:H),0)</f>
        <v>16.13</v>
      </c>
      <c r="L969">
        <f t="shared" si="46"/>
        <v>0.16</v>
      </c>
      <c r="M969" t="str">
        <f>_xlfn.XLOOKUP(B969,customer_orders!A:A,customer_orders!D:D)</f>
        <v>Shopify</v>
      </c>
      <c r="N969" t="str">
        <f>_xlfn.XLOOKUP(C969,inventory!B:B,inventory!C:C)</f>
        <v>South Jordan</v>
      </c>
      <c r="O969">
        <f>IF(_xlfn.XLOOKUP(C969,products!A:A,products!E:E)="NULL",0,_xlfn.XLOOKUP(C969,products!A:A,products!E:E))</f>
        <v>12.72</v>
      </c>
      <c r="P969">
        <f t="shared" si="47"/>
        <v>86.95</v>
      </c>
      <c r="Q969" s="2" t="str">
        <f>_xlfn.XLOOKUP(I969,products!B:B,products!D:D)</f>
        <v>Office</v>
      </c>
    </row>
    <row r="970" spans="1:17">
      <c r="A970">
        <v>969</v>
      </c>
      <c r="B970">
        <v>1394</v>
      </c>
      <c r="C970">
        <v>34</v>
      </c>
      <c r="D970">
        <v>4</v>
      </c>
      <c r="E970">
        <v>222.79</v>
      </c>
      <c r="F970">
        <v>13.83</v>
      </c>
      <c r="G970">
        <f t="shared" si="45"/>
        <v>877.32999999999993</v>
      </c>
      <c r="H970" t="str">
        <f>_xlfn.XLOOKUP(B970,customer_orders!A:A,customer_orders!F:F)</f>
        <v>2026-04</v>
      </c>
      <c r="I970" t="str">
        <f>_xlfn.XLOOKUP(C970,products!A:A,products!B:B)</f>
        <v>SKU-0034</v>
      </c>
      <c r="J970" t="str">
        <f>_xlfn.XLOOKUP(B970,customer_orders!A:A,customer_orders!G:G)</f>
        <v>2026-w18</v>
      </c>
      <c r="K970">
        <f>IFERROR(_xlfn.XLOOKUP(B970,shipments!B:B,shipments!H:H),0)</f>
        <v>27.55</v>
      </c>
      <c r="L970">
        <f t="shared" si="46"/>
        <v>0.03</v>
      </c>
      <c r="M970" t="str">
        <f>_xlfn.XLOOKUP(B970,customer_orders!A:A,customer_orders!D:D)</f>
        <v>Shopify</v>
      </c>
      <c r="N970" t="str">
        <f>_xlfn.XLOOKUP(C970,inventory!B:B,inventory!C:C)</f>
        <v>Salt Lake City</v>
      </c>
      <c r="O970">
        <f>IF(_xlfn.XLOOKUP(C970,products!A:A,products!E:E)="NULL",0,_xlfn.XLOOKUP(C970,products!A:A,products!E:E))</f>
        <v>86.73</v>
      </c>
      <c r="P970">
        <f t="shared" si="47"/>
        <v>790.59999999999991</v>
      </c>
      <c r="Q970" s="2" t="str">
        <f>_xlfn.XLOOKUP(I970,products!B:B,products!D:D)</f>
        <v>Office</v>
      </c>
    </row>
    <row r="971" spans="1:17">
      <c r="A971">
        <v>970</v>
      </c>
      <c r="B971">
        <v>1395</v>
      </c>
      <c r="C971">
        <v>38</v>
      </c>
      <c r="D971">
        <v>8</v>
      </c>
      <c r="E971">
        <v>256.88</v>
      </c>
      <c r="F971">
        <v>0</v>
      </c>
      <c r="G971">
        <f t="shared" si="45"/>
        <v>2055.04</v>
      </c>
      <c r="H971" t="str">
        <f>_xlfn.XLOOKUP(B971,customer_orders!A:A,customer_orders!F:F)</f>
        <v>2026-02</v>
      </c>
      <c r="I971" t="str">
        <f>_xlfn.XLOOKUP(C971,products!A:A,products!B:B)</f>
        <v>SKU-0038</v>
      </c>
      <c r="J971" t="str">
        <f>_xlfn.XLOOKUP(B971,customer_orders!A:A,customer_orders!G:G)</f>
        <v>2026-w07</v>
      </c>
      <c r="K971">
        <f>IFERROR(_xlfn.XLOOKUP(B971,shipments!B:B,shipments!H:H),0)</f>
        <v>25.7</v>
      </c>
      <c r="L971">
        <f t="shared" si="46"/>
        <v>0.01</v>
      </c>
      <c r="M971" t="str">
        <f>_xlfn.XLOOKUP(B971,customer_orders!A:A,customer_orders!D:D)</f>
        <v>Ebay</v>
      </c>
      <c r="N971" t="str">
        <f>_xlfn.XLOOKUP(C971,inventory!B:B,inventory!C:C)</f>
        <v>Unknown</v>
      </c>
      <c r="O971">
        <f>IF(_xlfn.XLOOKUP(C971,products!A:A,products!E:E)="NULL",0,_xlfn.XLOOKUP(C971,products!A:A,products!E:E))</f>
        <v>167.11</v>
      </c>
      <c r="P971">
        <f t="shared" si="47"/>
        <v>1887.9299999999998</v>
      </c>
      <c r="Q971" s="2" t="str">
        <f>_xlfn.XLOOKUP(I971,products!B:B,products!D:D)</f>
        <v>Electronics</v>
      </c>
    </row>
    <row r="972" spans="1:17">
      <c r="A972">
        <v>971</v>
      </c>
      <c r="B972">
        <v>1396</v>
      </c>
      <c r="C972">
        <v>111</v>
      </c>
      <c r="D972">
        <v>4</v>
      </c>
      <c r="E972">
        <v>39.4</v>
      </c>
      <c r="F972">
        <v>3.11</v>
      </c>
      <c r="G972">
        <f t="shared" si="45"/>
        <v>154.48999999999998</v>
      </c>
      <c r="H972" t="str">
        <f>_xlfn.XLOOKUP(B972,customer_orders!A:A,customer_orders!F:F)</f>
        <v>2026-03</v>
      </c>
      <c r="I972" t="str">
        <f>_xlfn.XLOOKUP(C972,products!A:A,products!B:B)</f>
        <v>SKU0111</v>
      </c>
      <c r="J972" t="str">
        <f>_xlfn.XLOOKUP(B972,customer_orders!A:A,customer_orders!G:G)</f>
        <v>2026-w11</v>
      </c>
      <c r="K972">
        <f>IFERROR(_xlfn.XLOOKUP(B972,shipments!B:B,shipments!H:H),0)</f>
        <v>25.98</v>
      </c>
      <c r="L972">
        <f t="shared" si="46"/>
        <v>0.17</v>
      </c>
      <c r="M972" t="str">
        <f>_xlfn.XLOOKUP(B972,customer_orders!A:A,customer_orders!D:D)</f>
        <v>Amazon</v>
      </c>
      <c r="N972" t="str">
        <f>_xlfn.XLOOKUP(C972,inventory!B:B,inventory!C:C)</f>
        <v>West Valley</v>
      </c>
      <c r="O972">
        <f>IF(_xlfn.XLOOKUP(C972,products!A:A,products!E:E)="NULL",0,_xlfn.XLOOKUP(C972,products!A:A,products!E:E))</f>
        <v>170.91</v>
      </c>
      <c r="P972">
        <f t="shared" si="47"/>
        <v>-16.420000000000016</v>
      </c>
      <c r="Q972" s="2" t="str">
        <f>_xlfn.XLOOKUP(I972,products!B:B,products!D:D)</f>
        <v>Electronics</v>
      </c>
    </row>
    <row r="973" spans="1:17">
      <c r="A973">
        <v>972</v>
      </c>
      <c r="B973">
        <v>1396</v>
      </c>
      <c r="C973">
        <v>131</v>
      </c>
      <c r="D973">
        <v>6</v>
      </c>
      <c r="E973">
        <v>57.46</v>
      </c>
      <c r="F973">
        <v>0</v>
      </c>
      <c r="G973">
        <f t="shared" si="45"/>
        <v>344.76</v>
      </c>
      <c r="H973" t="str">
        <f>_xlfn.XLOOKUP(B973,customer_orders!A:A,customer_orders!F:F)</f>
        <v>2026-03</v>
      </c>
      <c r="I973" t="str">
        <f>_xlfn.XLOOKUP(C973,products!A:A,products!B:B)</f>
        <v>SKU-0131</v>
      </c>
      <c r="J973" t="str">
        <f>_xlfn.XLOOKUP(B973,customer_orders!A:A,customer_orders!G:G)</f>
        <v>2026-w11</v>
      </c>
      <c r="K973">
        <f>IFERROR(_xlfn.XLOOKUP(B973,shipments!B:B,shipments!H:H),0)</f>
        <v>25.98</v>
      </c>
      <c r="L973">
        <f t="shared" si="46"/>
        <v>0.08</v>
      </c>
      <c r="M973" t="str">
        <f>_xlfn.XLOOKUP(B973,customer_orders!A:A,customer_orders!D:D)</f>
        <v>Amazon</v>
      </c>
      <c r="N973" t="str">
        <f>_xlfn.XLOOKUP(C973,inventory!B:B,inventory!C:C)</f>
        <v>Salt Lake City</v>
      </c>
      <c r="O973">
        <f>IF(_xlfn.XLOOKUP(C973,products!A:A,products!E:E)="NULL",0,_xlfn.XLOOKUP(C973,products!A:A,products!E:E))</f>
        <v>44.34</v>
      </c>
      <c r="P973">
        <f t="shared" si="47"/>
        <v>300.41999999999996</v>
      </c>
      <c r="Q973" s="2" t="str">
        <f>_xlfn.XLOOKUP(I973,products!B:B,products!D:D)</f>
        <v>Home</v>
      </c>
    </row>
    <row r="974" spans="1:17">
      <c r="A974">
        <v>973</v>
      </c>
      <c r="B974">
        <v>1396</v>
      </c>
      <c r="C974">
        <v>95</v>
      </c>
      <c r="D974">
        <v>2</v>
      </c>
      <c r="E974">
        <v>75.319999999999993</v>
      </c>
      <c r="F974">
        <v>1.69</v>
      </c>
      <c r="G974">
        <f t="shared" si="45"/>
        <v>148.94999999999999</v>
      </c>
      <c r="H974" t="str">
        <f>_xlfn.XLOOKUP(B974,customer_orders!A:A,customer_orders!F:F)</f>
        <v>2026-03</v>
      </c>
      <c r="I974" t="str">
        <f>_xlfn.XLOOKUP(C974,products!A:A,products!B:B)</f>
        <v>SKU-0095</v>
      </c>
      <c r="J974" t="str">
        <f>_xlfn.XLOOKUP(B974,customer_orders!A:A,customer_orders!G:G)</f>
        <v>2026-w11</v>
      </c>
      <c r="K974">
        <f>IFERROR(_xlfn.XLOOKUP(B974,shipments!B:B,shipments!H:H),0)</f>
        <v>25.98</v>
      </c>
      <c r="L974">
        <f t="shared" si="46"/>
        <v>0.17</v>
      </c>
      <c r="M974" t="str">
        <f>_xlfn.XLOOKUP(B974,customer_orders!A:A,customer_orders!D:D)</f>
        <v>Amazon</v>
      </c>
      <c r="N974" t="str">
        <f>_xlfn.XLOOKUP(C974,inventory!B:B,inventory!C:C)</f>
        <v>Draper</v>
      </c>
      <c r="O974">
        <f>IF(_xlfn.XLOOKUP(C974,products!A:A,products!E:E)="NULL",0,_xlfn.XLOOKUP(C974,products!A:A,products!E:E))</f>
        <v>71.34</v>
      </c>
      <c r="P974">
        <f t="shared" si="47"/>
        <v>77.609999999999985</v>
      </c>
      <c r="Q974" s="2" t="str">
        <f>_xlfn.XLOOKUP(I974,products!B:B,products!D:D)</f>
        <v>Electronics</v>
      </c>
    </row>
    <row r="975" spans="1:17">
      <c r="A975">
        <v>974</v>
      </c>
      <c r="B975">
        <v>1397</v>
      </c>
      <c r="C975">
        <v>29</v>
      </c>
      <c r="D975">
        <v>4</v>
      </c>
      <c r="E975">
        <v>33.25</v>
      </c>
      <c r="F975">
        <v>0</v>
      </c>
      <c r="G975">
        <f t="shared" si="45"/>
        <v>133</v>
      </c>
      <c r="H975" t="str">
        <f>_xlfn.XLOOKUP(B975,customer_orders!A:A,customer_orders!F:F)</f>
        <v>2026-04</v>
      </c>
      <c r="I975" t="str">
        <f>_xlfn.XLOOKUP(C975,products!A:A,products!B:B)</f>
        <v>SKU-0029</v>
      </c>
      <c r="J975" t="str">
        <f>_xlfn.XLOOKUP(B975,customer_orders!A:A,customer_orders!G:G)</f>
        <v>2026-w17</v>
      </c>
      <c r="K975">
        <f>IFERROR(_xlfn.XLOOKUP(B975,shipments!B:B,shipments!H:H),0)</f>
        <v>85.14</v>
      </c>
      <c r="L975">
        <f t="shared" si="46"/>
        <v>0.64</v>
      </c>
      <c r="M975" t="str">
        <f>_xlfn.XLOOKUP(B975,customer_orders!A:A,customer_orders!D:D)</f>
        <v>Shopify</v>
      </c>
      <c r="N975" t="str">
        <f>_xlfn.XLOOKUP(C975,inventory!B:B,inventory!C:C)</f>
        <v>Salt Lake City</v>
      </c>
      <c r="O975">
        <f>IF(_xlfn.XLOOKUP(C975,products!A:A,products!E:E)="NULL",0,_xlfn.XLOOKUP(C975,products!A:A,products!E:E))</f>
        <v>48.38</v>
      </c>
      <c r="P975">
        <f t="shared" si="47"/>
        <v>84.62</v>
      </c>
      <c r="Q975" s="2" t="str">
        <f>_xlfn.XLOOKUP(I975,products!B:B,products!D:D)</f>
        <v>Pet</v>
      </c>
    </row>
    <row r="976" spans="1:17">
      <c r="A976">
        <v>975</v>
      </c>
      <c r="B976">
        <v>1397</v>
      </c>
      <c r="C976">
        <v>148</v>
      </c>
      <c r="D976">
        <v>5</v>
      </c>
      <c r="E976">
        <v>124.32</v>
      </c>
      <c r="F976">
        <v>0</v>
      </c>
      <c r="G976">
        <f t="shared" si="45"/>
        <v>621.59999999999991</v>
      </c>
      <c r="H976" t="str">
        <f>_xlfn.XLOOKUP(B976,customer_orders!A:A,customer_orders!F:F)</f>
        <v>2026-04</v>
      </c>
      <c r="I976" t="str">
        <f>_xlfn.XLOOKUP(C976,products!A:A,products!B:B)</f>
        <v>SKU0148</v>
      </c>
      <c r="J976" t="str">
        <f>_xlfn.XLOOKUP(B976,customer_orders!A:A,customer_orders!G:G)</f>
        <v>2026-w17</v>
      </c>
      <c r="K976">
        <f>IFERROR(_xlfn.XLOOKUP(B976,shipments!B:B,shipments!H:H),0)</f>
        <v>85.14</v>
      </c>
      <c r="L976">
        <f t="shared" si="46"/>
        <v>0.14000000000000001</v>
      </c>
      <c r="M976" t="str">
        <f>_xlfn.XLOOKUP(B976,customer_orders!A:A,customer_orders!D:D)</f>
        <v>Shopify</v>
      </c>
      <c r="N976" t="str">
        <f>_xlfn.XLOOKUP(C976,inventory!B:B,inventory!C:C)</f>
        <v>Draper</v>
      </c>
      <c r="O976">
        <f>IF(_xlfn.XLOOKUP(C976,products!A:A,products!E:E)="NULL",0,_xlfn.XLOOKUP(C976,products!A:A,products!E:E))</f>
        <v>101.47</v>
      </c>
      <c r="P976">
        <f t="shared" si="47"/>
        <v>520.12999999999988</v>
      </c>
      <c r="Q976" s="2" t="str">
        <f>_xlfn.XLOOKUP(I976,products!B:B,products!D:D)</f>
        <v>Beauty</v>
      </c>
    </row>
    <row r="977" spans="1:17">
      <c r="A977">
        <v>976</v>
      </c>
      <c r="B977">
        <v>1398</v>
      </c>
      <c r="C977">
        <v>89</v>
      </c>
      <c r="D977">
        <v>5</v>
      </c>
      <c r="E977">
        <v>126</v>
      </c>
      <c r="F977">
        <v>0</v>
      </c>
      <c r="G977">
        <f t="shared" si="45"/>
        <v>630</v>
      </c>
      <c r="H977" t="str">
        <f>_xlfn.XLOOKUP(B977,customer_orders!A:A,customer_orders!F:F)</f>
        <v>2026-03</v>
      </c>
      <c r="I977" t="str">
        <f>_xlfn.XLOOKUP(C977,products!A:A,products!B:B)</f>
        <v>SKU-0089</v>
      </c>
      <c r="J977" t="str">
        <f>_xlfn.XLOOKUP(B977,customer_orders!A:A,customer_orders!G:G)</f>
        <v>2026-w11</v>
      </c>
      <c r="K977">
        <f>IFERROR(_xlfn.XLOOKUP(B977,shipments!B:B,shipments!H:H),0)</f>
        <v>23.75</v>
      </c>
      <c r="L977">
        <f t="shared" si="46"/>
        <v>0.04</v>
      </c>
      <c r="M977" t="str">
        <f>_xlfn.XLOOKUP(B977,customer_orders!A:A,customer_orders!D:D)</f>
        <v>Shopify</v>
      </c>
      <c r="N977" t="str">
        <f>_xlfn.XLOOKUP(C977,inventory!B:B,inventory!C:C)</f>
        <v>South Jordan</v>
      </c>
      <c r="O977">
        <f>IF(_xlfn.XLOOKUP(C977,products!A:A,products!E:E)="NULL",0,_xlfn.XLOOKUP(C977,products!A:A,products!E:E))</f>
        <v>150.76</v>
      </c>
      <c r="P977">
        <f t="shared" si="47"/>
        <v>479.24</v>
      </c>
      <c r="Q977" s="2" t="str">
        <f>_xlfn.XLOOKUP(I977,products!B:B,products!D:D)</f>
        <v>Electronics</v>
      </c>
    </row>
    <row r="978" spans="1:17">
      <c r="A978">
        <v>977</v>
      </c>
      <c r="B978">
        <v>1398</v>
      </c>
      <c r="C978">
        <v>1</v>
      </c>
      <c r="D978">
        <v>2</v>
      </c>
      <c r="E978">
        <v>84.79</v>
      </c>
      <c r="F978">
        <v>3.59</v>
      </c>
      <c r="G978">
        <f t="shared" si="45"/>
        <v>165.99</v>
      </c>
      <c r="H978" t="str">
        <f>_xlfn.XLOOKUP(B978,customer_orders!A:A,customer_orders!F:F)</f>
        <v>2026-03</v>
      </c>
      <c r="I978" t="str">
        <f>_xlfn.XLOOKUP(C978,products!A:A,products!B:B)</f>
        <v>SKU-0001</v>
      </c>
      <c r="J978" t="str">
        <f>_xlfn.XLOOKUP(B978,customer_orders!A:A,customer_orders!G:G)</f>
        <v>2026-w11</v>
      </c>
      <c r="K978">
        <f>IFERROR(_xlfn.XLOOKUP(B978,shipments!B:B,shipments!H:H),0)</f>
        <v>23.75</v>
      </c>
      <c r="L978">
        <f t="shared" si="46"/>
        <v>0.14000000000000001</v>
      </c>
      <c r="M978" t="str">
        <f>_xlfn.XLOOKUP(B978,customer_orders!A:A,customer_orders!D:D)</f>
        <v>Shopify</v>
      </c>
      <c r="N978" t="str">
        <f>_xlfn.XLOOKUP(C978,inventory!B:B,inventory!C:C)</f>
        <v>South Jordan</v>
      </c>
      <c r="O978">
        <f>IF(_xlfn.XLOOKUP(C978,products!A:A,products!E:E)="NULL",0,_xlfn.XLOOKUP(C978,products!A:A,products!E:E))</f>
        <v>134.77000000000001</v>
      </c>
      <c r="P978">
        <f t="shared" si="47"/>
        <v>31.22</v>
      </c>
      <c r="Q978" s="2" t="str">
        <f>_xlfn.XLOOKUP(I978,products!B:B,products!D:D)</f>
        <v>Home</v>
      </c>
    </row>
    <row r="979" spans="1:17">
      <c r="A979">
        <v>978</v>
      </c>
      <c r="B979">
        <v>1399</v>
      </c>
      <c r="C979">
        <v>110</v>
      </c>
      <c r="D979">
        <v>6</v>
      </c>
      <c r="E979">
        <v>112</v>
      </c>
      <c r="F979">
        <v>0</v>
      </c>
      <c r="G979">
        <f t="shared" si="45"/>
        <v>672</v>
      </c>
      <c r="H979" t="str">
        <f>_xlfn.XLOOKUP(B979,customer_orders!A:A,customer_orders!F:F)</f>
        <v>2026-04</v>
      </c>
      <c r="I979" t="str">
        <f>_xlfn.XLOOKUP(C979,products!A:A,products!B:B)</f>
        <v>SKU-0110</v>
      </c>
      <c r="J979" t="str">
        <f>_xlfn.XLOOKUP(B979,customer_orders!A:A,customer_orders!G:G)</f>
        <v>2026-w18</v>
      </c>
      <c r="K979">
        <f>IFERROR(_xlfn.XLOOKUP(B979,shipments!B:B,shipments!H:H),0)</f>
        <v>100.9</v>
      </c>
      <c r="L979">
        <f t="shared" si="46"/>
        <v>0.15</v>
      </c>
      <c r="M979" t="str">
        <f>_xlfn.XLOOKUP(B979,customer_orders!A:A,customer_orders!D:D)</f>
        <v>Amazon</v>
      </c>
      <c r="N979" t="str">
        <f>_xlfn.XLOOKUP(C979,inventory!B:B,inventory!C:C)</f>
        <v>Draper</v>
      </c>
      <c r="O979">
        <f>IF(_xlfn.XLOOKUP(C979,products!A:A,products!E:E)="NULL",0,_xlfn.XLOOKUP(C979,products!A:A,products!E:E))</f>
        <v>144.62</v>
      </c>
      <c r="P979">
        <f t="shared" si="47"/>
        <v>527.38</v>
      </c>
      <c r="Q979" s="2" t="str">
        <f>_xlfn.XLOOKUP(I979,products!B:B,products!D:D)</f>
        <v>Beauty</v>
      </c>
    </row>
    <row r="980" spans="1:17">
      <c r="A980">
        <v>979</v>
      </c>
      <c r="B980">
        <v>1399</v>
      </c>
      <c r="C980">
        <v>20</v>
      </c>
      <c r="D980">
        <v>3</v>
      </c>
      <c r="E980">
        <v>168.04</v>
      </c>
      <c r="F980">
        <v>0</v>
      </c>
      <c r="G980">
        <f t="shared" si="45"/>
        <v>504.12</v>
      </c>
      <c r="H980" t="str">
        <f>_xlfn.XLOOKUP(B980,customer_orders!A:A,customer_orders!F:F)</f>
        <v>2026-04</v>
      </c>
      <c r="I980" t="str">
        <f>_xlfn.XLOOKUP(C980,products!A:A,products!B:B)</f>
        <v>SKU-0020</v>
      </c>
      <c r="J980" t="str">
        <f>_xlfn.XLOOKUP(B980,customer_orders!A:A,customer_orders!G:G)</f>
        <v>2026-w18</v>
      </c>
      <c r="K980">
        <f>IFERROR(_xlfn.XLOOKUP(B980,shipments!B:B,shipments!H:H),0)</f>
        <v>100.9</v>
      </c>
      <c r="L980">
        <f t="shared" si="46"/>
        <v>0.2</v>
      </c>
      <c r="M980" t="str">
        <f>_xlfn.XLOOKUP(B980,customer_orders!A:A,customer_orders!D:D)</f>
        <v>Amazon</v>
      </c>
      <c r="N980" t="str">
        <f>_xlfn.XLOOKUP(C980,inventory!B:B,inventory!C:C)</f>
        <v>South Jordan</v>
      </c>
      <c r="O980">
        <f>IF(_xlfn.XLOOKUP(C980,products!A:A,products!E:E)="NULL",0,_xlfn.XLOOKUP(C980,products!A:A,products!E:E))</f>
        <v>124.3</v>
      </c>
      <c r="P980">
        <f t="shared" si="47"/>
        <v>379.82</v>
      </c>
      <c r="Q980" s="2" t="str">
        <f>_xlfn.XLOOKUP(I980,products!B:B,products!D:D)</f>
        <v>Electronics</v>
      </c>
    </row>
    <row r="981" spans="1:17">
      <c r="A981">
        <v>980</v>
      </c>
      <c r="B981">
        <v>1399</v>
      </c>
      <c r="C981">
        <v>91</v>
      </c>
      <c r="D981">
        <v>8</v>
      </c>
      <c r="E981">
        <v>170.65</v>
      </c>
      <c r="F981">
        <v>9.16</v>
      </c>
      <c r="G981">
        <f t="shared" si="45"/>
        <v>1356.04</v>
      </c>
      <c r="H981" t="str">
        <f>_xlfn.XLOOKUP(B981,customer_orders!A:A,customer_orders!F:F)</f>
        <v>2026-04</v>
      </c>
      <c r="I981" t="str">
        <f>_xlfn.XLOOKUP(C981,products!A:A,products!B:B)</f>
        <v>SKU-0091</v>
      </c>
      <c r="J981" t="str">
        <f>_xlfn.XLOOKUP(B981,customer_orders!A:A,customer_orders!G:G)</f>
        <v>2026-w18</v>
      </c>
      <c r="K981">
        <f>IFERROR(_xlfn.XLOOKUP(B981,shipments!B:B,shipments!H:H),0)</f>
        <v>100.9</v>
      </c>
      <c r="L981">
        <f t="shared" si="46"/>
        <v>7.0000000000000007E-2</v>
      </c>
      <c r="M981" t="str">
        <f>_xlfn.XLOOKUP(B981,customer_orders!A:A,customer_orders!D:D)</f>
        <v>Amazon</v>
      </c>
      <c r="N981" t="str">
        <f>_xlfn.XLOOKUP(C981,inventory!B:B,inventory!C:C)</f>
        <v>Salt Lake City</v>
      </c>
      <c r="O981">
        <f>IF(_xlfn.XLOOKUP(C981,products!A:A,products!E:E)="NULL",0,_xlfn.XLOOKUP(C981,products!A:A,products!E:E))</f>
        <v>135.82</v>
      </c>
      <c r="P981">
        <f t="shared" si="47"/>
        <v>1220.22</v>
      </c>
      <c r="Q981" s="2" t="str">
        <f>_xlfn.XLOOKUP(I981,products!B:B,products!D:D)</f>
        <v>Office</v>
      </c>
    </row>
    <row r="982" spans="1:17">
      <c r="A982">
        <v>981</v>
      </c>
      <c r="B982">
        <v>1399</v>
      </c>
      <c r="C982">
        <v>64</v>
      </c>
      <c r="D982">
        <v>8</v>
      </c>
      <c r="E982">
        <v>247.73</v>
      </c>
      <c r="F982">
        <v>0</v>
      </c>
      <c r="G982">
        <f t="shared" si="45"/>
        <v>1981.84</v>
      </c>
      <c r="H982" t="str">
        <f>_xlfn.XLOOKUP(B982,customer_orders!A:A,customer_orders!F:F)</f>
        <v>2026-04</v>
      </c>
      <c r="I982" t="str">
        <f>_xlfn.XLOOKUP(C982,products!A:A,products!B:B)</f>
        <v>SKU-0064</v>
      </c>
      <c r="J982" t="str">
        <f>_xlfn.XLOOKUP(B982,customer_orders!A:A,customer_orders!G:G)</f>
        <v>2026-w18</v>
      </c>
      <c r="K982">
        <f>IFERROR(_xlfn.XLOOKUP(B982,shipments!B:B,shipments!H:H),0)</f>
        <v>100.9</v>
      </c>
      <c r="L982">
        <f t="shared" si="46"/>
        <v>0.05</v>
      </c>
      <c r="M982" t="str">
        <f>_xlfn.XLOOKUP(B982,customer_orders!A:A,customer_orders!D:D)</f>
        <v>Amazon</v>
      </c>
      <c r="N982" t="str">
        <f>_xlfn.XLOOKUP(C982,inventory!B:B,inventory!C:C)</f>
        <v>Unknown</v>
      </c>
      <c r="O982">
        <f>IF(_xlfn.XLOOKUP(C982,products!A:A,products!E:E)="NULL",0,_xlfn.XLOOKUP(C982,products!A:A,products!E:E))</f>
        <v>43.93</v>
      </c>
      <c r="P982">
        <f t="shared" si="47"/>
        <v>1937.9099999999999</v>
      </c>
      <c r="Q982" s="2" t="str">
        <f>_xlfn.XLOOKUP(I982,products!B:B,products!D:D)</f>
        <v>Electronics</v>
      </c>
    </row>
    <row r="983" spans="1:17">
      <c r="A983">
        <v>982</v>
      </c>
      <c r="B983">
        <v>1400</v>
      </c>
      <c r="C983">
        <v>126</v>
      </c>
      <c r="D983">
        <v>6</v>
      </c>
      <c r="E983">
        <v>32.17</v>
      </c>
      <c r="F983">
        <v>0</v>
      </c>
      <c r="G983">
        <f t="shared" si="45"/>
        <v>193.02</v>
      </c>
      <c r="H983" t="str">
        <f>_xlfn.XLOOKUP(B983,customer_orders!A:A,customer_orders!F:F)</f>
        <v>2026-01</v>
      </c>
      <c r="I983" t="str">
        <f>_xlfn.XLOOKUP(C983,products!A:A,products!B:B)</f>
        <v>SKU-0126</v>
      </c>
      <c r="J983" t="str">
        <f>_xlfn.XLOOKUP(B983,customer_orders!A:A,customer_orders!G:G)</f>
        <v>2026-w05</v>
      </c>
      <c r="K983">
        <f>IFERROR(_xlfn.XLOOKUP(B983,shipments!B:B,shipments!H:H),0)</f>
        <v>45.43</v>
      </c>
      <c r="L983">
        <f t="shared" si="46"/>
        <v>0.24</v>
      </c>
      <c r="M983" t="str">
        <f>_xlfn.XLOOKUP(B983,customer_orders!A:A,customer_orders!D:D)</f>
        <v>Shopify</v>
      </c>
      <c r="N983" t="str">
        <f>_xlfn.XLOOKUP(C983,inventory!B:B,inventory!C:C)</f>
        <v>South Jordan</v>
      </c>
      <c r="O983">
        <f>IF(_xlfn.XLOOKUP(C983,products!A:A,products!E:E)="NULL",0,_xlfn.XLOOKUP(C983,products!A:A,products!E:E))</f>
        <v>104.51</v>
      </c>
      <c r="P983">
        <f t="shared" si="47"/>
        <v>88.51</v>
      </c>
      <c r="Q983" s="2" t="str">
        <f>_xlfn.XLOOKUP(I983,products!B:B,products!D:D)</f>
        <v>Office</v>
      </c>
    </row>
    <row r="984" spans="1:17">
      <c r="A984">
        <v>983</v>
      </c>
      <c r="B984">
        <v>1400</v>
      </c>
      <c r="C984">
        <v>125</v>
      </c>
      <c r="D984">
        <v>5</v>
      </c>
      <c r="E984">
        <v>273.92</v>
      </c>
      <c r="F984">
        <v>0</v>
      </c>
      <c r="G984">
        <f t="shared" si="45"/>
        <v>1369.6000000000001</v>
      </c>
      <c r="H984" t="str">
        <f>_xlfn.XLOOKUP(B984,customer_orders!A:A,customer_orders!F:F)</f>
        <v>2026-01</v>
      </c>
      <c r="I984" t="str">
        <f>_xlfn.XLOOKUP(C984,products!A:A,products!B:B)</f>
        <v>SKU-0125</v>
      </c>
      <c r="J984" t="str">
        <f>_xlfn.XLOOKUP(B984,customer_orders!A:A,customer_orders!G:G)</f>
        <v>2026-w05</v>
      </c>
      <c r="K984">
        <f>IFERROR(_xlfn.XLOOKUP(B984,shipments!B:B,shipments!H:H),0)</f>
        <v>45.43</v>
      </c>
      <c r="L984">
        <f t="shared" si="46"/>
        <v>0.03</v>
      </c>
      <c r="M984" t="str">
        <f>_xlfn.XLOOKUP(B984,customer_orders!A:A,customer_orders!D:D)</f>
        <v>Shopify</v>
      </c>
      <c r="N984" t="str">
        <f>_xlfn.XLOOKUP(C984,inventory!B:B,inventory!C:C)</f>
        <v>Draper</v>
      </c>
      <c r="O984">
        <f>IF(_xlfn.XLOOKUP(C984,products!A:A,products!E:E)="NULL",0,_xlfn.XLOOKUP(C984,products!A:A,products!E:E))</f>
        <v>71.569999999999993</v>
      </c>
      <c r="P984">
        <f t="shared" si="47"/>
        <v>1298.0300000000002</v>
      </c>
      <c r="Q984" s="2" t="str">
        <f>_xlfn.XLOOKUP(I984,products!B:B,products!D:D)</f>
        <v>Beauty</v>
      </c>
    </row>
    <row r="985" spans="1:17">
      <c r="A985">
        <v>984</v>
      </c>
      <c r="B985">
        <v>1400</v>
      </c>
      <c r="C985">
        <v>91</v>
      </c>
      <c r="D985">
        <v>5</v>
      </c>
      <c r="E985">
        <v>170.65</v>
      </c>
      <c r="F985">
        <v>10.94</v>
      </c>
      <c r="G985">
        <f t="shared" si="45"/>
        <v>842.31</v>
      </c>
      <c r="H985" t="str">
        <f>_xlfn.XLOOKUP(B985,customer_orders!A:A,customer_orders!F:F)</f>
        <v>2026-01</v>
      </c>
      <c r="I985" t="str">
        <f>_xlfn.XLOOKUP(C985,products!A:A,products!B:B)</f>
        <v>SKU-0091</v>
      </c>
      <c r="J985" t="str">
        <f>_xlfn.XLOOKUP(B985,customer_orders!A:A,customer_orders!G:G)</f>
        <v>2026-w05</v>
      </c>
      <c r="K985">
        <f>IFERROR(_xlfn.XLOOKUP(B985,shipments!B:B,shipments!H:H),0)</f>
        <v>45.43</v>
      </c>
      <c r="L985">
        <f t="shared" si="46"/>
        <v>0.05</v>
      </c>
      <c r="M985" t="str">
        <f>_xlfn.XLOOKUP(B985,customer_orders!A:A,customer_orders!D:D)</f>
        <v>Shopify</v>
      </c>
      <c r="N985" t="str">
        <f>_xlfn.XLOOKUP(C985,inventory!B:B,inventory!C:C)</f>
        <v>Salt Lake City</v>
      </c>
      <c r="O985">
        <f>IF(_xlfn.XLOOKUP(C985,products!A:A,products!E:E)="NULL",0,_xlfn.XLOOKUP(C985,products!A:A,products!E:E))</f>
        <v>135.82</v>
      </c>
      <c r="P985">
        <f t="shared" si="47"/>
        <v>706.49</v>
      </c>
      <c r="Q985" s="2" t="str">
        <f>_xlfn.XLOOKUP(I985,products!B:B,products!D:D)</f>
        <v>Office</v>
      </c>
    </row>
    <row r="986" spans="1:17">
      <c r="A986">
        <v>985</v>
      </c>
      <c r="B986">
        <v>1400</v>
      </c>
      <c r="C986">
        <v>29</v>
      </c>
      <c r="D986">
        <v>5</v>
      </c>
      <c r="E986">
        <v>33.25</v>
      </c>
      <c r="F986">
        <v>0</v>
      </c>
      <c r="G986">
        <f t="shared" si="45"/>
        <v>166.25</v>
      </c>
      <c r="H986" t="str">
        <f>_xlfn.XLOOKUP(B986,customer_orders!A:A,customer_orders!F:F)</f>
        <v>2026-01</v>
      </c>
      <c r="I986" t="str">
        <f>_xlfn.XLOOKUP(C986,products!A:A,products!B:B)</f>
        <v>SKU-0029</v>
      </c>
      <c r="J986" t="str">
        <f>_xlfn.XLOOKUP(B986,customer_orders!A:A,customer_orders!G:G)</f>
        <v>2026-w05</v>
      </c>
      <c r="K986">
        <f>IFERROR(_xlfn.XLOOKUP(B986,shipments!B:B,shipments!H:H),0)</f>
        <v>45.43</v>
      </c>
      <c r="L986">
        <f t="shared" si="46"/>
        <v>0.27</v>
      </c>
      <c r="M986" t="str">
        <f>_xlfn.XLOOKUP(B986,customer_orders!A:A,customer_orders!D:D)</f>
        <v>Shopify</v>
      </c>
      <c r="N986" t="str">
        <f>_xlfn.XLOOKUP(C986,inventory!B:B,inventory!C:C)</f>
        <v>Salt Lake City</v>
      </c>
      <c r="O986">
        <f>IF(_xlfn.XLOOKUP(C986,products!A:A,products!E:E)="NULL",0,_xlfn.XLOOKUP(C986,products!A:A,products!E:E))</f>
        <v>48.38</v>
      </c>
      <c r="P986">
        <f t="shared" si="47"/>
        <v>117.87</v>
      </c>
      <c r="Q986" s="2" t="str">
        <f>_xlfn.XLOOKUP(I986,products!B:B,products!D:D)</f>
        <v>Pet</v>
      </c>
    </row>
    <row r="987" spans="1:17">
      <c r="A987">
        <v>986</v>
      </c>
      <c r="B987">
        <v>1401</v>
      </c>
      <c r="C987">
        <v>28</v>
      </c>
      <c r="D987">
        <v>5</v>
      </c>
      <c r="E987">
        <v>206.43</v>
      </c>
      <c r="F987">
        <v>13.28</v>
      </c>
      <c r="G987">
        <f t="shared" si="45"/>
        <v>1018.8700000000001</v>
      </c>
      <c r="H987" t="str">
        <f>_xlfn.XLOOKUP(B987,customer_orders!A:A,customer_orders!F:F)</f>
        <v>2026-02</v>
      </c>
      <c r="I987" t="str">
        <f>_xlfn.XLOOKUP(C987,products!A:A,products!B:B)</f>
        <v>SKU-0028</v>
      </c>
      <c r="J987" t="str">
        <f>_xlfn.XLOOKUP(B987,customer_orders!A:A,customer_orders!G:G)</f>
        <v>2026-w09</v>
      </c>
      <c r="K987">
        <f>IFERROR(_xlfn.XLOOKUP(B987,shipments!B:B,shipments!H:H),0)</f>
        <v>96.26</v>
      </c>
      <c r="L987">
        <f t="shared" si="46"/>
        <v>0.09</v>
      </c>
      <c r="M987" t="str">
        <f>_xlfn.XLOOKUP(B987,customer_orders!A:A,customer_orders!D:D)</f>
        <v>Amazon</v>
      </c>
      <c r="N987" t="str">
        <f>_xlfn.XLOOKUP(C987,inventory!B:B,inventory!C:C)</f>
        <v>West Valley</v>
      </c>
      <c r="O987">
        <f>IF(_xlfn.XLOOKUP(C987,products!A:A,products!E:E)="NULL",0,_xlfn.XLOOKUP(C987,products!A:A,products!E:E))</f>
        <v>74.819999999999993</v>
      </c>
      <c r="P987">
        <f t="shared" si="47"/>
        <v>944.05000000000018</v>
      </c>
      <c r="Q987" s="2" t="str">
        <f>_xlfn.XLOOKUP(I987,products!B:B,products!D:D)</f>
        <v>Beauty</v>
      </c>
    </row>
    <row r="988" spans="1:17">
      <c r="A988">
        <v>987</v>
      </c>
      <c r="B988">
        <v>1401</v>
      </c>
      <c r="C988">
        <v>135</v>
      </c>
      <c r="D988">
        <v>3</v>
      </c>
      <c r="E988">
        <v>41.03</v>
      </c>
      <c r="F988">
        <v>0</v>
      </c>
      <c r="G988">
        <f t="shared" si="45"/>
        <v>123.09</v>
      </c>
      <c r="H988" t="str">
        <f>_xlfn.XLOOKUP(B988,customer_orders!A:A,customer_orders!F:F)</f>
        <v>2026-02</v>
      </c>
      <c r="I988" t="str">
        <f>_xlfn.XLOOKUP(C988,products!A:A,products!B:B)</f>
        <v>SKU-0135</v>
      </c>
      <c r="J988" t="str">
        <f>_xlfn.XLOOKUP(B988,customer_orders!A:A,customer_orders!G:G)</f>
        <v>2026-w09</v>
      </c>
      <c r="K988">
        <f>IFERROR(_xlfn.XLOOKUP(B988,shipments!B:B,shipments!H:H),0)</f>
        <v>96.26</v>
      </c>
      <c r="L988">
        <f t="shared" si="46"/>
        <v>0.78</v>
      </c>
      <c r="M988" t="str">
        <f>_xlfn.XLOOKUP(B988,customer_orders!A:A,customer_orders!D:D)</f>
        <v>Amazon</v>
      </c>
      <c r="N988" t="str">
        <f>_xlfn.XLOOKUP(C988,inventory!B:B,inventory!C:C)</f>
        <v>Lehi</v>
      </c>
      <c r="O988">
        <f>IF(_xlfn.XLOOKUP(C988,products!A:A,products!E:E)="NULL",0,_xlfn.XLOOKUP(C988,products!A:A,products!E:E))</f>
        <v>48.81</v>
      </c>
      <c r="P988">
        <f t="shared" si="47"/>
        <v>74.28</v>
      </c>
      <c r="Q988" s="2" t="str">
        <f>_xlfn.XLOOKUP(I988,products!B:B,products!D:D)</f>
        <v>Kitchen</v>
      </c>
    </row>
    <row r="989" spans="1:17">
      <c r="A989">
        <v>988</v>
      </c>
      <c r="B989">
        <v>1401</v>
      </c>
      <c r="C989">
        <v>85</v>
      </c>
      <c r="D989">
        <v>7</v>
      </c>
      <c r="E989">
        <v>163.57</v>
      </c>
      <c r="F989">
        <v>0</v>
      </c>
      <c r="G989">
        <f t="shared" si="45"/>
        <v>1144.99</v>
      </c>
      <c r="H989" t="str">
        <f>_xlfn.XLOOKUP(B989,customer_orders!A:A,customer_orders!F:F)</f>
        <v>2026-02</v>
      </c>
      <c r="I989" t="str">
        <f>_xlfn.XLOOKUP(C989,products!A:A,products!B:B)</f>
        <v>SKU-0085</v>
      </c>
      <c r="J989" t="str">
        <f>_xlfn.XLOOKUP(B989,customer_orders!A:A,customer_orders!G:G)</f>
        <v>2026-w09</v>
      </c>
      <c r="K989">
        <f>IFERROR(_xlfn.XLOOKUP(B989,shipments!B:B,shipments!H:H),0)</f>
        <v>96.26</v>
      </c>
      <c r="L989">
        <f t="shared" si="46"/>
        <v>0.08</v>
      </c>
      <c r="M989" t="str">
        <f>_xlfn.XLOOKUP(B989,customer_orders!A:A,customer_orders!D:D)</f>
        <v>Amazon</v>
      </c>
      <c r="N989" t="str">
        <f>_xlfn.XLOOKUP(C989,inventory!B:B,inventory!C:C)</f>
        <v>Draper</v>
      </c>
      <c r="O989">
        <f>IF(_xlfn.XLOOKUP(C989,products!A:A,products!E:E)="NULL",0,_xlfn.XLOOKUP(C989,products!A:A,products!E:E))</f>
        <v>139.02000000000001</v>
      </c>
      <c r="P989">
        <f t="shared" si="47"/>
        <v>1005.97</v>
      </c>
      <c r="Q989" s="2" t="str">
        <f>_xlfn.XLOOKUP(I989,products!B:B,products!D:D)</f>
        <v>Beauty</v>
      </c>
    </row>
    <row r="990" spans="1:17">
      <c r="A990">
        <v>989</v>
      </c>
      <c r="B990">
        <v>1401</v>
      </c>
      <c r="C990">
        <v>80</v>
      </c>
      <c r="D990">
        <v>4</v>
      </c>
      <c r="E990">
        <v>84.54</v>
      </c>
      <c r="F990">
        <v>0</v>
      </c>
      <c r="G990">
        <f t="shared" si="45"/>
        <v>338.16</v>
      </c>
      <c r="H990" t="str">
        <f>_xlfn.XLOOKUP(B990,customer_orders!A:A,customer_orders!F:F)</f>
        <v>2026-02</v>
      </c>
      <c r="I990" t="str">
        <f>_xlfn.XLOOKUP(C990,products!A:A,products!B:B)</f>
        <v>SKU-0080</v>
      </c>
      <c r="J990" t="str">
        <f>_xlfn.XLOOKUP(B990,customer_orders!A:A,customer_orders!G:G)</f>
        <v>2026-w09</v>
      </c>
      <c r="K990">
        <f>IFERROR(_xlfn.XLOOKUP(B990,shipments!B:B,shipments!H:H),0)</f>
        <v>96.26</v>
      </c>
      <c r="L990">
        <f t="shared" si="46"/>
        <v>0.28000000000000003</v>
      </c>
      <c r="M990" t="str">
        <f>_xlfn.XLOOKUP(B990,customer_orders!A:A,customer_orders!D:D)</f>
        <v>Amazon</v>
      </c>
      <c r="N990" t="str">
        <f>_xlfn.XLOOKUP(C990,inventory!B:B,inventory!C:C)</f>
        <v>Salt Lake City</v>
      </c>
      <c r="O990">
        <f>IF(_xlfn.XLOOKUP(C990,products!A:A,products!E:E)="NULL",0,_xlfn.XLOOKUP(C990,products!A:A,products!E:E))</f>
        <v>91.52</v>
      </c>
      <c r="P990">
        <f t="shared" si="47"/>
        <v>246.64000000000004</v>
      </c>
      <c r="Q990" s="2" t="str">
        <f>_xlfn.XLOOKUP(I990,products!B:B,products!D:D)</f>
        <v>Beauty</v>
      </c>
    </row>
    <row r="991" spans="1:17">
      <c r="A991">
        <v>990</v>
      </c>
      <c r="B991">
        <v>1402</v>
      </c>
      <c r="C991">
        <v>39</v>
      </c>
      <c r="D991">
        <v>5</v>
      </c>
      <c r="E991">
        <v>129.30000000000001</v>
      </c>
      <c r="F991">
        <v>0</v>
      </c>
      <c r="G991">
        <f t="shared" si="45"/>
        <v>646.5</v>
      </c>
      <c r="H991" t="str">
        <f>_xlfn.XLOOKUP(B991,customer_orders!A:A,customer_orders!F:F)</f>
        <v>2026-01</v>
      </c>
      <c r="I991" t="str">
        <f>_xlfn.XLOOKUP(C991,products!A:A,products!B:B)</f>
        <v>SKU-0039</v>
      </c>
      <c r="J991" t="str">
        <f>_xlfn.XLOOKUP(B991,customer_orders!A:A,customer_orders!G:G)</f>
        <v>2026-w01</v>
      </c>
      <c r="K991">
        <f>IFERROR(_xlfn.XLOOKUP(B991,shipments!B:B,shipments!H:H),0)</f>
        <v>9.7899999999999991</v>
      </c>
      <c r="L991">
        <f t="shared" si="46"/>
        <v>0.02</v>
      </c>
      <c r="M991" t="str">
        <f>_xlfn.XLOOKUP(B991,customer_orders!A:A,customer_orders!D:D)</f>
        <v>Shopify</v>
      </c>
      <c r="N991" t="str">
        <f>_xlfn.XLOOKUP(C991,inventory!B:B,inventory!C:C)</f>
        <v>West Valley</v>
      </c>
      <c r="O991">
        <f>IF(_xlfn.XLOOKUP(C991,products!A:A,products!E:E)="NULL",0,_xlfn.XLOOKUP(C991,products!A:A,products!E:E))</f>
        <v>42.41</v>
      </c>
      <c r="P991">
        <f t="shared" si="47"/>
        <v>604.09</v>
      </c>
      <c r="Q991" s="2" t="str">
        <f>_xlfn.XLOOKUP(I991,products!B:B,products!D:D)</f>
        <v>Pet</v>
      </c>
    </row>
    <row r="992" spans="1:17">
      <c r="A992">
        <v>991</v>
      </c>
      <c r="B992">
        <v>1402</v>
      </c>
      <c r="C992">
        <v>78</v>
      </c>
      <c r="D992">
        <v>8</v>
      </c>
      <c r="E992">
        <v>71.75</v>
      </c>
      <c r="F992">
        <v>0</v>
      </c>
      <c r="G992">
        <f t="shared" si="45"/>
        <v>574</v>
      </c>
      <c r="H992" t="str">
        <f>_xlfn.XLOOKUP(B992,customer_orders!A:A,customer_orders!F:F)</f>
        <v>2026-01</v>
      </c>
      <c r="I992" t="str">
        <f>_xlfn.XLOOKUP(C992,products!A:A,products!B:B)</f>
        <v>SKU-0078</v>
      </c>
      <c r="J992" t="str">
        <f>_xlfn.XLOOKUP(B992,customer_orders!A:A,customer_orders!G:G)</f>
        <v>2026-w01</v>
      </c>
      <c r="K992">
        <f>IFERROR(_xlfn.XLOOKUP(B992,shipments!B:B,shipments!H:H),0)</f>
        <v>9.7899999999999991</v>
      </c>
      <c r="L992">
        <f t="shared" si="46"/>
        <v>0.02</v>
      </c>
      <c r="M992" t="str">
        <f>_xlfn.XLOOKUP(B992,customer_orders!A:A,customer_orders!D:D)</f>
        <v>Shopify</v>
      </c>
      <c r="N992" t="str">
        <f>_xlfn.XLOOKUP(C992,inventory!B:B,inventory!C:C)</f>
        <v>Draper</v>
      </c>
      <c r="O992">
        <f>IF(_xlfn.XLOOKUP(C992,products!A:A,products!E:E)="NULL",0,_xlfn.XLOOKUP(C992,products!A:A,products!E:E))</f>
        <v>44.31</v>
      </c>
      <c r="P992">
        <f t="shared" si="47"/>
        <v>529.69000000000005</v>
      </c>
      <c r="Q992" s="2" t="str">
        <f>_xlfn.XLOOKUP(I992,products!B:B,products!D:D)</f>
        <v>Beauty</v>
      </c>
    </row>
    <row r="993" spans="1:17">
      <c r="A993">
        <v>992</v>
      </c>
      <c r="B993">
        <v>1402</v>
      </c>
      <c r="C993">
        <v>4</v>
      </c>
      <c r="D993">
        <v>8</v>
      </c>
      <c r="E993">
        <v>94.28</v>
      </c>
      <c r="F993">
        <v>0</v>
      </c>
      <c r="G993">
        <f t="shared" si="45"/>
        <v>754.24</v>
      </c>
      <c r="H993" t="str">
        <f>_xlfn.XLOOKUP(B993,customer_orders!A:A,customer_orders!F:F)</f>
        <v>2026-01</v>
      </c>
      <c r="I993" t="str">
        <f>_xlfn.XLOOKUP(C993,products!A:A,products!B:B)</f>
        <v>SKU-0004</v>
      </c>
      <c r="J993" t="str">
        <f>_xlfn.XLOOKUP(B993,customer_orders!A:A,customer_orders!G:G)</f>
        <v>2026-w01</v>
      </c>
      <c r="K993">
        <f>IFERROR(_xlfn.XLOOKUP(B993,shipments!B:B,shipments!H:H),0)</f>
        <v>9.7899999999999991</v>
      </c>
      <c r="L993">
        <f t="shared" si="46"/>
        <v>0.01</v>
      </c>
      <c r="M993" t="str">
        <f>_xlfn.XLOOKUP(B993,customer_orders!A:A,customer_orders!D:D)</f>
        <v>Shopify</v>
      </c>
      <c r="N993" t="str">
        <f>_xlfn.XLOOKUP(C993,inventory!B:B,inventory!C:C)</f>
        <v>Draper</v>
      </c>
      <c r="O993">
        <f>IF(_xlfn.XLOOKUP(C993,products!A:A,products!E:E)="NULL",0,_xlfn.XLOOKUP(C993,products!A:A,products!E:E))</f>
        <v>83.61</v>
      </c>
      <c r="P993">
        <f t="shared" si="47"/>
        <v>670.63</v>
      </c>
      <c r="Q993" s="2" t="str">
        <f>_xlfn.XLOOKUP(I993,products!B:B,products!D:D)</f>
        <v>Office</v>
      </c>
    </row>
    <row r="994" spans="1:17">
      <c r="A994">
        <v>993</v>
      </c>
      <c r="B994">
        <v>1402</v>
      </c>
      <c r="C994">
        <v>32</v>
      </c>
      <c r="D994">
        <v>1</v>
      </c>
      <c r="E994">
        <v>221.16</v>
      </c>
      <c r="F994">
        <v>0</v>
      </c>
      <c r="G994">
        <f t="shared" si="45"/>
        <v>221.16</v>
      </c>
      <c r="H994" t="str">
        <f>_xlfn.XLOOKUP(B994,customer_orders!A:A,customer_orders!F:F)</f>
        <v>2026-01</v>
      </c>
      <c r="I994" t="str">
        <f>_xlfn.XLOOKUP(C994,products!A:A,products!B:B)</f>
        <v>SKU-0032</v>
      </c>
      <c r="J994" t="str">
        <f>_xlfn.XLOOKUP(B994,customer_orders!A:A,customer_orders!G:G)</f>
        <v>2026-w01</v>
      </c>
      <c r="K994">
        <f>IFERROR(_xlfn.XLOOKUP(B994,shipments!B:B,shipments!H:H),0)</f>
        <v>9.7899999999999991</v>
      </c>
      <c r="L994">
        <f t="shared" si="46"/>
        <v>0.04</v>
      </c>
      <c r="M994" t="str">
        <f>_xlfn.XLOOKUP(B994,customer_orders!A:A,customer_orders!D:D)</f>
        <v>Shopify</v>
      </c>
      <c r="N994" t="str">
        <f>_xlfn.XLOOKUP(C994,inventory!B:B,inventory!C:C)</f>
        <v>Salt Lake City</v>
      </c>
      <c r="O994">
        <f>IF(_xlfn.XLOOKUP(C994,products!A:A,products!E:E)="NULL",0,_xlfn.XLOOKUP(C994,products!A:A,products!E:E))</f>
        <v>99.37</v>
      </c>
      <c r="P994">
        <f t="shared" si="47"/>
        <v>121.78999999999999</v>
      </c>
      <c r="Q994" s="2" t="str">
        <f>_xlfn.XLOOKUP(I994,products!B:B,products!D:D)</f>
        <v>Pet</v>
      </c>
    </row>
    <row r="995" spans="1:17">
      <c r="A995">
        <v>994</v>
      </c>
      <c r="B995">
        <v>1403</v>
      </c>
      <c r="C995">
        <v>150</v>
      </c>
      <c r="D995">
        <v>2</v>
      </c>
      <c r="E995">
        <v>100.09</v>
      </c>
      <c r="F995">
        <v>0</v>
      </c>
      <c r="G995">
        <f t="shared" si="45"/>
        <v>200.18</v>
      </c>
      <c r="H995" t="str">
        <f>_xlfn.XLOOKUP(B995,customer_orders!A:A,customer_orders!F:F)</f>
        <v>2026-03</v>
      </c>
      <c r="I995" t="str">
        <f>_xlfn.XLOOKUP(C995,products!A:A,products!B:B)</f>
        <v>SKU-0150</v>
      </c>
      <c r="J995" t="str">
        <f>_xlfn.XLOOKUP(B995,customer_orders!A:A,customer_orders!G:G)</f>
        <v>2026-w11</v>
      </c>
      <c r="K995">
        <f>IFERROR(_xlfn.XLOOKUP(B995,shipments!B:B,shipments!H:H),0)</f>
        <v>97.31</v>
      </c>
      <c r="L995">
        <f t="shared" si="46"/>
        <v>0.49</v>
      </c>
      <c r="M995" t="str">
        <f>_xlfn.XLOOKUP(B995,customer_orders!A:A,customer_orders!D:D)</f>
        <v>Shopify</v>
      </c>
      <c r="N995" t="str">
        <f>_xlfn.XLOOKUP(C995,inventory!B:B,inventory!C:C)</f>
        <v>South Jordan</v>
      </c>
      <c r="O995">
        <f>IF(_xlfn.XLOOKUP(C995,products!A:A,products!E:E)="NULL",0,_xlfn.XLOOKUP(C995,products!A:A,products!E:E))</f>
        <v>54.5</v>
      </c>
      <c r="P995">
        <f t="shared" si="47"/>
        <v>145.68</v>
      </c>
      <c r="Q995" s="2" t="str">
        <f>_xlfn.XLOOKUP(I995,products!B:B,products!D:D)</f>
        <v>Sports</v>
      </c>
    </row>
    <row r="996" spans="1:17">
      <c r="A996">
        <v>995</v>
      </c>
      <c r="B996">
        <v>1403</v>
      </c>
      <c r="C996">
        <v>122</v>
      </c>
      <c r="D996">
        <v>6</v>
      </c>
      <c r="E996">
        <v>151.15</v>
      </c>
      <c r="F996">
        <v>4.4800000000000004</v>
      </c>
      <c r="G996">
        <f t="shared" si="45"/>
        <v>902.42000000000007</v>
      </c>
      <c r="H996" t="str">
        <f>_xlfn.XLOOKUP(B996,customer_orders!A:A,customer_orders!F:F)</f>
        <v>2026-03</v>
      </c>
      <c r="I996" t="str">
        <f>_xlfn.XLOOKUP(C996,products!A:A,products!B:B)</f>
        <v>SKU-0122</v>
      </c>
      <c r="J996" t="str">
        <f>_xlfn.XLOOKUP(B996,customer_orders!A:A,customer_orders!G:G)</f>
        <v>2026-w11</v>
      </c>
      <c r="K996">
        <f>IFERROR(_xlfn.XLOOKUP(B996,shipments!B:B,shipments!H:H),0)</f>
        <v>97.31</v>
      </c>
      <c r="L996">
        <f t="shared" si="46"/>
        <v>0.11</v>
      </c>
      <c r="M996" t="str">
        <f>_xlfn.XLOOKUP(B996,customer_orders!A:A,customer_orders!D:D)</f>
        <v>Shopify</v>
      </c>
      <c r="N996" t="str">
        <f>_xlfn.XLOOKUP(C996,inventory!B:B,inventory!C:C)</f>
        <v>South Jordan</v>
      </c>
      <c r="O996">
        <f>IF(_xlfn.XLOOKUP(C996,products!A:A,products!E:E)="NULL",0,_xlfn.XLOOKUP(C996,products!A:A,products!E:E))</f>
        <v>169.69</v>
      </c>
      <c r="P996">
        <f t="shared" si="47"/>
        <v>732.73</v>
      </c>
      <c r="Q996" s="2" t="str">
        <f>_xlfn.XLOOKUP(I996,products!B:B,products!D:D)</f>
        <v>Electronics</v>
      </c>
    </row>
    <row r="997" spans="1:17">
      <c r="A997">
        <v>996</v>
      </c>
      <c r="B997">
        <v>1403</v>
      </c>
      <c r="C997">
        <v>109</v>
      </c>
      <c r="D997">
        <v>7</v>
      </c>
      <c r="E997">
        <v>257.52</v>
      </c>
      <c r="F997">
        <v>0</v>
      </c>
      <c r="G997">
        <f t="shared" si="45"/>
        <v>1802.6399999999999</v>
      </c>
      <c r="H997" t="str">
        <f>_xlfn.XLOOKUP(B997,customer_orders!A:A,customer_orders!F:F)</f>
        <v>2026-03</v>
      </c>
      <c r="I997" t="str">
        <f>_xlfn.XLOOKUP(C997,products!A:A,products!B:B)</f>
        <v>SKU-0109</v>
      </c>
      <c r="J997" t="str">
        <f>_xlfn.XLOOKUP(B997,customer_orders!A:A,customer_orders!G:G)</f>
        <v>2026-w11</v>
      </c>
      <c r="K997">
        <f>IFERROR(_xlfn.XLOOKUP(B997,shipments!B:B,shipments!H:H),0)</f>
        <v>97.31</v>
      </c>
      <c r="L997">
        <f t="shared" si="46"/>
        <v>0.05</v>
      </c>
      <c r="M997" t="str">
        <f>_xlfn.XLOOKUP(B997,customer_orders!A:A,customer_orders!D:D)</f>
        <v>Shopify</v>
      </c>
      <c r="N997" t="str">
        <f>_xlfn.XLOOKUP(C997,inventory!B:B,inventory!C:C)</f>
        <v>Draper</v>
      </c>
      <c r="O997">
        <f>IF(_xlfn.XLOOKUP(C997,products!A:A,products!E:E)="NULL",0,_xlfn.XLOOKUP(C997,products!A:A,products!E:E))</f>
        <v>10.02</v>
      </c>
      <c r="P997">
        <f t="shared" si="47"/>
        <v>1792.62</v>
      </c>
      <c r="Q997" s="2" t="str">
        <f>_xlfn.XLOOKUP(I997,products!B:B,products!D:D)</f>
        <v>Office</v>
      </c>
    </row>
    <row r="998" spans="1:17">
      <c r="A998">
        <v>997</v>
      </c>
      <c r="B998">
        <v>1403</v>
      </c>
      <c r="C998">
        <v>67</v>
      </c>
      <c r="D998">
        <v>5</v>
      </c>
      <c r="E998">
        <v>291.56</v>
      </c>
      <c r="F998">
        <v>0</v>
      </c>
      <c r="G998">
        <f t="shared" si="45"/>
        <v>1457.8</v>
      </c>
      <c r="H998" t="str">
        <f>_xlfn.XLOOKUP(B998,customer_orders!A:A,customer_orders!F:F)</f>
        <v>2026-03</v>
      </c>
      <c r="I998" t="str">
        <f>_xlfn.XLOOKUP(C998,products!A:A,products!B:B)</f>
        <v>SKU-0067</v>
      </c>
      <c r="J998" t="str">
        <f>_xlfn.XLOOKUP(B998,customer_orders!A:A,customer_orders!G:G)</f>
        <v>2026-w11</v>
      </c>
      <c r="K998">
        <f>IFERROR(_xlfn.XLOOKUP(B998,shipments!B:B,shipments!H:H),0)</f>
        <v>97.31</v>
      </c>
      <c r="L998">
        <f t="shared" si="46"/>
        <v>7.0000000000000007E-2</v>
      </c>
      <c r="M998" t="str">
        <f>_xlfn.XLOOKUP(B998,customer_orders!A:A,customer_orders!D:D)</f>
        <v>Shopify</v>
      </c>
      <c r="N998" t="str">
        <f>_xlfn.XLOOKUP(C998,inventory!B:B,inventory!C:C)</f>
        <v>West Valley</v>
      </c>
      <c r="O998">
        <f>IF(_xlfn.XLOOKUP(C998,products!A:A,products!E:E)="NULL",0,_xlfn.XLOOKUP(C998,products!A:A,products!E:E))</f>
        <v>25.18</v>
      </c>
      <c r="P998">
        <f t="shared" si="47"/>
        <v>1432.62</v>
      </c>
      <c r="Q998" s="2" t="str">
        <f>_xlfn.XLOOKUP(I998,products!B:B,products!D:D)</f>
        <v>Kitchen</v>
      </c>
    </row>
    <row r="999" spans="1:17">
      <c r="A999">
        <v>998</v>
      </c>
      <c r="B999">
        <v>1404</v>
      </c>
      <c r="C999">
        <v>22</v>
      </c>
      <c r="D999">
        <v>5</v>
      </c>
      <c r="E999">
        <v>159.69</v>
      </c>
      <c r="F999">
        <v>8.93</v>
      </c>
      <c r="G999">
        <f t="shared" si="45"/>
        <v>789.5200000000001</v>
      </c>
      <c r="H999" t="str">
        <f>_xlfn.XLOOKUP(B999,customer_orders!A:A,customer_orders!F:F)</f>
        <v>2026-04</v>
      </c>
      <c r="I999" t="str">
        <f>_xlfn.XLOOKUP(C999,products!A:A,products!B:B)</f>
        <v>SKU-0022</v>
      </c>
      <c r="J999" t="str">
        <f>_xlfn.XLOOKUP(B999,customer_orders!A:A,customer_orders!G:G)</f>
        <v>2026-w16</v>
      </c>
      <c r="K999">
        <f>IFERROR(_xlfn.XLOOKUP(B999,shipments!B:B,shipments!H:H),0)</f>
        <v>58.33</v>
      </c>
      <c r="L999">
        <f t="shared" si="46"/>
        <v>7.0000000000000007E-2</v>
      </c>
      <c r="M999" t="str">
        <f>_xlfn.XLOOKUP(B999,customer_orders!A:A,customer_orders!D:D)</f>
        <v>Shopify</v>
      </c>
      <c r="N999" t="str">
        <f>_xlfn.XLOOKUP(C999,inventory!B:B,inventory!C:C)</f>
        <v>Lehi</v>
      </c>
      <c r="O999">
        <f>IF(_xlfn.XLOOKUP(C999,products!A:A,products!E:E)="NULL",0,_xlfn.XLOOKUP(C999,products!A:A,products!E:E))</f>
        <v>138.34</v>
      </c>
      <c r="P999">
        <f t="shared" si="47"/>
        <v>651.18000000000006</v>
      </c>
      <c r="Q999" s="2" t="str">
        <f>_xlfn.XLOOKUP(I999,products!B:B,products!D:D)</f>
        <v>Sports</v>
      </c>
    </row>
    <row r="1000" spans="1:17">
      <c r="A1000">
        <v>999</v>
      </c>
      <c r="B1000">
        <v>1404</v>
      </c>
      <c r="C1000">
        <v>140</v>
      </c>
      <c r="D1000">
        <v>3</v>
      </c>
      <c r="E1000">
        <v>86.93</v>
      </c>
      <c r="F1000">
        <v>6.26</v>
      </c>
      <c r="G1000">
        <f t="shared" si="45"/>
        <v>254.53000000000003</v>
      </c>
      <c r="H1000" t="str">
        <f>_xlfn.XLOOKUP(B1000,customer_orders!A:A,customer_orders!F:F)</f>
        <v>2026-04</v>
      </c>
      <c r="I1000" t="str">
        <f>_xlfn.XLOOKUP(C1000,products!A:A,products!B:B)</f>
        <v>SKU-0140</v>
      </c>
      <c r="J1000" t="str">
        <f>_xlfn.XLOOKUP(B1000,customer_orders!A:A,customer_orders!G:G)</f>
        <v>2026-w16</v>
      </c>
      <c r="K1000">
        <f>IFERROR(_xlfn.XLOOKUP(B1000,shipments!B:B,shipments!H:H),0)</f>
        <v>58.33</v>
      </c>
      <c r="L1000">
        <f t="shared" si="46"/>
        <v>0.23</v>
      </c>
      <c r="M1000" t="str">
        <f>_xlfn.XLOOKUP(B1000,customer_orders!A:A,customer_orders!D:D)</f>
        <v>Shopify</v>
      </c>
      <c r="N1000" t="str">
        <f>_xlfn.XLOOKUP(C1000,inventory!B:B,inventory!C:C)</f>
        <v>South Jordan</v>
      </c>
      <c r="O1000">
        <f>IF(_xlfn.XLOOKUP(C1000,products!A:A,products!E:E)="NULL",0,_xlfn.XLOOKUP(C1000,products!A:A,products!E:E))</f>
        <v>20.41</v>
      </c>
      <c r="P1000">
        <f t="shared" si="47"/>
        <v>234.12000000000003</v>
      </c>
      <c r="Q1000" s="2" t="str">
        <f>_xlfn.XLOOKUP(I1000,products!B:B,products!D:D)</f>
        <v>Electronics</v>
      </c>
    </row>
    <row r="1001" spans="1:17">
      <c r="A1001">
        <v>1000</v>
      </c>
      <c r="B1001">
        <v>1404</v>
      </c>
      <c r="C1001">
        <v>25</v>
      </c>
      <c r="D1001">
        <v>3</v>
      </c>
      <c r="E1001">
        <v>265.23</v>
      </c>
      <c r="F1001">
        <v>0</v>
      </c>
      <c r="G1001">
        <f t="shared" si="45"/>
        <v>795.69</v>
      </c>
      <c r="H1001" t="str">
        <f>_xlfn.XLOOKUP(B1001,customer_orders!A:A,customer_orders!F:F)</f>
        <v>2026-04</v>
      </c>
      <c r="I1001" t="str">
        <f>_xlfn.XLOOKUP(C1001,products!A:A,products!B:B)</f>
        <v>SKU-0025</v>
      </c>
      <c r="J1001" t="str">
        <f>_xlfn.XLOOKUP(B1001,customer_orders!A:A,customer_orders!G:G)</f>
        <v>2026-w16</v>
      </c>
      <c r="K1001">
        <f>IFERROR(_xlfn.XLOOKUP(B1001,shipments!B:B,shipments!H:H),0)</f>
        <v>58.33</v>
      </c>
      <c r="L1001">
        <f t="shared" si="46"/>
        <v>7.0000000000000007E-2</v>
      </c>
      <c r="M1001" t="str">
        <f>_xlfn.XLOOKUP(B1001,customer_orders!A:A,customer_orders!D:D)</f>
        <v>Shopify</v>
      </c>
      <c r="N1001" t="str">
        <f>_xlfn.XLOOKUP(C1001,inventory!B:B,inventory!C:C)</f>
        <v>Salt Lake City</v>
      </c>
      <c r="O1001">
        <f>IF(_xlfn.XLOOKUP(C1001,products!A:A,products!E:E)="NULL",0,_xlfn.XLOOKUP(C1001,products!A:A,products!E:E))</f>
        <v>15.14</v>
      </c>
      <c r="P1001">
        <f t="shared" si="47"/>
        <v>780.55000000000007</v>
      </c>
      <c r="Q1001" s="2" t="str">
        <f>_xlfn.XLOOKUP(I1001,products!B:B,products!D:D)</f>
        <v>Sports</v>
      </c>
    </row>
    <row r="1002" spans="1:17">
      <c r="A1002">
        <v>1001</v>
      </c>
      <c r="B1002">
        <v>1405</v>
      </c>
      <c r="C1002">
        <v>36</v>
      </c>
      <c r="D1002">
        <v>5</v>
      </c>
      <c r="E1002">
        <v>94.39</v>
      </c>
      <c r="F1002">
        <v>0</v>
      </c>
      <c r="G1002">
        <f t="shared" si="45"/>
        <v>471.95</v>
      </c>
      <c r="H1002" t="str">
        <f>_xlfn.XLOOKUP(B1002,customer_orders!A:A,customer_orders!F:F)</f>
        <v>2026-01</v>
      </c>
      <c r="I1002" t="str">
        <f>_xlfn.XLOOKUP(C1002,products!A:A,products!B:B)</f>
        <v>SKU-0036</v>
      </c>
      <c r="J1002" t="str">
        <f>_xlfn.XLOOKUP(B1002,customer_orders!A:A,customer_orders!G:G)</f>
        <v>2026-w02</v>
      </c>
      <c r="K1002">
        <f>IFERROR(_xlfn.XLOOKUP(B1002,shipments!B:B,shipments!H:H),0)</f>
        <v>108.39</v>
      </c>
      <c r="L1002">
        <f t="shared" si="46"/>
        <v>0.23</v>
      </c>
      <c r="M1002" t="str">
        <f>_xlfn.XLOOKUP(B1002,customer_orders!A:A,customer_orders!D:D)</f>
        <v>Amazon</v>
      </c>
      <c r="N1002" t="str">
        <f>_xlfn.XLOOKUP(C1002,inventory!B:B,inventory!C:C)</f>
        <v>Draper</v>
      </c>
      <c r="O1002">
        <f>IF(_xlfn.XLOOKUP(C1002,products!A:A,products!E:E)="NULL",0,_xlfn.XLOOKUP(C1002,products!A:A,products!E:E))</f>
        <v>78.83</v>
      </c>
      <c r="P1002">
        <f t="shared" si="47"/>
        <v>393.12</v>
      </c>
      <c r="Q1002" s="2" t="str">
        <f>_xlfn.XLOOKUP(I1002,products!B:B,products!D:D)</f>
        <v>Pet</v>
      </c>
    </row>
    <row r="1003" spans="1:17">
      <c r="A1003">
        <v>1002</v>
      </c>
      <c r="B1003">
        <v>1406</v>
      </c>
      <c r="C1003">
        <v>14</v>
      </c>
      <c r="D1003">
        <v>2</v>
      </c>
      <c r="E1003">
        <v>33.86</v>
      </c>
      <c r="F1003">
        <v>0</v>
      </c>
      <c r="G1003">
        <f t="shared" si="45"/>
        <v>67.72</v>
      </c>
      <c r="H1003" t="str">
        <f>_xlfn.XLOOKUP(B1003,customer_orders!A:A,customer_orders!F:F)</f>
        <v>2026-04</v>
      </c>
      <c r="I1003" t="str">
        <f>_xlfn.XLOOKUP(C1003,products!A:A,products!B:B)</f>
        <v>SKU-0014</v>
      </c>
      <c r="J1003" t="str">
        <f>_xlfn.XLOOKUP(B1003,customer_orders!A:A,customer_orders!G:G)</f>
        <v>2026-w16</v>
      </c>
      <c r="K1003">
        <f>IFERROR(_xlfn.XLOOKUP(B1003,shipments!B:B,shipments!H:H),0)</f>
        <v>38.9</v>
      </c>
      <c r="L1003">
        <f t="shared" si="46"/>
        <v>0.56999999999999995</v>
      </c>
      <c r="M1003" t="str">
        <f>_xlfn.XLOOKUP(B1003,customer_orders!A:A,customer_orders!D:D)</f>
        <v>Amazon</v>
      </c>
      <c r="N1003" t="str">
        <f>_xlfn.XLOOKUP(C1003,inventory!B:B,inventory!C:C)</f>
        <v>Lehi</v>
      </c>
      <c r="O1003">
        <f>IF(_xlfn.XLOOKUP(C1003,products!A:A,products!E:E)="NULL",0,_xlfn.XLOOKUP(C1003,products!A:A,products!E:E))</f>
        <v>75.2</v>
      </c>
      <c r="P1003">
        <f t="shared" si="47"/>
        <v>-7.480000000000004</v>
      </c>
      <c r="Q1003" s="2" t="str">
        <f>_xlfn.XLOOKUP(I1003,products!B:B,products!D:D)</f>
        <v>Electronics</v>
      </c>
    </row>
    <row r="1004" spans="1:17">
      <c r="A1004">
        <v>1003</v>
      </c>
      <c r="B1004">
        <v>1406</v>
      </c>
      <c r="C1004">
        <v>86</v>
      </c>
      <c r="D1004">
        <v>2</v>
      </c>
      <c r="E1004">
        <v>81.83</v>
      </c>
      <c r="F1004">
        <v>12.51</v>
      </c>
      <c r="G1004">
        <f t="shared" si="45"/>
        <v>151.15</v>
      </c>
      <c r="H1004" t="str">
        <f>_xlfn.XLOOKUP(B1004,customer_orders!A:A,customer_orders!F:F)</f>
        <v>2026-04</v>
      </c>
      <c r="I1004" t="str">
        <f>_xlfn.XLOOKUP(C1004,products!A:A,products!B:B)</f>
        <v>SKU-0086</v>
      </c>
      <c r="J1004" t="str">
        <f>_xlfn.XLOOKUP(B1004,customer_orders!A:A,customer_orders!G:G)</f>
        <v>2026-w16</v>
      </c>
      <c r="K1004">
        <f>IFERROR(_xlfn.XLOOKUP(B1004,shipments!B:B,shipments!H:H),0)</f>
        <v>38.9</v>
      </c>
      <c r="L1004">
        <f t="shared" si="46"/>
        <v>0.26</v>
      </c>
      <c r="M1004" t="str">
        <f>_xlfn.XLOOKUP(B1004,customer_orders!A:A,customer_orders!D:D)</f>
        <v>Amazon</v>
      </c>
      <c r="N1004" t="str">
        <f>_xlfn.XLOOKUP(C1004,inventory!B:B,inventory!C:C)</f>
        <v>Draper</v>
      </c>
      <c r="O1004">
        <f>IF(_xlfn.XLOOKUP(C1004,products!A:A,products!E:E)="NULL",0,_xlfn.XLOOKUP(C1004,products!A:A,products!E:E))</f>
        <v>129.87</v>
      </c>
      <c r="P1004">
        <f t="shared" si="47"/>
        <v>21.28</v>
      </c>
      <c r="Q1004" s="2" t="str">
        <f>_xlfn.XLOOKUP(I1004,products!B:B,products!D:D)</f>
        <v>Pet</v>
      </c>
    </row>
    <row r="1005" spans="1:17">
      <c r="A1005">
        <v>1004</v>
      </c>
      <c r="B1005">
        <v>1406</v>
      </c>
      <c r="C1005">
        <v>85</v>
      </c>
      <c r="D1005">
        <v>1</v>
      </c>
      <c r="E1005">
        <v>163.57</v>
      </c>
      <c r="F1005">
        <v>0</v>
      </c>
      <c r="G1005">
        <f t="shared" si="45"/>
        <v>163.57</v>
      </c>
      <c r="H1005" t="str">
        <f>_xlfn.XLOOKUP(B1005,customer_orders!A:A,customer_orders!F:F)</f>
        <v>2026-04</v>
      </c>
      <c r="I1005" t="str">
        <f>_xlfn.XLOOKUP(C1005,products!A:A,products!B:B)</f>
        <v>SKU-0085</v>
      </c>
      <c r="J1005" t="str">
        <f>_xlfn.XLOOKUP(B1005,customer_orders!A:A,customer_orders!G:G)</f>
        <v>2026-w16</v>
      </c>
      <c r="K1005">
        <f>IFERROR(_xlfn.XLOOKUP(B1005,shipments!B:B,shipments!H:H),0)</f>
        <v>38.9</v>
      </c>
      <c r="L1005">
        <f t="shared" si="46"/>
        <v>0.24</v>
      </c>
      <c r="M1005" t="str">
        <f>_xlfn.XLOOKUP(B1005,customer_orders!A:A,customer_orders!D:D)</f>
        <v>Amazon</v>
      </c>
      <c r="N1005" t="str">
        <f>_xlfn.XLOOKUP(C1005,inventory!B:B,inventory!C:C)</f>
        <v>Draper</v>
      </c>
      <c r="O1005">
        <f>IF(_xlfn.XLOOKUP(C1005,products!A:A,products!E:E)="NULL",0,_xlfn.XLOOKUP(C1005,products!A:A,products!E:E))</f>
        <v>139.02000000000001</v>
      </c>
      <c r="P1005">
        <f t="shared" si="47"/>
        <v>24.549999999999983</v>
      </c>
      <c r="Q1005" s="2" t="str">
        <f>_xlfn.XLOOKUP(I1005,products!B:B,products!D:D)</f>
        <v>Beauty</v>
      </c>
    </row>
    <row r="1006" spans="1:17">
      <c r="A1006">
        <v>1005</v>
      </c>
      <c r="B1006">
        <v>1406</v>
      </c>
      <c r="C1006">
        <v>53</v>
      </c>
      <c r="D1006">
        <v>3</v>
      </c>
      <c r="E1006">
        <v>73.03</v>
      </c>
      <c r="F1006">
        <v>8.8699999999999992</v>
      </c>
      <c r="G1006">
        <f t="shared" si="45"/>
        <v>210.22</v>
      </c>
      <c r="H1006" t="str">
        <f>_xlfn.XLOOKUP(B1006,customer_orders!A:A,customer_orders!F:F)</f>
        <v>2026-04</v>
      </c>
      <c r="I1006" t="str">
        <f>_xlfn.XLOOKUP(C1006,products!A:A,products!B:B)</f>
        <v>SKU-0053</v>
      </c>
      <c r="J1006" t="str">
        <f>_xlfn.XLOOKUP(B1006,customer_orders!A:A,customer_orders!G:G)</f>
        <v>2026-w16</v>
      </c>
      <c r="K1006">
        <f>IFERROR(_xlfn.XLOOKUP(B1006,shipments!B:B,shipments!H:H),0)</f>
        <v>38.9</v>
      </c>
      <c r="L1006">
        <f t="shared" si="46"/>
        <v>0.19</v>
      </c>
      <c r="M1006" t="str">
        <f>_xlfn.XLOOKUP(B1006,customer_orders!A:A,customer_orders!D:D)</f>
        <v>Amazon</v>
      </c>
      <c r="N1006" t="str">
        <f>_xlfn.XLOOKUP(C1006,inventory!B:B,inventory!C:C)</f>
        <v>Unknown</v>
      </c>
      <c r="O1006">
        <f>IF(_xlfn.XLOOKUP(C1006,products!A:A,products!E:E)="NULL",0,_xlfn.XLOOKUP(C1006,products!A:A,products!E:E))</f>
        <v>0</v>
      </c>
      <c r="P1006">
        <f t="shared" si="47"/>
        <v>210.22</v>
      </c>
      <c r="Q1006" s="2" t="str">
        <f>_xlfn.XLOOKUP(I1006,products!B:B,products!D:D)</f>
        <v>Beauty</v>
      </c>
    </row>
    <row r="1007" spans="1:17">
      <c r="A1007">
        <v>1006</v>
      </c>
      <c r="B1007">
        <v>1407</v>
      </c>
      <c r="C1007">
        <v>31</v>
      </c>
      <c r="D1007">
        <v>2</v>
      </c>
      <c r="E1007">
        <v>35.19</v>
      </c>
      <c r="F1007">
        <v>0</v>
      </c>
      <c r="G1007">
        <f t="shared" si="45"/>
        <v>70.38</v>
      </c>
      <c r="H1007" t="str">
        <f>_xlfn.XLOOKUP(B1007,customer_orders!A:A,customer_orders!F:F)</f>
        <v>2026-02</v>
      </c>
      <c r="I1007" t="str">
        <f>_xlfn.XLOOKUP(C1007,products!A:A,products!B:B)</f>
        <v>SKU-0031</v>
      </c>
      <c r="J1007" t="str">
        <f>_xlfn.XLOOKUP(B1007,customer_orders!A:A,customer_orders!G:G)</f>
        <v>2026-w08</v>
      </c>
      <c r="K1007">
        <f>IFERROR(_xlfn.XLOOKUP(B1007,shipments!B:B,shipments!H:H),0)</f>
        <v>38.79</v>
      </c>
      <c r="L1007">
        <f t="shared" si="46"/>
        <v>0.55000000000000004</v>
      </c>
      <c r="M1007" t="str">
        <f>_xlfn.XLOOKUP(B1007,customer_orders!A:A,customer_orders!D:D)</f>
        <v>Amazon</v>
      </c>
      <c r="N1007" t="str">
        <f>_xlfn.XLOOKUP(C1007,inventory!B:B,inventory!C:C)</f>
        <v>Salt Lake City</v>
      </c>
      <c r="O1007">
        <f>IF(_xlfn.XLOOKUP(C1007,products!A:A,products!E:E)="NULL",0,_xlfn.XLOOKUP(C1007,products!A:A,products!E:E))</f>
        <v>155.44</v>
      </c>
      <c r="P1007">
        <f t="shared" si="47"/>
        <v>-85.06</v>
      </c>
      <c r="Q1007" s="2" t="str">
        <f>_xlfn.XLOOKUP(I1007,products!B:B,products!D:D)</f>
        <v>Home</v>
      </c>
    </row>
    <row r="1008" spans="1:17">
      <c r="A1008">
        <v>1007</v>
      </c>
      <c r="B1008">
        <v>1407</v>
      </c>
      <c r="C1008">
        <v>122</v>
      </c>
      <c r="D1008">
        <v>1</v>
      </c>
      <c r="E1008">
        <v>151.15</v>
      </c>
      <c r="F1008">
        <v>12.66</v>
      </c>
      <c r="G1008">
        <f t="shared" si="45"/>
        <v>138.49</v>
      </c>
      <c r="H1008" t="str">
        <f>_xlfn.XLOOKUP(B1008,customer_orders!A:A,customer_orders!F:F)</f>
        <v>2026-02</v>
      </c>
      <c r="I1008" t="str">
        <f>_xlfn.XLOOKUP(C1008,products!A:A,products!B:B)</f>
        <v>SKU-0122</v>
      </c>
      <c r="J1008" t="str">
        <f>_xlfn.XLOOKUP(B1008,customer_orders!A:A,customer_orders!G:G)</f>
        <v>2026-w08</v>
      </c>
      <c r="K1008">
        <f>IFERROR(_xlfn.XLOOKUP(B1008,shipments!B:B,shipments!H:H),0)</f>
        <v>38.79</v>
      </c>
      <c r="L1008">
        <f t="shared" si="46"/>
        <v>0.28000000000000003</v>
      </c>
      <c r="M1008" t="str">
        <f>_xlfn.XLOOKUP(B1008,customer_orders!A:A,customer_orders!D:D)</f>
        <v>Amazon</v>
      </c>
      <c r="N1008" t="str">
        <f>_xlfn.XLOOKUP(C1008,inventory!B:B,inventory!C:C)</f>
        <v>South Jordan</v>
      </c>
      <c r="O1008">
        <f>IF(_xlfn.XLOOKUP(C1008,products!A:A,products!E:E)="NULL",0,_xlfn.XLOOKUP(C1008,products!A:A,products!E:E))</f>
        <v>169.69</v>
      </c>
      <c r="P1008">
        <f t="shared" si="47"/>
        <v>-31.199999999999989</v>
      </c>
      <c r="Q1008" s="2" t="str">
        <f>_xlfn.XLOOKUP(I1008,products!B:B,products!D:D)</f>
        <v>Electronics</v>
      </c>
    </row>
    <row r="1009" spans="1:17">
      <c r="A1009">
        <v>1008</v>
      </c>
      <c r="B1009">
        <v>1408</v>
      </c>
      <c r="C1009">
        <v>111</v>
      </c>
      <c r="D1009">
        <v>3</v>
      </c>
      <c r="E1009">
        <v>39.4</v>
      </c>
      <c r="F1009">
        <v>0</v>
      </c>
      <c r="G1009">
        <f t="shared" si="45"/>
        <v>118.19999999999999</v>
      </c>
      <c r="H1009" t="str">
        <f>_xlfn.XLOOKUP(B1009,customer_orders!A:A,customer_orders!F:F)</f>
        <v>2026-03</v>
      </c>
      <c r="I1009" t="str">
        <f>_xlfn.XLOOKUP(C1009,products!A:A,products!B:B)</f>
        <v>SKU0111</v>
      </c>
      <c r="J1009" t="str">
        <f>_xlfn.XLOOKUP(B1009,customer_orders!A:A,customer_orders!G:G)</f>
        <v>2026-w11</v>
      </c>
      <c r="K1009">
        <f>IFERROR(_xlfn.XLOOKUP(B1009,shipments!B:B,shipments!H:H),0)</f>
        <v>23.81</v>
      </c>
      <c r="L1009">
        <f t="shared" si="46"/>
        <v>0.2</v>
      </c>
      <c r="M1009" t="str">
        <f>_xlfn.XLOOKUP(B1009,customer_orders!A:A,customer_orders!D:D)</f>
        <v>Shopify</v>
      </c>
      <c r="N1009" t="str">
        <f>_xlfn.XLOOKUP(C1009,inventory!B:B,inventory!C:C)</f>
        <v>West Valley</v>
      </c>
      <c r="O1009">
        <f>IF(_xlfn.XLOOKUP(C1009,products!A:A,products!E:E)="NULL",0,_xlfn.XLOOKUP(C1009,products!A:A,products!E:E))</f>
        <v>170.91</v>
      </c>
      <c r="P1009">
        <f t="shared" si="47"/>
        <v>-52.710000000000008</v>
      </c>
      <c r="Q1009" s="2" t="str">
        <f>_xlfn.XLOOKUP(I1009,products!B:B,products!D:D)</f>
        <v>Electronics</v>
      </c>
    </row>
    <row r="1010" spans="1:17">
      <c r="A1010">
        <v>1009</v>
      </c>
      <c r="B1010">
        <v>1409</v>
      </c>
      <c r="C1010">
        <v>127</v>
      </c>
      <c r="D1010">
        <v>6</v>
      </c>
      <c r="E1010">
        <v>38.14</v>
      </c>
      <c r="F1010">
        <v>10.35</v>
      </c>
      <c r="G1010">
        <f t="shared" si="45"/>
        <v>218.49</v>
      </c>
      <c r="H1010" t="str">
        <f>_xlfn.XLOOKUP(B1010,customer_orders!A:A,customer_orders!F:F)</f>
        <v>2026-05</v>
      </c>
      <c r="I1010" t="str">
        <f>_xlfn.XLOOKUP(C1010,products!A:A,products!B:B)</f>
        <v>SKU-0127</v>
      </c>
      <c r="J1010" t="str">
        <f>_xlfn.XLOOKUP(B1010,customer_orders!A:A,customer_orders!G:G)</f>
        <v>2026-w19</v>
      </c>
      <c r="K1010">
        <f>IFERROR(_xlfn.XLOOKUP(B1010,shipments!B:B,shipments!H:H),0)</f>
        <v>0</v>
      </c>
      <c r="L1010">
        <f t="shared" si="46"/>
        <v>0</v>
      </c>
      <c r="M1010" t="str">
        <f>_xlfn.XLOOKUP(B1010,customer_orders!A:A,customer_orders!D:D)</f>
        <v>Ebay</v>
      </c>
      <c r="N1010" t="str">
        <f>_xlfn.XLOOKUP(C1010,inventory!B:B,inventory!C:C)</f>
        <v>South Jordan</v>
      </c>
      <c r="O1010">
        <f>IF(_xlfn.XLOOKUP(C1010,products!A:A,products!E:E)="NULL",0,_xlfn.XLOOKUP(C1010,products!A:A,products!E:E))</f>
        <v>51.31</v>
      </c>
      <c r="P1010">
        <f t="shared" si="47"/>
        <v>167.18</v>
      </c>
      <c r="Q1010" s="2" t="str">
        <f>_xlfn.XLOOKUP(I1010,products!B:B,products!D:D)</f>
        <v>Beauty</v>
      </c>
    </row>
    <row r="1011" spans="1:17">
      <c r="A1011">
        <v>1010</v>
      </c>
      <c r="B1011">
        <v>1410</v>
      </c>
      <c r="C1011">
        <v>8</v>
      </c>
      <c r="D1011">
        <v>5</v>
      </c>
      <c r="E1011">
        <v>118.07</v>
      </c>
      <c r="F1011">
        <v>7.4</v>
      </c>
      <c r="G1011">
        <f t="shared" si="45"/>
        <v>582.94999999999993</v>
      </c>
      <c r="H1011" t="str">
        <f>_xlfn.XLOOKUP(B1011,customer_orders!A:A,customer_orders!F:F)</f>
        <v>2026-01</v>
      </c>
      <c r="I1011" t="str">
        <f>_xlfn.XLOOKUP(C1011,products!A:A,products!B:B)</f>
        <v>SKU-0008</v>
      </c>
      <c r="J1011" t="str">
        <f>_xlfn.XLOOKUP(B1011,customer_orders!A:A,customer_orders!G:G)</f>
        <v>2026-w05</v>
      </c>
      <c r="K1011">
        <f>IFERROR(_xlfn.XLOOKUP(B1011,shipments!B:B,shipments!H:H),0)</f>
        <v>58.28</v>
      </c>
      <c r="L1011">
        <f t="shared" si="46"/>
        <v>0.1</v>
      </c>
      <c r="M1011" t="str">
        <f>_xlfn.XLOOKUP(B1011,customer_orders!A:A,customer_orders!D:D)</f>
        <v>Walmart</v>
      </c>
      <c r="N1011" t="str">
        <f>_xlfn.XLOOKUP(C1011,inventory!B:B,inventory!C:C)</f>
        <v>Salt Lake City</v>
      </c>
      <c r="O1011">
        <f>IF(_xlfn.XLOOKUP(C1011,products!A:A,products!E:E)="NULL",0,_xlfn.XLOOKUP(C1011,products!A:A,products!E:E))</f>
        <v>159.94999999999999</v>
      </c>
      <c r="P1011">
        <f t="shared" si="47"/>
        <v>422.99999999999994</v>
      </c>
      <c r="Q1011" s="2" t="str">
        <f>_xlfn.XLOOKUP(I1011,products!B:B,products!D:D)</f>
        <v>Sports</v>
      </c>
    </row>
    <row r="1012" spans="1:17">
      <c r="A1012">
        <v>1011</v>
      </c>
      <c r="B1012">
        <v>1410</v>
      </c>
      <c r="C1012">
        <v>3</v>
      </c>
      <c r="D1012">
        <v>5</v>
      </c>
      <c r="E1012">
        <v>22.56</v>
      </c>
      <c r="F1012">
        <v>1.48</v>
      </c>
      <c r="G1012">
        <f t="shared" si="45"/>
        <v>111.32</v>
      </c>
      <c r="H1012" t="str">
        <f>_xlfn.XLOOKUP(B1012,customer_orders!A:A,customer_orders!F:F)</f>
        <v>2026-01</v>
      </c>
      <c r="I1012" t="str">
        <f>_xlfn.XLOOKUP(C1012,products!A:A,products!B:B)</f>
        <v>SKU-0003</v>
      </c>
      <c r="J1012" t="str">
        <f>_xlfn.XLOOKUP(B1012,customer_orders!A:A,customer_orders!G:G)</f>
        <v>2026-w05</v>
      </c>
      <c r="K1012">
        <f>IFERROR(_xlfn.XLOOKUP(B1012,shipments!B:B,shipments!H:H),0)</f>
        <v>58.28</v>
      </c>
      <c r="L1012">
        <f t="shared" si="46"/>
        <v>0.52</v>
      </c>
      <c r="M1012" t="str">
        <f>_xlfn.XLOOKUP(B1012,customer_orders!A:A,customer_orders!D:D)</f>
        <v>Walmart</v>
      </c>
      <c r="N1012" t="str">
        <f>_xlfn.XLOOKUP(C1012,inventory!B:B,inventory!C:C)</f>
        <v>South Jordan</v>
      </c>
      <c r="O1012">
        <f>IF(_xlfn.XLOOKUP(C1012,products!A:A,products!E:E)="NULL",0,_xlfn.XLOOKUP(C1012,products!A:A,products!E:E))</f>
        <v>93.44</v>
      </c>
      <c r="P1012">
        <f t="shared" si="47"/>
        <v>17.879999999999995</v>
      </c>
      <c r="Q1012" s="2" t="str">
        <f>_xlfn.XLOOKUP(I1012,products!B:B,products!D:D)</f>
        <v>Beauty</v>
      </c>
    </row>
    <row r="1013" spans="1:17">
      <c r="A1013">
        <v>1012</v>
      </c>
      <c r="B1013">
        <v>1411</v>
      </c>
      <c r="C1013">
        <v>135</v>
      </c>
      <c r="D1013">
        <v>7</v>
      </c>
      <c r="E1013">
        <v>41.03</v>
      </c>
      <c r="F1013">
        <v>0</v>
      </c>
      <c r="G1013">
        <f t="shared" si="45"/>
        <v>287.21000000000004</v>
      </c>
      <c r="H1013" t="str">
        <f>_xlfn.XLOOKUP(B1013,customer_orders!A:A,customer_orders!F:F)</f>
        <v>2026-04</v>
      </c>
      <c r="I1013" t="str">
        <f>_xlfn.XLOOKUP(C1013,products!A:A,products!B:B)</f>
        <v>SKU-0135</v>
      </c>
      <c r="J1013" t="str">
        <f>_xlfn.XLOOKUP(B1013,customer_orders!A:A,customer_orders!G:G)</f>
        <v>2026-w14</v>
      </c>
      <c r="K1013">
        <f>IFERROR(_xlfn.XLOOKUP(B1013,shipments!B:B,shipments!H:H),0)</f>
        <v>47.68</v>
      </c>
      <c r="L1013">
        <f t="shared" si="46"/>
        <v>0.17</v>
      </c>
      <c r="M1013" t="str">
        <f>_xlfn.XLOOKUP(B1013,customer_orders!A:A,customer_orders!D:D)</f>
        <v>Amazon</v>
      </c>
      <c r="N1013" t="str">
        <f>_xlfn.XLOOKUP(C1013,inventory!B:B,inventory!C:C)</f>
        <v>Lehi</v>
      </c>
      <c r="O1013">
        <f>IF(_xlfn.XLOOKUP(C1013,products!A:A,products!E:E)="NULL",0,_xlfn.XLOOKUP(C1013,products!A:A,products!E:E))</f>
        <v>48.81</v>
      </c>
      <c r="P1013">
        <f t="shared" si="47"/>
        <v>238.40000000000003</v>
      </c>
      <c r="Q1013" s="2" t="str">
        <f>_xlfn.XLOOKUP(I1013,products!B:B,products!D:D)</f>
        <v>Kitchen</v>
      </c>
    </row>
    <row r="1014" spans="1:17">
      <c r="A1014">
        <v>1013</v>
      </c>
      <c r="B1014">
        <v>1411</v>
      </c>
      <c r="C1014">
        <v>39</v>
      </c>
      <c r="D1014">
        <v>6</v>
      </c>
      <c r="E1014">
        <v>129.30000000000001</v>
      </c>
      <c r="F1014">
        <v>0</v>
      </c>
      <c r="G1014">
        <f t="shared" si="45"/>
        <v>775.80000000000007</v>
      </c>
      <c r="H1014" t="str">
        <f>_xlfn.XLOOKUP(B1014,customer_orders!A:A,customer_orders!F:F)</f>
        <v>2026-04</v>
      </c>
      <c r="I1014" t="str">
        <f>_xlfn.XLOOKUP(C1014,products!A:A,products!B:B)</f>
        <v>SKU-0039</v>
      </c>
      <c r="J1014" t="str">
        <f>_xlfn.XLOOKUP(B1014,customer_orders!A:A,customer_orders!G:G)</f>
        <v>2026-w14</v>
      </c>
      <c r="K1014">
        <f>IFERROR(_xlfn.XLOOKUP(B1014,shipments!B:B,shipments!H:H),0)</f>
        <v>47.68</v>
      </c>
      <c r="L1014">
        <f t="shared" si="46"/>
        <v>0.06</v>
      </c>
      <c r="M1014" t="str">
        <f>_xlfn.XLOOKUP(B1014,customer_orders!A:A,customer_orders!D:D)</f>
        <v>Amazon</v>
      </c>
      <c r="N1014" t="str">
        <f>_xlfn.XLOOKUP(C1014,inventory!B:B,inventory!C:C)</f>
        <v>West Valley</v>
      </c>
      <c r="O1014">
        <f>IF(_xlfn.XLOOKUP(C1014,products!A:A,products!E:E)="NULL",0,_xlfn.XLOOKUP(C1014,products!A:A,products!E:E))</f>
        <v>42.41</v>
      </c>
      <c r="P1014">
        <f t="shared" si="47"/>
        <v>733.3900000000001</v>
      </c>
      <c r="Q1014" s="2" t="str">
        <f>_xlfn.XLOOKUP(I1014,products!B:B,products!D:D)</f>
        <v>Pet</v>
      </c>
    </row>
    <row r="1015" spans="1:17">
      <c r="A1015">
        <v>1014</v>
      </c>
      <c r="B1015">
        <v>1411</v>
      </c>
      <c r="C1015">
        <v>118</v>
      </c>
      <c r="D1015">
        <v>3</v>
      </c>
      <c r="E1015">
        <v>84.02</v>
      </c>
      <c r="F1015">
        <v>0</v>
      </c>
      <c r="G1015">
        <f t="shared" si="45"/>
        <v>252.06</v>
      </c>
      <c r="H1015" t="str">
        <f>_xlfn.XLOOKUP(B1015,customer_orders!A:A,customer_orders!F:F)</f>
        <v>2026-04</v>
      </c>
      <c r="I1015" t="str">
        <f>_xlfn.XLOOKUP(C1015,products!A:A,products!B:B)</f>
        <v>SKU-0118</v>
      </c>
      <c r="J1015" t="str">
        <f>_xlfn.XLOOKUP(B1015,customer_orders!A:A,customer_orders!G:G)</f>
        <v>2026-w14</v>
      </c>
      <c r="K1015">
        <f>IFERROR(_xlfn.XLOOKUP(B1015,shipments!B:B,shipments!H:H),0)</f>
        <v>47.68</v>
      </c>
      <c r="L1015">
        <f t="shared" si="46"/>
        <v>0.19</v>
      </c>
      <c r="M1015" t="str">
        <f>_xlfn.XLOOKUP(B1015,customer_orders!A:A,customer_orders!D:D)</f>
        <v>Amazon</v>
      </c>
      <c r="N1015" t="str">
        <f>_xlfn.XLOOKUP(C1015,inventory!B:B,inventory!C:C)</f>
        <v>Salt Lake City</v>
      </c>
      <c r="O1015">
        <f>IF(_xlfn.XLOOKUP(C1015,products!A:A,products!E:E)="NULL",0,_xlfn.XLOOKUP(C1015,products!A:A,products!E:E))</f>
        <v>44.81</v>
      </c>
      <c r="P1015">
        <f t="shared" si="47"/>
        <v>207.25</v>
      </c>
      <c r="Q1015" s="2" t="str">
        <f>_xlfn.XLOOKUP(I1015,products!B:B,products!D:D)</f>
        <v>Beauty</v>
      </c>
    </row>
    <row r="1016" spans="1:17">
      <c r="A1016">
        <v>1015</v>
      </c>
      <c r="B1016">
        <v>1412</v>
      </c>
      <c r="C1016">
        <v>83</v>
      </c>
      <c r="D1016">
        <v>6</v>
      </c>
      <c r="E1016">
        <v>269.23</v>
      </c>
      <c r="F1016">
        <v>9.18</v>
      </c>
      <c r="G1016">
        <f t="shared" si="45"/>
        <v>1606.2</v>
      </c>
      <c r="H1016" t="str">
        <f>_xlfn.XLOOKUP(B1016,customer_orders!A:A,customer_orders!F:F)</f>
        <v>2026-05</v>
      </c>
      <c r="I1016" t="str">
        <f>_xlfn.XLOOKUP(C1016,products!A:A,products!B:B)</f>
        <v>SKU-0083</v>
      </c>
      <c r="J1016" t="str">
        <f>_xlfn.XLOOKUP(B1016,customer_orders!A:A,customer_orders!G:G)</f>
        <v>2026-w20</v>
      </c>
      <c r="K1016">
        <f>IFERROR(_xlfn.XLOOKUP(B1016,shipments!B:B,shipments!H:H),0)</f>
        <v>61.93</v>
      </c>
      <c r="L1016">
        <f t="shared" si="46"/>
        <v>0.04</v>
      </c>
      <c r="M1016" t="str">
        <f>_xlfn.XLOOKUP(B1016,customer_orders!A:A,customer_orders!D:D)</f>
        <v>Amazon</v>
      </c>
      <c r="N1016" t="str">
        <f>_xlfn.XLOOKUP(C1016,inventory!B:B,inventory!C:C)</f>
        <v>Salt Lake City</v>
      </c>
      <c r="O1016">
        <f>IF(_xlfn.XLOOKUP(C1016,products!A:A,products!E:E)="NULL",0,_xlfn.XLOOKUP(C1016,products!A:A,products!E:E))</f>
        <v>147.63</v>
      </c>
      <c r="P1016">
        <f t="shared" si="47"/>
        <v>1458.5700000000002</v>
      </c>
      <c r="Q1016" s="2" t="str">
        <f>_xlfn.XLOOKUP(I1016,products!B:B,products!D:D)</f>
        <v>Pet</v>
      </c>
    </row>
    <row r="1017" spans="1:17">
      <c r="A1017">
        <v>1016</v>
      </c>
      <c r="B1017">
        <v>1412</v>
      </c>
      <c r="C1017">
        <v>18</v>
      </c>
      <c r="D1017">
        <v>1</v>
      </c>
      <c r="E1017">
        <v>60.59</v>
      </c>
      <c r="F1017">
        <v>0</v>
      </c>
      <c r="G1017">
        <f t="shared" si="45"/>
        <v>60.59</v>
      </c>
      <c r="H1017" t="str">
        <f>_xlfn.XLOOKUP(B1017,customer_orders!A:A,customer_orders!F:F)</f>
        <v>2026-05</v>
      </c>
      <c r="I1017" t="str">
        <f>_xlfn.XLOOKUP(C1017,products!A:A,products!B:B)</f>
        <v>SKU-0018</v>
      </c>
      <c r="J1017" t="str">
        <f>_xlfn.XLOOKUP(B1017,customer_orders!A:A,customer_orders!G:G)</f>
        <v>2026-w20</v>
      </c>
      <c r="K1017">
        <f>IFERROR(_xlfn.XLOOKUP(B1017,shipments!B:B,shipments!H:H),0)</f>
        <v>61.93</v>
      </c>
      <c r="L1017">
        <f t="shared" si="46"/>
        <v>1.02</v>
      </c>
      <c r="M1017" t="str">
        <f>_xlfn.XLOOKUP(B1017,customer_orders!A:A,customer_orders!D:D)</f>
        <v>Amazon</v>
      </c>
      <c r="N1017" t="str">
        <f>_xlfn.XLOOKUP(C1017,inventory!B:B,inventory!C:C)</f>
        <v>Unknown</v>
      </c>
      <c r="O1017">
        <f>IF(_xlfn.XLOOKUP(C1017,products!A:A,products!E:E)="NULL",0,_xlfn.XLOOKUP(C1017,products!A:A,products!E:E))</f>
        <v>31.75</v>
      </c>
      <c r="P1017">
        <f t="shared" si="47"/>
        <v>28.840000000000003</v>
      </c>
      <c r="Q1017" s="2" t="str">
        <f>_xlfn.XLOOKUP(I1017,products!B:B,products!D:D)</f>
        <v>Electronics</v>
      </c>
    </row>
    <row r="1018" spans="1:17">
      <c r="A1018">
        <v>1017</v>
      </c>
      <c r="B1018">
        <v>1413</v>
      </c>
      <c r="C1018">
        <v>17</v>
      </c>
      <c r="D1018">
        <v>1</v>
      </c>
      <c r="E1018">
        <v>299.3</v>
      </c>
      <c r="F1018">
        <v>0</v>
      </c>
      <c r="G1018">
        <f t="shared" si="45"/>
        <v>299.3</v>
      </c>
      <c r="H1018" t="str">
        <f>_xlfn.XLOOKUP(B1018,customer_orders!A:A,customer_orders!F:F)</f>
        <v>2026-01</v>
      </c>
      <c r="I1018" t="str">
        <f>_xlfn.XLOOKUP(C1018,products!A:A,products!B:B)</f>
        <v>SKU-0017</v>
      </c>
      <c r="J1018" t="str">
        <f>_xlfn.XLOOKUP(B1018,customer_orders!A:A,customer_orders!G:G)</f>
        <v>2026-w05</v>
      </c>
      <c r="K1018">
        <f>IFERROR(_xlfn.XLOOKUP(B1018,shipments!B:B,shipments!H:H),0)</f>
        <v>54.75</v>
      </c>
      <c r="L1018">
        <f t="shared" si="46"/>
        <v>0.18</v>
      </c>
      <c r="M1018" t="str">
        <f>_xlfn.XLOOKUP(B1018,customer_orders!A:A,customer_orders!D:D)</f>
        <v>Shopify</v>
      </c>
      <c r="N1018" t="str">
        <f>_xlfn.XLOOKUP(C1018,inventory!B:B,inventory!C:C)</f>
        <v>West Valley</v>
      </c>
      <c r="O1018">
        <f>IF(_xlfn.XLOOKUP(C1018,products!A:A,products!E:E)="NULL",0,_xlfn.XLOOKUP(C1018,products!A:A,products!E:E))</f>
        <v>43.38</v>
      </c>
      <c r="P1018">
        <f t="shared" si="47"/>
        <v>255.92000000000002</v>
      </c>
      <c r="Q1018" s="2" t="str">
        <f>_xlfn.XLOOKUP(I1018,products!B:B,products!D:D)</f>
        <v>Office</v>
      </c>
    </row>
    <row r="1019" spans="1:17">
      <c r="A1019">
        <v>1018</v>
      </c>
      <c r="B1019">
        <v>1413</v>
      </c>
      <c r="C1019">
        <v>10</v>
      </c>
      <c r="D1019">
        <v>2</v>
      </c>
      <c r="E1019">
        <v>144.22</v>
      </c>
      <c r="F1019">
        <v>0</v>
      </c>
      <c r="G1019">
        <f t="shared" si="45"/>
        <v>288.44</v>
      </c>
      <c r="H1019" t="str">
        <f>_xlfn.XLOOKUP(B1019,customer_orders!A:A,customer_orders!F:F)</f>
        <v>2026-01</v>
      </c>
      <c r="I1019" t="str">
        <f>_xlfn.XLOOKUP(C1019,products!A:A,products!B:B)</f>
        <v>SKU-0010</v>
      </c>
      <c r="J1019" t="str">
        <f>_xlfn.XLOOKUP(B1019,customer_orders!A:A,customer_orders!G:G)</f>
        <v>2026-w05</v>
      </c>
      <c r="K1019">
        <f>IFERROR(_xlfn.XLOOKUP(B1019,shipments!B:B,shipments!H:H),0)</f>
        <v>54.75</v>
      </c>
      <c r="L1019">
        <f t="shared" si="46"/>
        <v>0.19</v>
      </c>
      <c r="M1019" t="str">
        <f>_xlfn.XLOOKUP(B1019,customer_orders!A:A,customer_orders!D:D)</f>
        <v>Shopify</v>
      </c>
      <c r="N1019" t="str">
        <f>_xlfn.XLOOKUP(C1019,inventory!B:B,inventory!C:C)</f>
        <v>Draper</v>
      </c>
      <c r="O1019">
        <f>IF(_xlfn.XLOOKUP(C1019,products!A:A,products!E:E)="NULL",0,_xlfn.XLOOKUP(C1019,products!A:A,products!E:E))</f>
        <v>71.52</v>
      </c>
      <c r="P1019">
        <f t="shared" si="47"/>
        <v>216.92000000000002</v>
      </c>
      <c r="Q1019" s="2" t="str">
        <f>_xlfn.XLOOKUP(I1019,products!B:B,products!D:D)</f>
        <v>Beauty</v>
      </c>
    </row>
    <row r="1020" spans="1:17">
      <c r="A1020">
        <v>1019</v>
      </c>
      <c r="B1020">
        <v>1413</v>
      </c>
      <c r="C1020">
        <v>8</v>
      </c>
      <c r="D1020">
        <v>3</v>
      </c>
      <c r="E1020">
        <v>118.07</v>
      </c>
      <c r="F1020">
        <v>5.5</v>
      </c>
      <c r="G1020">
        <f t="shared" si="45"/>
        <v>348.71</v>
      </c>
      <c r="H1020" t="str">
        <f>_xlfn.XLOOKUP(B1020,customer_orders!A:A,customer_orders!F:F)</f>
        <v>2026-01</v>
      </c>
      <c r="I1020" t="str">
        <f>_xlfn.XLOOKUP(C1020,products!A:A,products!B:B)</f>
        <v>SKU-0008</v>
      </c>
      <c r="J1020" t="str">
        <f>_xlfn.XLOOKUP(B1020,customer_orders!A:A,customer_orders!G:G)</f>
        <v>2026-w05</v>
      </c>
      <c r="K1020">
        <f>IFERROR(_xlfn.XLOOKUP(B1020,shipments!B:B,shipments!H:H),0)</f>
        <v>54.75</v>
      </c>
      <c r="L1020">
        <f t="shared" si="46"/>
        <v>0.16</v>
      </c>
      <c r="M1020" t="str">
        <f>_xlfn.XLOOKUP(B1020,customer_orders!A:A,customer_orders!D:D)</f>
        <v>Shopify</v>
      </c>
      <c r="N1020" t="str">
        <f>_xlfn.XLOOKUP(C1020,inventory!B:B,inventory!C:C)</f>
        <v>Salt Lake City</v>
      </c>
      <c r="O1020">
        <f>IF(_xlfn.XLOOKUP(C1020,products!A:A,products!E:E)="NULL",0,_xlfn.XLOOKUP(C1020,products!A:A,products!E:E))</f>
        <v>159.94999999999999</v>
      </c>
      <c r="P1020">
        <f t="shared" si="47"/>
        <v>188.76</v>
      </c>
      <c r="Q1020" s="2" t="str">
        <f>_xlfn.XLOOKUP(I1020,products!B:B,products!D:D)</f>
        <v>Sports</v>
      </c>
    </row>
    <row r="1021" spans="1:17">
      <c r="A1021">
        <v>1020</v>
      </c>
      <c r="B1021">
        <v>1413</v>
      </c>
      <c r="C1021">
        <v>97</v>
      </c>
      <c r="D1021">
        <v>3</v>
      </c>
      <c r="E1021">
        <v>168.73</v>
      </c>
      <c r="F1021">
        <v>0</v>
      </c>
      <c r="G1021">
        <f t="shared" si="45"/>
        <v>506.18999999999994</v>
      </c>
      <c r="H1021" t="str">
        <f>_xlfn.XLOOKUP(B1021,customer_orders!A:A,customer_orders!F:F)</f>
        <v>2026-01</v>
      </c>
      <c r="I1021" t="str">
        <f>_xlfn.XLOOKUP(C1021,products!A:A,products!B:B)</f>
        <v>SKU-0097</v>
      </c>
      <c r="J1021" t="str">
        <f>_xlfn.XLOOKUP(B1021,customer_orders!A:A,customer_orders!G:G)</f>
        <v>2026-w05</v>
      </c>
      <c r="K1021">
        <f>IFERROR(_xlfn.XLOOKUP(B1021,shipments!B:B,shipments!H:H),0)</f>
        <v>54.75</v>
      </c>
      <c r="L1021">
        <f t="shared" si="46"/>
        <v>0.11</v>
      </c>
      <c r="M1021" t="str">
        <f>_xlfn.XLOOKUP(B1021,customer_orders!A:A,customer_orders!D:D)</f>
        <v>Shopify</v>
      </c>
      <c r="N1021" t="str">
        <f>_xlfn.XLOOKUP(C1021,inventory!B:B,inventory!C:C)</f>
        <v>West Valley</v>
      </c>
      <c r="O1021">
        <f>IF(_xlfn.XLOOKUP(C1021,products!A:A,products!E:E)="NULL",0,_xlfn.XLOOKUP(C1021,products!A:A,products!E:E))</f>
        <v>8.39</v>
      </c>
      <c r="P1021">
        <f t="shared" si="47"/>
        <v>497.79999999999995</v>
      </c>
      <c r="Q1021" s="2" t="str">
        <f>_xlfn.XLOOKUP(I1021,products!B:B,products!D:D)</f>
        <v>Home</v>
      </c>
    </row>
    <row r="1022" spans="1:17">
      <c r="A1022">
        <v>1021</v>
      </c>
      <c r="B1022">
        <v>1414</v>
      </c>
      <c r="C1022">
        <v>53</v>
      </c>
      <c r="D1022">
        <v>1</v>
      </c>
      <c r="E1022">
        <v>73.03</v>
      </c>
      <c r="F1022">
        <v>0</v>
      </c>
      <c r="G1022">
        <f t="shared" si="45"/>
        <v>73.03</v>
      </c>
      <c r="H1022" t="str">
        <f>_xlfn.XLOOKUP(B1022,customer_orders!A:A,customer_orders!F:F)</f>
        <v>2026-02</v>
      </c>
      <c r="I1022" t="str">
        <f>_xlfn.XLOOKUP(C1022,products!A:A,products!B:B)</f>
        <v>SKU-0053</v>
      </c>
      <c r="J1022" t="str">
        <f>_xlfn.XLOOKUP(B1022,customer_orders!A:A,customer_orders!G:G)</f>
        <v>2026-w08</v>
      </c>
      <c r="K1022">
        <f>IFERROR(_xlfn.XLOOKUP(B1022,shipments!B:B,shipments!H:H),0)</f>
        <v>67.400000000000006</v>
      </c>
      <c r="L1022">
        <f t="shared" si="46"/>
        <v>0.92</v>
      </c>
      <c r="M1022" t="str">
        <f>_xlfn.XLOOKUP(B1022,customer_orders!A:A,customer_orders!D:D)</f>
        <v>Amazon</v>
      </c>
      <c r="N1022" t="str">
        <f>_xlfn.XLOOKUP(C1022,inventory!B:B,inventory!C:C)</f>
        <v>Unknown</v>
      </c>
      <c r="O1022">
        <f>IF(_xlfn.XLOOKUP(C1022,products!A:A,products!E:E)="NULL",0,_xlfn.XLOOKUP(C1022,products!A:A,products!E:E))</f>
        <v>0</v>
      </c>
      <c r="P1022">
        <f t="shared" si="47"/>
        <v>73.03</v>
      </c>
      <c r="Q1022" s="2" t="str">
        <f>_xlfn.XLOOKUP(I1022,products!B:B,products!D:D)</f>
        <v>Beauty</v>
      </c>
    </row>
    <row r="1023" spans="1:17">
      <c r="A1023">
        <v>1022</v>
      </c>
      <c r="B1023">
        <v>1415</v>
      </c>
      <c r="C1023">
        <v>92</v>
      </c>
      <c r="D1023">
        <v>3</v>
      </c>
      <c r="E1023">
        <v>23.27</v>
      </c>
      <c r="F1023">
        <v>12.22</v>
      </c>
      <c r="G1023">
        <f t="shared" si="45"/>
        <v>57.59</v>
      </c>
      <c r="H1023" t="str">
        <f>_xlfn.XLOOKUP(B1023,customer_orders!A:A,customer_orders!F:F)</f>
        <v>2026-02</v>
      </c>
      <c r="I1023" t="str">
        <f>_xlfn.XLOOKUP(C1023,products!A:A,products!B:B)</f>
        <v>SKU-0092</v>
      </c>
      <c r="J1023" t="str">
        <f>_xlfn.XLOOKUP(B1023,customer_orders!A:A,customer_orders!G:G)</f>
        <v>2026-w09</v>
      </c>
      <c r="K1023">
        <f>IFERROR(_xlfn.XLOOKUP(B1023,shipments!B:B,shipments!H:H),0)</f>
        <v>66.7</v>
      </c>
      <c r="L1023">
        <f t="shared" si="46"/>
        <v>1.1599999999999999</v>
      </c>
      <c r="M1023" t="str">
        <f>_xlfn.XLOOKUP(B1023,customer_orders!A:A,customer_orders!D:D)</f>
        <v>Walmart</v>
      </c>
      <c r="N1023" t="str">
        <f>_xlfn.XLOOKUP(C1023,inventory!B:B,inventory!C:C)</f>
        <v>Salt Lake City</v>
      </c>
      <c r="O1023">
        <f>IF(_xlfn.XLOOKUP(C1023,products!A:A,products!E:E)="NULL",0,_xlfn.XLOOKUP(C1023,products!A:A,products!E:E))</f>
        <v>81.27</v>
      </c>
      <c r="P1023">
        <f t="shared" si="47"/>
        <v>-23.679999999999993</v>
      </c>
      <c r="Q1023" s="2" t="str">
        <f>_xlfn.XLOOKUP(I1023,products!B:B,products!D:D)</f>
        <v>Beauty</v>
      </c>
    </row>
    <row r="1024" spans="1:17">
      <c r="A1024">
        <v>1023</v>
      </c>
      <c r="B1024">
        <v>1415</v>
      </c>
      <c r="C1024">
        <v>110</v>
      </c>
      <c r="D1024">
        <v>7</v>
      </c>
      <c r="E1024">
        <v>112</v>
      </c>
      <c r="F1024">
        <v>0</v>
      </c>
      <c r="G1024">
        <f t="shared" si="45"/>
        <v>784</v>
      </c>
      <c r="H1024" t="str">
        <f>_xlfn.XLOOKUP(B1024,customer_orders!A:A,customer_orders!F:F)</f>
        <v>2026-02</v>
      </c>
      <c r="I1024" t="str">
        <f>_xlfn.XLOOKUP(C1024,products!A:A,products!B:B)</f>
        <v>SKU-0110</v>
      </c>
      <c r="J1024" t="str">
        <f>_xlfn.XLOOKUP(B1024,customer_orders!A:A,customer_orders!G:G)</f>
        <v>2026-w09</v>
      </c>
      <c r="K1024">
        <f>IFERROR(_xlfn.XLOOKUP(B1024,shipments!B:B,shipments!H:H),0)</f>
        <v>66.7</v>
      </c>
      <c r="L1024">
        <f t="shared" si="46"/>
        <v>0.09</v>
      </c>
      <c r="M1024" t="str">
        <f>_xlfn.XLOOKUP(B1024,customer_orders!A:A,customer_orders!D:D)</f>
        <v>Walmart</v>
      </c>
      <c r="N1024" t="str">
        <f>_xlfn.XLOOKUP(C1024,inventory!B:B,inventory!C:C)</f>
        <v>Draper</v>
      </c>
      <c r="O1024">
        <f>IF(_xlfn.XLOOKUP(C1024,products!A:A,products!E:E)="NULL",0,_xlfn.XLOOKUP(C1024,products!A:A,products!E:E))</f>
        <v>144.62</v>
      </c>
      <c r="P1024">
        <f t="shared" si="47"/>
        <v>639.38</v>
      </c>
      <c r="Q1024" s="2" t="str">
        <f>_xlfn.XLOOKUP(I1024,products!B:B,products!D:D)</f>
        <v>Beauty</v>
      </c>
    </row>
    <row r="1025" spans="1:17">
      <c r="A1025">
        <v>1024</v>
      </c>
      <c r="B1025">
        <v>1415</v>
      </c>
      <c r="C1025">
        <v>33</v>
      </c>
      <c r="D1025">
        <v>5</v>
      </c>
      <c r="E1025">
        <v>42.63</v>
      </c>
      <c r="F1025">
        <v>2.41</v>
      </c>
      <c r="G1025">
        <f t="shared" si="45"/>
        <v>210.74</v>
      </c>
      <c r="H1025" t="str">
        <f>_xlfn.XLOOKUP(B1025,customer_orders!A:A,customer_orders!F:F)</f>
        <v>2026-02</v>
      </c>
      <c r="I1025" t="str">
        <f>_xlfn.XLOOKUP(C1025,products!A:A,products!B:B)</f>
        <v>SKU-0033</v>
      </c>
      <c r="J1025" t="str">
        <f>_xlfn.XLOOKUP(B1025,customer_orders!A:A,customer_orders!G:G)</f>
        <v>2026-w09</v>
      </c>
      <c r="K1025">
        <f>IFERROR(_xlfn.XLOOKUP(B1025,shipments!B:B,shipments!H:H),0)</f>
        <v>66.7</v>
      </c>
      <c r="L1025">
        <f t="shared" si="46"/>
        <v>0.32</v>
      </c>
      <c r="M1025" t="str">
        <f>_xlfn.XLOOKUP(B1025,customer_orders!A:A,customer_orders!D:D)</f>
        <v>Walmart</v>
      </c>
      <c r="N1025" t="str">
        <f>_xlfn.XLOOKUP(C1025,inventory!B:B,inventory!C:C)</f>
        <v>South Jordan</v>
      </c>
      <c r="O1025">
        <f>IF(_xlfn.XLOOKUP(C1025,products!A:A,products!E:E)="NULL",0,_xlfn.XLOOKUP(C1025,products!A:A,products!E:E))</f>
        <v>38.32</v>
      </c>
      <c r="P1025">
        <f t="shared" si="47"/>
        <v>172.42000000000002</v>
      </c>
      <c r="Q1025" s="2" t="str">
        <f>_xlfn.XLOOKUP(I1025,products!B:B,products!D:D)</f>
        <v>Pet</v>
      </c>
    </row>
    <row r="1026" spans="1:17">
      <c r="A1026">
        <v>1025</v>
      </c>
      <c r="B1026">
        <v>1416</v>
      </c>
      <c r="C1026">
        <v>137</v>
      </c>
      <c r="D1026">
        <v>4</v>
      </c>
      <c r="E1026">
        <v>181.82</v>
      </c>
      <c r="F1026">
        <v>0</v>
      </c>
      <c r="G1026">
        <f t="shared" si="45"/>
        <v>727.28</v>
      </c>
      <c r="H1026" t="str">
        <f>_xlfn.XLOOKUP(B1026,customer_orders!A:A,customer_orders!F:F)</f>
        <v>2026-04</v>
      </c>
      <c r="I1026" t="str">
        <f>_xlfn.XLOOKUP(C1026,products!A:A,products!B:B)</f>
        <v>SKU-0137</v>
      </c>
      <c r="J1026" t="str">
        <f>_xlfn.XLOOKUP(B1026,customer_orders!A:A,customer_orders!G:G)</f>
        <v>2026-w14</v>
      </c>
      <c r="K1026">
        <f>IFERROR(_xlfn.XLOOKUP(B1026,shipments!B:B,shipments!H:H),0)</f>
        <v>67.33</v>
      </c>
      <c r="L1026">
        <f t="shared" si="46"/>
        <v>0.09</v>
      </c>
      <c r="M1026" t="str">
        <f>_xlfn.XLOOKUP(B1026,customer_orders!A:A,customer_orders!D:D)</f>
        <v>Shopify</v>
      </c>
      <c r="N1026" t="str">
        <f>_xlfn.XLOOKUP(C1026,inventory!B:B,inventory!C:C)</f>
        <v>Salt Lake City</v>
      </c>
      <c r="O1026">
        <f>IF(_xlfn.XLOOKUP(C1026,products!A:A,products!E:E)="NULL",0,_xlfn.XLOOKUP(C1026,products!A:A,products!E:E))</f>
        <v>36.76</v>
      </c>
      <c r="P1026">
        <f t="shared" si="47"/>
        <v>690.52</v>
      </c>
      <c r="Q1026" s="2" t="str">
        <f>_xlfn.XLOOKUP(I1026,products!B:B,products!D:D)</f>
        <v>Pet</v>
      </c>
    </row>
    <row r="1027" spans="1:17">
      <c r="A1027">
        <v>1026</v>
      </c>
      <c r="B1027">
        <v>1417</v>
      </c>
      <c r="C1027">
        <v>52</v>
      </c>
      <c r="D1027">
        <v>6</v>
      </c>
      <c r="E1027">
        <v>59.3</v>
      </c>
      <c r="F1027">
        <v>0</v>
      </c>
      <c r="G1027">
        <f t="shared" ref="G1027:G1090" si="48">E1027*D1027-F1027</f>
        <v>355.79999999999995</v>
      </c>
      <c r="H1027" t="str">
        <f>_xlfn.XLOOKUP(B1027,customer_orders!A:A,customer_orders!F:F)</f>
        <v>2026-01</v>
      </c>
      <c r="I1027" t="str">
        <f>_xlfn.XLOOKUP(C1027,products!A:A,products!B:B)</f>
        <v>SKU-0052</v>
      </c>
      <c r="J1027" t="str">
        <f>_xlfn.XLOOKUP(B1027,customer_orders!A:A,customer_orders!G:G)</f>
        <v>2026-w02</v>
      </c>
      <c r="K1027">
        <f>IFERROR(_xlfn.XLOOKUP(B1027,shipments!B:B,shipments!H:H),0)</f>
        <v>73.39</v>
      </c>
      <c r="L1027">
        <f t="shared" ref="L1027:L1090" si="49">ROUND(K1027/G1027,2)</f>
        <v>0.21</v>
      </c>
      <c r="M1027" t="str">
        <f>_xlfn.XLOOKUP(B1027,customer_orders!A:A,customer_orders!D:D)</f>
        <v>Ebay</v>
      </c>
      <c r="N1027" t="str">
        <f>_xlfn.XLOOKUP(C1027,inventory!B:B,inventory!C:C)</f>
        <v>Lehi</v>
      </c>
      <c r="O1027">
        <f>IF(_xlfn.XLOOKUP(C1027,products!A:A,products!E:E)="NULL",0,_xlfn.XLOOKUP(C1027,products!A:A,products!E:E))</f>
        <v>134.91999999999999</v>
      </c>
      <c r="P1027">
        <f t="shared" ref="P1027:P1090" si="50">G1027-O1027</f>
        <v>220.87999999999997</v>
      </c>
      <c r="Q1027" s="2" t="str">
        <f>_xlfn.XLOOKUP(I1027,products!B:B,products!D:D)</f>
        <v>Home</v>
      </c>
    </row>
    <row r="1028" spans="1:17">
      <c r="A1028">
        <v>1027</v>
      </c>
      <c r="B1028">
        <v>1417</v>
      </c>
      <c r="C1028">
        <v>36</v>
      </c>
      <c r="D1028">
        <v>4</v>
      </c>
      <c r="E1028">
        <v>94.39</v>
      </c>
      <c r="F1028">
        <v>0</v>
      </c>
      <c r="G1028">
        <f t="shared" si="48"/>
        <v>377.56</v>
      </c>
      <c r="H1028" t="str">
        <f>_xlfn.XLOOKUP(B1028,customer_orders!A:A,customer_orders!F:F)</f>
        <v>2026-01</v>
      </c>
      <c r="I1028" t="str">
        <f>_xlfn.XLOOKUP(C1028,products!A:A,products!B:B)</f>
        <v>SKU-0036</v>
      </c>
      <c r="J1028" t="str">
        <f>_xlfn.XLOOKUP(B1028,customer_orders!A:A,customer_orders!G:G)</f>
        <v>2026-w02</v>
      </c>
      <c r="K1028">
        <f>IFERROR(_xlfn.XLOOKUP(B1028,shipments!B:B,shipments!H:H),0)</f>
        <v>73.39</v>
      </c>
      <c r="L1028">
        <f t="shared" si="49"/>
        <v>0.19</v>
      </c>
      <c r="M1028" t="str">
        <f>_xlfn.XLOOKUP(B1028,customer_orders!A:A,customer_orders!D:D)</f>
        <v>Ebay</v>
      </c>
      <c r="N1028" t="str">
        <f>_xlfn.XLOOKUP(C1028,inventory!B:B,inventory!C:C)</f>
        <v>Draper</v>
      </c>
      <c r="O1028">
        <f>IF(_xlfn.XLOOKUP(C1028,products!A:A,products!E:E)="NULL",0,_xlfn.XLOOKUP(C1028,products!A:A,products!E:E))</f>
        <v>78.83</v>
      </c>
      <c r="P1028">
        <f t="shared" si="50"/>
        <v>298.73</v>
      </c>
      <c r="Q1028" s="2" t="str">
        <f>_xlfn.XLOOKUP(I1028,products!B:B,products!D:D)</f>
        <v>Pet</v>
      </c>
    </row>
    <row r="1029" spans="1:17">
      <c r="A1029">
        <v>1028</v>
      </c>
      <c r="B1029">
        <v>1417</v>
      </c>
      <c r="C1029">
        <v>16</v>
      </c>
      <c r="D1029">
        <v>4</v>
      </c>
      <c r="E1029">
        <v>168.61</v>
      </c>
      <c r="F1029">
        <v>0</v>
      </c>
      <c r="G1029">
        <f t="shared" si="48"/>
        <v>674.44</v>
      </c>
      <c r="H1029" t="str">
        <f>_xlfn.XLOOKUP(B1029,customer_orders!A:A,customer_orders!F:F)</f>
        <v>2026-01</v>
      </c>
      <c r="I1029" t="str">
        <f>_xlfn.XLOOKUP(C1029,products!A:A,products!B:B)</f>
        <v>SKU-0016</v>
      </c>
      <c r="J1029" t="str">
        <f>_xlfn.XLOOKUP(B1029,customer_orders!A:A,customer_orders!G:G)</f>
        <v>2026-w02</v>
      </c>
      <c r="K1029">
        <f>IFERROR(_xlfn.XLOOKUP(B1029,shipments!B:B,shipments!H:H),0)</f>
        <v>73.39</v>
      </c>
      <c r="L1029">
        <f t="shared" si="49"/>
        <v>0.11</v>
      </c>
      <c r="M1029" t="str">
        <f>_xlfn.XLOOKUP(B1029,customer_orders!A:A,customer_orders!D:D)</f>
        <v>Ebay</v>
      </c>
      <c r="N1029" t="str">
        <f>_xlfn.XLOOKUP(C1029,inventory!B:B,inventory!C:C)</f>
        <v>Draper</v>
      </c>
      <c r="O1029">
        <f>IF(_xlfn.XLOOKUP(C1029,products!A:A,products!E:E)="NULL",0,_xlfn.XLOOKUP(C1029,products!A:A,products!E:E))</f>
        <v>135.37</v>
      </c>
      <c r="P1029">
        <f t="shared" si="50"/>
        <v>539.07000000000005</v>
      </c>
      <c r="Q1029" s="2" t="str">
        <f>_xlfn.XLOOKUP(I1029,products!B:B,products!D:D)</f>
        <v>Toys</v>
      </c>
    </row>
    <row r="1030" spans="1:17">
      <c r="A1030">
        <v>1029</v>
      </c>
      <c r="B1030">
        <v>1418</v>
      </c>
      <c r="C1030">
        <v>128</v>
      </c>
      <c r="D1030">
        <v>4</v>
      </c>
      <c r="E1030">
        <v>143.38999999999999</v>
      </c>
      <c r="F1030">
        <v>10.1</v>
      </c>
      <c r="G1030">
        <f t="shared" si="48"/>
        <v>563.45999999999992</v>
      </c>
      <c r="H1030" t="str">
        <f>_xlfn.XLOOKUP(B1030,customer_orders!A:A,customer_orders!F:F)</f>
        <v>2026-03</v>
      </c>
      <c r="I1030" t="str">
        <f>_xlfn.XLOOKUP(C1030,products!A:A,products!B:B)</f>
        <v>SKU-0128</v>
      </c>
      <c r="J1030" t="str">
        <f>_xlfn.XLOOKUP(B1030,customer_orders!A:A,customer_orders!G:G)</f>
        <v>2026-w11</v>
      </c>
      <c r="K1030">
        <f>IFERROR(_xlfn.XLOOKUP(B1030,shipments!B:B,shipments!H:H),0)</f>
        <v>6.49</v>
      </c>
      <c r="L1030">
        <f t="shared" si="49"/>
        <v>0.01</v>
      </c>
      <c r="M1030" t="str">
        <f>_xlfn.XLOOKUP(B1030,customer_orders!A:A,customer_orders!D:D)</f>
        <v>Amazon</v>
      </c>
      <c r="N1030" t="str">
        <f>_xlfn.XLOOKUP(C1030,inventory!B:B,inventory!C:C)</f>
        <v>West Valley</v>
      </c>
      <c r="O1030">
        <f>IF(_xlfn.XLOOKUP(C1030,products!A:A,products!E:E)="NULL",0,_xlfn.XLOOKUP(C1030,products!A:A,products!E:E))</f>
        <v>5.47</v>
      </c>
      <c r="P1030">
        <f t="shared" si="50"/>
        <v>557.9899999999999</v>
      </c>
      <c r="Q1030" s="2" t="str">
        <f>_xlfn.XLOOKUP(I1030,products!B:B,products!D:D)</f>
        <v>Home</v>
      </c>
    </row>
    <row r="1031" spans="1:17">
      <c r="A1031">
        <v>1030</v>
      </c>
      <c r="B1031">
        <v>1419</v>
      </c>
      <c r="C1031">
        <v>111</v>
      </c>
      <c r="D1031">
        <v>7</v>
      </c>
      <c r="E1031">
        <v>39.4</v>
      </c>
      <c r="F1031">
        <v>0</v>
      </c>
      <c r="G1031">
        <f t="shared" si="48"/>
        <v>275.8</v>
      </c>
      <c r="H1031" t="str">
        <f>_xlfn.XLOOKUP(B1031,customer_orders!A:A,customer_orders!F:F)</f>
        <v>2026-05</v>
      </c>
      <c r="I1031" t="str">
        <f>_xlfn.XLOOKUP(C1031,products!A:A,products!B:B)</f>
        <v>SKU0111</v>
      </c>
      <c r="J1031" t="str">
        <f>_xlfn.XLOOKUP(B1031,customer_orders!A:A,customer_orders!G:G)</f>
        <v>2026-w19</v>
      </c>
      <c r="K1031">
        <f>IFERROR(_xlfn.XLOOKUP(B1031,shipments!B:B,shipments!H:H),0)</f>
        <v>54.64</v>
      </c>
      <c r="L1031">
        <f t="shared" si="49"/>
        <v>0.2</v>
      </c>
      <c r="M1031" t="str">
        <f>_xlfn.XLOOKUP(B1031,customer_orders!A:A,customer_orders!D:D)</f>
        <v>Walmart</v>
      </c>
      <c r="N1031" t="str">
        <f>_xlfn.XLOOKUP(C1031,inventory!B:B,inventory!C:C)</f>
        <v>West Valley</v>
      </c>
      <c r="O1031">
        <f>IF(_xlfn.XLOOKUP(C1031,products!A:A,products!E:E)="NULL",0,_xlfn.XLOOKUP(C1031,products!A:A,products!E:E))</f>
        <v>170.91</v>
      </c>
      <c r="P1031">
        <f t="shared" si="50"/>
        <v>104.89000000000001</v>
      </c>
      <c r="Q1031" s="2" t="str">
        <f>_xlfn.XLOOKUP(I1031,products!B:B,products!D:D)</f>
        <v>Electronics</v>
      </c>
    </row>
    <row r="1032" spans="1:17">
      <c r="A1032">
        <v>1031</v>
      </c>
      <c r="B1032">
        <v>1419</v>
      </c>
      <c r="C1032">
        <v>113</v>
      </c>
      <c r="D1032">
        <v>2</v>
      </c>
      <c r="E1032">
        <v>84.34</v>
      </c>
      <c r="F1032">
        <v>0</v>
      </c>
      <c r="G1032">
        <f t="shared" si="48"/>
        <v>168.68</v>
      </c>
      <c r="H1032" t="str">
        <f>_xlfn.XLOOKUP(B1032,customer_orders!A:A,customer_orders!F:F)</f>
        <v>2026-05</v>
      </c>
      <c r="I1032" t="str">
        <f>_xlfn.XLOOKUP(C1032,products!A:A,products!B:B)</f>
        <v>SKU-0113</v>
      </c>
      <c r="J1032" t="str">
        <f>_xlfn.XLOOKUP(B1032,customer_orders!A:A,customer_orders!G:G)</f>
        <v>2026-w19</v>
      </c>
      <c r="K1032">
        <f>IFERROR(_xlfn.XLOOKUP(B1032,shipments!B:B,shipments!H:H),0)</f>
        <v>54.64</v>
      </c>
      <c r="L1032">
        <f t="shared" si="49"/>
        <v>0.32</v>
      </c>
      <c r="M1032" t="str">
        <f>_xlfn.XLOOKUP(B1032,customer_orders!A:A,customer_orders!D:D)</f>
        <v>Walmart</v>
      </c>
      <c r="N1032" t="str">
        <f>_xlfn.XLOOKUP(C1032,inventory!B:B,inventory!C:C)</f>
        <v>West Valley</v>
      </c>
      <c r="O1032">
        <f>IF(_xlfn.XLOOKUP(C1032,products!A:A,products!E:E)="NULL",0,_xlfn.XLOOKUP(C1032,products!A:A,products!E:E))</f>
        <v>75.77</v>
      </c>
      <c r="P1032">
        <f t="shared" si="50"/>
        <v>92.910000000000011</v>
      </c>
      <c r="Q1032" s="2" t="str">
        <f>_xlfn.XLOOKUP(I1032,products!B:B,products!D:D)</f>
        <v>Sports</v>
      </c>
    </row>
    <row r="1033" spans="1:17">
      <c r="A1033">
        <v>1032</v>
      </c>
      <c r="B1033">
        <v>1420</v>
      </c>
      <c r="C1033">
        <v>4</v>
      </c>
      <c r="D1033">
        <v>4</v>
      </c>
      <c r="E1033">
        <v>94.28</v>
      </c>
      <c r="F1033">
        <v>0</v>
      </c>
      <c r="G1033">
        <f t="shared" si="48"/>
        <v>377.12</v>
      </c>
      <c r="H1033" t="str">
        <f>_xlfn.XLOOKUP(B1033,customer_orders!A:A,customer_orders!F:F)</f>
        <v>2026-01</v>
      </c>
      <c r="I1033" t="str">
        <f>_xlfn.XLOOKUP(C1033,products!A:A,products!B:B)</f>
        <v>SKU-0004</v>
      </c>
      <c r="J1033" t="str">
        <f>_xlfn.XLOOKUP(B1033,customer_orders!A:A,customer_orders!G:G)</f>
        <v>2026-w01</v>
      </c>
      <c r="K1033">
        <f>IFERROR(_xlfn.XLOOKUP(B1033,shipments!B:B,shipments!H:H),0)</f>
        <v>24.95</v>
      </c>
      <c r="L1033">
        <f t="shared" si="49"/>
        <v>7.0000000000000007E-2</v>
      </c>
      <c r="M1033" t="str">
        <f>_xlfn.XLOOKUP(B1033,customer_orders!A:A,customer_orders!D:D)</f>
        <v>Walmart</v>
      </c>
      <c r="N1033" t="str">
        <f>_xlfn.XLOOKUP(C1033,inventory!B:B,inventory!C:C)</f>
        <v>Draper</v>
      </c>
      <c r="O1033">
        <f>IF(_xlfn.XLOOKUP(C1033,products!A:A,products!E:E)="NULL",0,_xlfn.XLOOKUP(C1033,products!A:A,products!E:E))</f>
        <v>83.61</v>
      </c>
      <c r="P1033">
        <f t="shared" si="50"/>
        <v>293.51</v>
      </c>
      <c r="Q1033" s="2" t="str">
        <f>_xlfn.XLOOKUP(I1033,products!B:B,products!D:D)</f>
        <v>Office</v>
      </c>
    </row>
    <row r="1034" spans="1:17">
      <c r="A1034">
        <v>1033</v>
      </c>
      <c r="B1034">
        <v>1421</v>
      </c>
      <c r="C1034">
        <v>20</v>
      </c>
      <c r="D1034">
        <v>2</v>
      </c>
      <c r="E1034">
        <v>168.04</v>
      </c>
      <c r="F1034">
        <v>0</v>
      </c>
      <c r="G1034">
        <f t="shared" si="48"/>
        <v>336.08</v>
      </c>
      <c r="H1034" t="str">
        <f>_xlfn.XLOOKUP(B1034,customer_orders!A:A,customer_orders!F:F)</f>
        <v>2026-02</v>
      </c>
      <c r="I1034" t="str">
        <f>_xlfn.XLOOKUP(C1034,products!A:A,products!B:B)</f>
        <v>SKU-0020</v>
      </c>
      <c r="J1034" t="str">
        <f>_xlfn.XLOOKUP(B1034,customer_orders!A:A,customer_orders!G:G)</f>
        <v>2026-w06</v>
      </c>
      <c r="K1034">
        <f>IFERROR(_xlfn.XLOOKUP(B1034,shipments!B:B,shipments!H:H),0)</f>
        <v>108.13</v>
      </c>
      <c r="L1034">
        <f t="shared" si="49"/>
        <v>0.32</v>
      </c>
      <c r="M1034" t="str">
        <f>_xlfn.XLOOKUP(B1034,customer_orders!A:A,customer_orders!D:D)</f>
        <v>Walmart</v>
      </c>
      <c r="N1034" t="str">
        <f>_xlfn.XLOOKUP(C1034,inventory!B:B,inventory!C:C)</f>
        <v>South Jordan</v>
      </c>
      <c r="O1034">
        <f>IF(_xlfn.XLOOKUP(C1034,products!A:A,products!E:E)="NULL",0,_xlfn.XLOOKUP(C1034,products!A:A,products!E:E))</f>
        <v>124.3</v>
      </c>
      <c r="P1034">
        <f t="shared" si="50"/>
        <v>211.77999999999997</v>
      </c>
      <c r="Q1034" s="2" t="str">
        <f>_xlfn.XLOOKUP(I1034,products!B:B,products!D:D)</f>
        <v>Electronics</v>
      </c>
    </row>
    <row r="1035" spans="1:17">
      <c r="A1035">
        <v>1034</v>
      </c>
      <c r="B1035">
        <v>1422</v>
      </c>
      <c r="C1035">
        <v>82</v>
      </c>
      <c r="D1035">
        <v>2</v>
      </c>
      <c r="E1035">
        <v>243.4</v>
      </c>
      <c r="F1035">
        <v>1.76</v>
      </c>
      <c r="G1035">
        <f t="shared" si="48"/>
        <v>485.04</v>
      </c>
      <c r="H1035" t="str">
        <f>_xlfn.XLOOKUP(B1035,customer_orders!A:A,customer_orders!F:F)</f>
        <v>2026-03</v>
      </c>
      <c r="I1035" t="str">
        <f>_xlfn.XLOOKUP(C1035,products!A:A,products!B:B)</f>
        <v>SKU-0082</v>
      </c>
      <c r="J1035" t="str">
        <f>_xlfn.XLOOKUP(B1035,customer_orders!A:A,customer_orders!G:G)</f>
        <v>2026-w12</v>
      </c>
      <c r="K1035">
        <f>IFERROR(_xlfn.XLOOKUP(B1035,shipments!B:B,shipments!H:H),0)</f>
        <v>8.16</v>
      </c>
      <c r="L1035">
        <f t="shared" si="49"/>
        <v>0.02</v>
      </c>
      <c r="M1035" t="str">
        <f>_xlfn.XLOOKUP(B1035,customer_orders!A:A,customer_orders!D:D)</f>
        <v>Shopify</v>
      </c>
      <c r="N1035" t="str">
        <f>_xlfn.XLOOKUP(C1035,inventory!B:B,inventory!C:C)</f>
        <v>Unknown</v>
      </c>
      <c r="O1035">
        <f>IF(_xlfn.XLOOKUP(C1035,products!A:A,products!E:E)="NULL",0,_xlfn.XLOOKUP(C1035,products!A:A,products!E:E))</f>
        <v>84.88</v>
      </c>
      <c r="P1035">
        <f t="shared" si="50"/>
        <v>400.16</v>
      </c>
      <c r="Q1035" s="2" t="str">
        <f>_xlfn.XLOOKUP(I1035,products!B:B,products!D:D)</f>
        <v>Beauty</v>
      </c>
    </row>
    <row r="1036" spans="1:17">
      <c r="A1036">
        <v>1035</v>
      </c>
      <c r="B1036">
        <v>1422</v>
      </c>
      <c r="C1036">
        <v>125</v>
      </c>
      <c r="D1036">
        <v>5</v>
      </c>
      <c r="E1036">
        <v>273.92</v>
      </c>
      <c r="F1036">
        <v>0</v>
      </c>
      <c r="G1036">
        <f t="shared" si="48"/>
        <v>1369.6000000000001</v>
      </c>
      <c r="H1036" t="str">
        <f>_xlfn.XLOOKUP(B1036,customer_orders!A:A,customer_orders!F:F)</f>
        <v>2026-03</v>
      </c>
      <c r="I1036" t="str">
        <f>_xlfn.XLOOKUP(C1036,products!A:A,products!B:B)</f>
        <v>SKU-0125</v>
      </c>
      <c r="J1036" t="str">
        <f>_xlfn.XLOOKUP(B1036,customer_orders!A:A,customer_orders!G:G)</f>
        <v>2026-w12</v>
      </c>
      <c r="K1036">
        <f>IFERROR(_xlfn.XLOOKUP(B1036,shipments!B:B,shipments!H:H),0)</f>
        <v>8.16</v>
      </c>
      <c r="L1036">
        <f t="shared" si="49"/>
        <v>0.01</v>
      </c>
      <c r="M1036" t="str">
        <f>_xlfn.XLOOKUP(B1036,customer_orders!A:A,customer_orders!D:D)</f>
        <v>Shopify</v>
      </c>
      <c r="N1036" t="str">
        <f>_xlfn.XLOOKUP(C1036,inventory!B:B,inventory!C:C)</f>
        <v>Draper</v>
      </c>
      <c r="O1036">
        <f>IF(_xlfn.XLOOKUP(C1036,products!A:A,products!E:E)="NULL",0,_xlfn.XLOOKUP(C1036,products!A:A,products!E:E))</f>
        <v>71.569999999999993</v>
      </c>
      <c r="P1036">
        <f t="shared" si="50"/>
        <v>1298.0300000000002</v>
      </c>
      <c r="Q1036" s="2" t="str">
        <f>_xlfn.XLOOKUP(I1036,products!B:B,products!D:D)</f>
        <v>Beauty</v>
      </c>
    </row>
    <row r="1037" spans="1:17">
      <c r="A1037">
        <v>1036</v>
      </c>
      <c r="B1037">
        <v>1422</v>
      </c>
      <c r="C1037">
        <v>134</v>
      </c>
      <c r="D1037">
        <v>4</v>
      </c>
      <c r="E1037">
        <v>26.36</v>
      </c>
      <c r="F1037">
        <v>0</v>
      </c>
      <c r="G1037">
        <f t="shared" si="48"/>
        <v>105.44</v>
      </c>
      <c r="H1037" t="str">
        <f>_xlfn.XLOOKUP(B1037,customer_orders!A:A,customer_orders!F:F)</f>
        <v>2026-03</v>
      </c>
      <c r="I1037" t="str">
        <f>_xlfn.XLOOKUP(C1037,products!A:A,products!B:B)</f>
        <v>SKU-0134</v>
      </c>
      <c r="J1037" t="str">
        <f>_xlfn.XLOOKUP(B1037,customer_orders!A:A,customer_orders!G:G)</f>
        <v>2026-w12</v>
      </c>
      <c r="K1037">
        <f>IFERROR(_xlfn.XLOOKUP(B1037,shipments!B:B,shipments!H:H),0)</f>
        <v>8.16</v>
      </c>
      <c r="L1037">
        <f t="shared" si="49"/>
        <v>0.08</v>
      </c>
      <c r="M1037" t="str">
        <f>_xlfn.XLOOKUP(B1037,customer_orders!A:A,customer_orders!D:D)</f>
        <v>Shopify</v>
      </c>
      <c r="N1037" t="str">
        <f>_xlfn.XLOOKUP(C1037,inventory!B:B,inventory!C:C)</f>
        <v>Draper</v>
      </c>
      <c r="O1037">
        <f>IF(_xlfn.XLOOKUP(C1037,products!A:A,products!E:E)="NULL",0,_xlfn.XLOOKUP(C1037,products!A:A,products!E:E))</f>
        <v>19.079999999999998</v>
      </c>
      <c r="P1037">
        <f t="shared" si="50"/>
        <v>86.36</v>
      </c>
      <c r="Q1037" s="2" t="str">
        <f>_xlfn.XLOOKUP(I1037,products!B:B,products!D:D)</f>
        <v>Pet</v>
      </c>
    </row>
    <row r="1038" spans="1:17">
      <c r="A1038">
        <v>1037</v>
      </c>
      <c r="B1038">
        <v>1423</v>
      </c>
      <c r="C1038">
        <v>99</v>
      </c>
      <c r="D1038">
        <v>5</v>
      </c>
      <c r="E1038">
        <v>50.97</v>
      </c>
      <c r="F1038">
        <v>0</v>
      </c>
      <c r="G1038">
        <f t="shared" si="48"/>
        <v>254.85</v>
      </c>
      <c r="H1038" t="str">
        <f>_xlfn.XLOOKUP(B1038,customer_orders!A:A,customer_orders!F:F)</f>
        <v>2026-01</v>
      </c>
      <c r="I1038" t="str">
        <f>_xlfn.XLOOKUP(C1038,products!A:A,products!B:B)</f>
        <v>SKU-0099</v>
      </c>
      <c r="J1038" t="str">
        <f>_xlfn.XLOOKUP(B1038,customer_orders!A:A,customer_orders!G:G)</f>
        <v>2026-w02</v>
      </c>
      <c r="K1038">
        <f>IFERROR(_xlfn.XLOOKUP(B1038,shipments!B:B,shipments!H:H),0)</f>
        <v>27.86</v>
      </c>
      <c r="L1038">
        <f t="shared" si="49"/>
        <v>0.11</v>
      </c>
      <c r="M1038" t="str">
        <f>_xlfn.XLOOKUP(B1038,customer_orders!A:A,customer_orders!D:D)</f>
        <v>Amazon</v>
      </c>
      <c r="N1038" t="str">
        <f>_xlfn.XLOOKUP(C1038,inventory!B:B,inventory!C:C)</f>
        <v>Lehi</v>
      </c>
      <c r="O1038">
        <f>IF(_xlfn.XLOOKUP(C1038,products!A:A,products!E:E)="NULL",0,_xlfn.XLOOKUP(C1038,products!A:A,products!E:E))</f>
        <v>31.67</v>
      </c>
      <c r="P1038">
        <f t="shared" si="50"/>
        <v>223.18</v>
      </c>
      <c r="Q1038" s="2" t="str">
        <f>_xlfn.XLOOKUP(I1038,products!B:B,products!D:D)</f>
        <v>Electronics</v>
      </c>
    </row>
    <row r="1039" spans="1:17">
      <c r="A1039">
        <v>1038</v>
      </c>
      <c r="B1039">
        <v>1423</v>
      </c>
      <c r="C1039">
        <v>16</v>
      </c>
      <c r="D1039">
        <v>5</v>
      </c>
      <c r="E1039">
        <v>168.61</v>
      </c>
      <c r="F1039">
        <v>12.96</v>
      </c>
      <c r="G1039">
        <f t="shared" si="48"/>
        <v>830.09</v>
      </c>
      <c r="H1039" t="str">
        <f>_xlfn.XLOOKUP(B1039,customer_orders!A:A,customer_orders!F:F)</f>
        <v>2026-01</v>
      </c>
      <c r="I1039" t="str">
        <f>_xlfn.XLOOKUP(C1039,products!A:A,products!B:B)</f>
        <v>SKU-0016</v>
      </c>
      <c r="J1039" t="str">
        <f>_xlfn.XLOOKUP(B1039,customer_orders!A:A,customer_orders!G:G)</f>
        <v>2026-w02</v>
      </c>
      <c r="K1039">
        <f>IFERROR(_xlfn.XLOOKUP(B1039,shipments!B:B,shipments!H:H),0)</f>
        <v>27.86</v>
      </c>
      <c r="L1039">
        <f t="shared" si="49"/>
        <v>0.03</v>
      </c>
      <c r="M1039" t="str">
        <f>_xlfn.XLOOKUP(B1039,customer_orders!A:A,customer_orders!D:D)</f>
        <v>Amazon</v>
      </c>
      <c r="N1039" t="str">
        <f>_xlfn.XLOOKUP(C1039,inventory!B:B,inventory!C:C)</f>
        <v>Draper</v>
      </c>
      <c r="O1039">
        <f>IF(_xlfn.XLOOKUP(C1039,products!A:A,products!E:E)="NULL",0,_xlfn.XLOOKUP(C1039,products!A:A,products!E:E))</f>
        <v>135.37</v>
      </c>
      <c r="P1039">
        <f t="shared" si="50"/>
        <v>694.72</v>
      </c>
      <c r="Q1039" s="2" t="str">
        <f>_xlfn.XLOOKUP(I1039,products!B:B,products!D:D)</f>
        <v>Toys</v>
      </c>
    </row>
    <row r="1040" spans="1:17">
      <c r="A1040">
        <v>1039</v>
      </c>
      <c r="B1040">
        <v>1423</v>
      </c>
      <c r="C1040">
        <v>127</v>
      </c>
      <c r="D1040">
        <v>1</v>
      </c>
      <c r="E1040">
        <v>38.14</v>
      </c>
      <c r="F1040">
        <v>13.08</v>
      </c>
      <c r="G1040">
        <f t="shared" si="48"/>
        <v>25.060000000000002</v>
      </c>
      <c r="H1040" t="str">
        <f>_xlfn.XLOOKUP(B1040,customer_orders!A:A,customer_orders!F:F)</f>
        <v>2026-01</v>
      </c>
      <c r="I1040" t="str">
        <f>_xlfn.XLOOKUP(C1040,products!A:A,products!B:B)</f>
        <v>SKU-0127</v>
      </c>
      <c r="J1040" t="str">
        <f>_xlfn.XLOOKUP(B1040,customer_orders!A:A,customer_orders!G:G)</f>
        <v>2026-w02</v>
      </c>
      <c r="K1040">
        <f>IFERROR(_xlfn.XLOOKUP(B1040,shipments!B:B,shipments!H:H),0)</f>
        <v>27.86</v>
      </c>
      <c r="L1040">
        <f t="shared" si="49"/>
        <v>1.1100000000000001</v>
      </c>
      <c r="M1040" t="str">
        <f>_xlfn.XLOOKUP(B1040,customer_orders!A:A,customer_orders!D:D)</f>
        <v>Amazon</v>
      </c>
      <c r="N1040" t="str">
        <f>_xlfn.XLOOKUP(C1040,inventory!B:B,inventory!C:C)</f>
        <v>South Jordan</v>
      </c>
      <c r="O1040">
        <f>IF(_xlfn.XLOOKUP(C1040,products!A:A,products!E:E)="NULL",0,_xlfn.XLOOKUP(C1040,products!A:A,products!E:E))</f>
        <v>51.31</v>
      </c>
      <c r="P1040">
        <f t="shared" si="50"/>
        <v>-26.25</v>
      </c>
      <c r="Q1040" s="2" t="str">
        <f>_xlfn.XLOOKUP(I1040,products!B:B,products!D:D)</f>
        <v>Beauty</v>
      </c>
    </row>
    <row r="1041" spans="1:17">
      <c r="A1041">
        <v>1040</v>
      </c>
      <c r="B1041">
        <v>1424</v>
      </c>
      <c r="C1041">
        <v>68</v>
      </c>
      <c r="D1041">
        <v>4</v>
      </c>
      <c r="E1041">
        <v>138.85</v>
      </c>
      <c r="F1041">
        <v>0</v>
      </c>
      <c r="G1041">
        <f t="shared" si="48"/>
        <v>555.4</v>
      </c>
      <c r="H1041" t="str">
        <f>_xlfn.XLOOKUP(B1041,customer_orders!A:A,customer_orders!F:F)</f>
        <v>2026-01</v>
      </c>
      <c r="I1041" t="str">
        <f>_xlfn.XLOOKUP(C1041,products!A:A,products!B:B)</f>
        <v>SKU-0068</v>
      </c>
      <c r="J1041" t="str">
        <f>_xlfn.XLOOKUP(B1041,customer_orders!A:A,customer_orders!G:G)</f>
        <v>2026-w02</v>
      </c>
      <c r="K1041">
        <f>IFERROR(_xlfn.XLOOKUP(B1041,shipments!B:B,shipments!H:H),0)</f>
        <v>70.42</v>
      </c>
      <c r="L1041">
        <f t="shared" si="49"/>
        <v>0.13</v>
      </c>
      <c r="M1041" t="str">
        <f>_xlfn.XLOOKUP(B1041,customer_orders!A:A,customer_orders!D:D)</f>
        <v>Ebay</v>
      </c>
      <c r="N1041" t="str">
        <f>_xlfn.XLOOKUP(C1041,inventory!B:B,inventory!C:C)</f>
        <v>West Valley</v>
      </c>
      <c r="O1041">
        <f>IF(_xlfn.XLOOKUP(C1041,products!A:A,products!E:E)="NULL",0,_xlfn.XLOOKUP(C1041,products!A:A,products!E:E))</f>
        <v>23.97</v>
      </c>
      <c r="P1041">
        <f t="shared" si="50"/>
        <v>531.42999999999995</v>
      </c>
      <c r="Q1041" s="2" t="str">
        <f>_xlfn.XLOOKUP(I1041,products!B:B,products!D:D)</f>
        <v>Sports</v>
      </c>
    </row>
    <row r="1042" spans="1:17">
      <c r="A1042">
        <v>1041</v>
      </c>
      <c r="B1042">
        <v>1424</v>
      </c>
      <c r="C1042">
        <v>112</v>
      </c>
      <c r="D1042">
        <v>7</v>
      </c>
      <c r="E1042">
        <v>154.88</v>
      </c>
      <c r="F1042">
        <v>0</v>
      </c>
      <c r="G1042">
        <f t="shared" si="48"/>
        <v>1084.1599999999999</v>
      </c>
      <c r="H1042" t="str">
        <f>_xlfn.XLOOKUP(B1042,customer_orders!A:A,customer_orders!F:F)</f>
        <v>2026-01</v>
      </c>
      <c r="I1042" t="str">
        <f>_xlfn.XLOOKUP(C1042,products!A:A,products!B:B)</f>
        <v>SKU-0112</v>
      </c>
      <c r="J1042" t="str">
        <f>_xlfn.XLOOKUP(B1042,customer_orders!A:A,customer_orders!G:G)</f>
        <v>2026-w02</v>
      </c>
      <c r="K1042">
        <f>IFERROR(_xlfn.XLOOKUP(B1042,shipments!B:B,shipments!H:H),0)</f>
        <v>70.42</v>
      </c>
      <c r="L1042">
        <f t="shared" si="49"/>
        <v>0.06</v>
      </c>
      <c r="M1042" t="str">
        <f>_xlfn.XLOOKUP(B1042,customer_orders!A:A,customer_orders!D:D)</f>
        <v>Ebay</v>
      </c>
      <c r="N1042" t="str">
        <f>_xlfn.XLOOKUP(C1042,inventory!B:B,inventory!C:C)</f>
        <v>South Jordan</v>
      </c>
      <c r="O1042">
        <f>IF(_xlfn.XLOOKUP(C1042,products!A:A,products!E:E)="NULL",0,_xlfn.XLOOKUP(C1042,products!A:A,products!E:E))</f>
        <v>118.03</v>
      </c>
      <c r="P1042">
        <f t="shared" si="50"/>
        <v>966.12999999999988</v>
      </c>
      <c r="Q1042" s="2" t="str">
        <f>_xlfn.XLOOKUP(I1042,products!B:B,products!D:D)</f>
        <v>Beauty</v>
      </c>
    </row>
    <row r="1043" spans="1:17">
      <c r="A1043">
        <v>1042</v>
      </c>
      <c r="B1043">
        <v>1424</v>
      </c>
      <c r="C1043">
        <v>28</v>
      </c>
      <c r="D1043">
        <v>7</v>
      </c>
      <c r="E1043">
        <v>206.43</v>
      </c>
      <c r="F1043">
        <v>0</v>
      </c>
      <c r="G1043">
        <f t="shared" si="48"/>
        <v>1445.01</v>
      </c>
      <c r="H1043" t="str">
        <f>_xlfn.XLOOKUP(B1043,customer_orders!A:A,customer_orders!F:F)</f>
        <v>2026-01</v>
      </c>
      <c r="I1043" t="str">
        <f>_xlfn.XLOOKUP(C1043,products!A:A,products!B:B)</f>
        <v>SKU-0028</v>
      </c>
      <c r="J1043" t="str">
        <f>_xlfn.XLOOKUP(B1043,customer_orders!A:A,customer_orders!G:G)</f>
        <v>2026-w02</v>
      </c>
      <c r="K1043">
        <f>IFERROR(_xlfn.XLOOKUP(B1043,shipments!B:B,shipments!H:H),0)</f>
        <v>70.42</v>
      </c>
      <c r="L1043">
        <f t="shared" si="49"/>
        <v>0.05</v>
      </c>
      <c r="M1043" t="str">
        <f>_xlfn.XLOOKUP(B1043,customer_orders!A:A,customer_orders!D:D)</f>
        <v>Ebay</v>
      </c>
      <c r="N1043" t="str">
        <f>_xlfn.XLOOKUP(C1043,inventory!B:B,inventory!C:C)</f>
        <v>West Valley</v>
      </c>
      <c r="O1043">
        <f>IF(_xlfn.XLOOKUP(C1043,products!A:A,products!E:E)="NULL",0,_xlfn.XLOOKUP(C1043,products!A:A,products!E:E))</f>
        <v>74.819999999999993</v>
      </c>
      <c r="P1043">
        <f t="shared" si="50"/>
        <v>1370.19</v>
      </c>
      <c r="Q1043" s="2" t="str">
        <f>_xlfn.XLOOKUP(I1043,products!B:B,products!D:D)</f>
        <v>Beauty</v>
      </c>
    </row>
    <row r="1044" spans="1:17">
      <c r="A1044">
        <v>1043</v>
      </c>
      <c r="B1044">
        <v>1425</v>
      </c>
      <c r="C1044">
        <v>4</v>
      </c>
      <c r="D1044">
        <v>5</v>
      </c>
      <c r="E1044">
        <v>94.28</v>
      </c>
      <c r="F1044">
        <v>0</v>
      </c>
      <c r="G1044">
        <f t="shared" si="48"/>
        <v>471.4</v>
      </c>
      <c r="H1044" t="str">
        <f>_xlfn.XLOOKUP(B1044,customer_orders!A:A,customer_orders!F:F)</f>
        <v>2026-04</v>
      </c>
      <c r="I1044" t="str">
        <f>_xlfn.XLOOKUP(C1044,products!A:A,products!B:B)</f>
        <v>SKU-0004</v>
      </c>
      <c r="J1044" t="str">
        <f>_xlfn.XLOOKUP(B1044,customer_orders!A:A,customer_orders!G:G)</f>
        <v>2026-w15</v>
      </c>
      <c r="K1044">
        <f>IFERROR(_xlfn.XLOOKUP(B1044,shipments!B:B,shipments!H:H),0)</f>
        <v>8.48</v>
      </c>
      <c r="L1044">
        <f t="shared" si="49"/>
        <v>0.02</v>
      </c>
      <c r="M1044" t="str">
        <f>_xlfn.XLOOKUP(B1044,customer_orders!A:A,customer_orders!D:D)</f>
        <v>Shopify</v>
      </c>
      <c r="N1044" t="str">
        <f>_xlfn.XLOOKUP(C1044,inventory!B:B,inventory!C:C)</f>
        <v>Draper</v>
      </c>
      <c r="O1044">
        <f>IF(_xlfn.XLOOKUP(C1044,products!A:A,products!E:E)="NULL",0,_xlfn.XLOOKUP(C1044,products!A:A,products!E:E))</f>
        <v>83.61</v>
      </c>
      <c r="P1044">
        <f t="shared" si="50"/>
        <v>387.78999999999996</v>
      </c>
      <c r="Q1044" s="2" t="str">
        <f>_xlfn.XLOOKUP(I1044,products!B:B,products!D:D)</f>
        <v>Office</v>
      </c>
    </row>
    <row r="1045" spans="1:17">
      <c r="A1045">
        <v>1044</v>
      </c>
      <c r="B1045">
        <v>1425</v>
      </c>
      <c r="C1045">
        <v>22</v>
      </c>
      <c r="D1045">
        <v>4</v>
      </c>
      <c r="E1045">
        <v>159.69</v>
      </c>
      <c r="F1045">
        <v>0</v>
      </c>
      <c r="G1045">
        <f t="shared" si="48"/>
        <v>638.76</v>
      </c>
      <c r="H1045" t="str">
        <f>_xlfn.XLOOKUP(B1045,customer_orders!A:A,customer_orders!F:F)</f>
        <v>2026-04</v>
      </c>
      <c r="I1045" t="str">
        <f>_xlfn.XLOOKUP(C1045,products!A:A,products!B:B)</f>
        <v>SKU-0022</v>
      </c>
      <c r="J1045" t="str">
        <f>_xlfn.XLOOKUP(B1045,customer_orders!A:A,customer_orders!G:G)</f>
        <v>2026-w15</v>
      </c>
      <c r="K1045">
        <f>IFERROR(_xlfn.XLOOKUP(B1045,shipments!B:B,shipments!H:H),0)</f>
        <v>8.48</v>
      </c>
      <c r="L1045">
        <f t="shared" si="49"/>
        <v>0.01</v>
      </c>
      <c r="M1045" t="str">
        <f>_xlfn.XLOOKUP(B1045,customer_orders!A:A,customer_orders!D:D)</f>
        <v>Shopify</v>
      </c>
      <c r="N1045" t="str">
        <f>_xlfn.XLOOKUP(C1045,inventory!B:B,inventory!C:C)</f>
        <v>Lehi</v>
      </c>
      <c r="O1045">
        <f>IF(_xlfn.XLOOKUP(C1045,products!A:A,products!E:E)="NULL",0,_xlfn.XLOOKUP(C1045,products!A:A,products!E:E))</f>
        <v>138.34</v>
      </c>
      <c r="P1045">
        <f t="shared" si="50"/>
        <v>500.41999999999996</v>
      </c>
      <c r="Q1045" s="2" t="str">
        <f>_xlfn.XLOOKUP(I1045,products!B:B,products!D:D)</f>
        <v>Sports</v>
      </c>
    </row>
    <row r="1046" spans="1:17">
      <c r="A1046">
        <v>1045</v>
      </c>
      <c r="B1046">
        <v>1426</v>
      </c>
      <c r="C1046">
        <v>68</v>
      </c>
      <c r="D1046">
        <v>3</v>
      </c>
      <c r="E1046">
        <v>138.85</v>
      </c>
      <c r="F1046">
        <v>0</v>
      </c>
      <c r="G1046">
        <f t="shared" si="48"/>
        <v>416.54999999999995</v>
      </c>
      <c r="H1046" t="str">
        <f>_xlfn.XLOOKUP(B1046,customer_orders!A:A,customer_orders!F:F)</f>
        <v>2026-01</v>
      </c>
      <c r="I1046" t="str">
        <f>_xlfn.XLOOKUP(C1046,products!A:A,products!B:B)</f>
        <v>SKU-0068</v>
      </c>
      <c r="J1046" t="str">
        <f>_xlfn.XLOOKUP(B1046,customer_orders!A:A,customer_orders!G:G)</f>
        <v>2026-w02</v>
      </c>
      <c r="K1046">
        <f>IFERROR(_xlfn.XLOOKUP(B1046,shipments!B:B,shipments!H:H),0)</f>
        <v>40.43</v>
      </c>
      <c r="L1046">
        <f t="shared" si="49"/>
        <v>0.1</v>
      </c>
      <c r="M1046" t="str">
        <f>_xlfn.XLOOKUP(B1046,customer_orders!A:A,customer_orders!D:D)</f>
        <v>Ebay</v>
      </c>
      <c r="N1046" t="str">
        <f>_xlfn.XLOOKUP(C1046,inventory!B:B,inventory!C:C)</f>
        <v>West Valley</v>
      </c>
      <c r="O1046">
        <f>IF(_xlfn.XLOOKUP(C1046,products!A:A,products!E:E)="NULL",0,_xlfn.XLOOKUP(C1046,products!A:A,products!E:E))</f>
        <v>23.97</v>
      </c>
      <c r="P1046">
        <f t="shared" si="50"/>
        <v>392.57999999999993</v>
      </c>
      <c r="Q1046" s="2" t="str">
        <f>_xlfn.XLOOKUP(I1046,products!B:B,products!D:D)</f>
        <v>Sports</v>
      </c>
    </row>
    <row r="1047" spans="1:17">
      <c r="A1047">
        <v>1046</v>
      </c>
      <c r="B1047">
        <v>1426</v>
      </c>
      <c r="C1047">
        <v>113</v>
      </c>
      <c r="D1047">
        <v>1</v>
      </c>
      <c r="E1047">
        <v>84.34</v>
      </c>
      <c r="F1047">
        <v>0</v>
      </c>
      <c r="G1047">
        <f t="shared" si="48"/>
        <v>84.34</v>
      </c>
      <c r="H1047" t="str">
        <f>_xlfn.XLOOKUP(B1047,customer_orders!A:A,customer_orders!F:F)</f>
        <v>2026-01</v>
      </c>
      <c r="I1047" t="str">
        <f>_xlfn.XLOOKUP(C1047,products!A:A,products!B:B)</f>
        <v>SKU-0113</v>
      </c>
      <c r="J1047" t="str">
        <f>_xlfn.XLOOKUP(B1047,customer_orders!A:A,customer_orders!G:G)</f>
        <v>2026-w02</v>
      </c>
      <c r="K1047">
        <f>IFERROR(_xlfn.XLOOKUP(B1047,shipments!B:B,shipments!H:H),0)</f>
        <v>40.43</v>
      </c>
      <c r="L1047">
        <f t="shared" si="49"/>
        <v>0.48</v>
      </c>
      <c r="M1047" t="str">
        <f>_xlfn.XLOOKUP(B1047,customer_orders!A:A,customer_orders!D:D)</f>
        <v>Ebay</v>
      </c>
      <c r="N1047" t="str">
        <f>_xlfn.XLOOKUP(C1047,inventory!B:B,inventory!C:C)</f>
        <v>West Valley</v>
      </c>
      <c r="O1047">
        <f>IF(_xlfn.XLOOKUP(C1047,products!A:A,products!E:E)="NULL",0,_xlfn.XLOOKUP(C1047,products!A:A,products!E:E))</f>
        <v>75.77</v>
      </c>
      <c r="P1047">
        <f t="shared" si="50"/>
        <v>8.5700000000000074</v>
      </c>
      <c r="Q1047" s="2" t="str">
        <f>_xlfn.XLOOKUP(I1047,products!B:B,products!D:D)</f>
        <v>Sports</v>
      </c>
    </row>
    <row r="1048" spans="1:17">
      <c r="A1048">
        <v>1047</v>
      </c>
      <c r="B1048">
        <v>1426</v>
      </c>
      <c r="C1048">
        <v>123</v>
      </c>
      <c r="D1048">
        <v>4</v>
      </c>
      <c r="E1048">
        <v>210.64</v>
      </c>
      <c r="F1048">
        <v>0</v>
      </c>
      <c r="G1048">
        <f t="shared" si="48"/>
        <v>842.56</v>
      </c>
      <c r="H1048" t="str">
        <f>_xlfn.XLOOKUP(B1048,customer_orders!A:A,customer_orders!F:F)</f>
        <v>2026-01</v>
      </c>
      <c r="I1048" t="str">
        <f>_xlfn.XLOOKUP(C1048,products!A:A,products!B:B)</f>
        <v>SKU-0123</v>
      </c>
      <c r="J1048" t="str">
        <f>_xlfn.XLOOKUP(B1048,customer_orders!A:A,customer_orders!G:G)</f>
        <v>2026-w02</v>
      </c>
      <c r="K1048">
        <f>IFERROR(_xlfn.XLOOKUP(B1048,shipments!B:B,shipments!H:H),0)</f>
        <v>40.43</v>
      </c>
      <c r="L1048">
        <f t="shared" si="49"/>
        <v>0.05</v>
      </c>
      <c r="M1048" t="str">
        <f>_xlfn.XLOOKUP(B1048,customer_orders!A:A,customer_orders!D:D)</f>
        <v>Ebay</v>
      </c>
      <c r="N1048" t="str">
        <f>_xlfn.XLOOKUP(C1048,inventory!B:B,inventory!C:C)</f>
        <v>Lehi</v>
      </c>
      <c r="O1048">
        <f>IF(_xlfn.XLOOKUP(C1048,products!A:A,products!E:E)="NULL",0,_xlfn.XLOOKUP(C1048,products!A:A,products!E:E))</f>
        <v>105.98</v>
      </c>
      <c r="P1048">
        <f t="shared" si="50"/>
        <v>736.57999999999993</v>
      </c>
      <c r="Q1048" s="2" t="str">
        <f>_xlfn.XLOOKUP(I1048,products!B:B,products!D:D)</f>
        <v>Pet</v>
      </c>
    </row>
    <row r="1049" spans="1:17">
      <c r="A1049">
        <v>1048</v>
      </c>
      <c r="B1049">
        <v>1427</v>
      </c>
      <c r="C1049">
        <v>38</v>
      </c>
      <c r="D1049">
        <v>1</v>
      </c>
      <c r="E1049">
        <v>256.88</v>
      </c>
      <c r="F1049">
        <v>0</v>
      </c>
      <c r="G1049">
        <f t="shared" si="48"/>
        <v>256.88</v>
      </c>
      <c r="H1049" t="str">
        <f>_xlfn.XLOOKUP(B1049,customer_orders!A:A,customer_orders!F:F)</f>
        <v>2026-03</v>
      </c>
      <c r="I1049" t="str">
        <f>_xlfn.XLOOKUP(C1049,products!A:A,products!B:B)</f>
        <v>SKU-0038</v>
      </c>
      <c r="J1049" t="str">
        <f>_xlfn.XLOOKUP(B1049,customer_orders!A:A,customer_orders!G:G)</f>
        <v>2026-w11</v>
      </c>
      <c r="K1049">
        <f>IFERROR(_xlfn.XLOOKUP(B1049,shipments!B:B,shipments!H:H),0)</f>
        <v>11.05</v>
      </c>
      <c r="L1049">
        <f t="shared" si="49"/>
        <v>0.04</v>
      </c>
      <c r="M1049" t="str">
        <f>_xlfn.XLOOKUP(B1049,customer_orders!A:A,customer_orders!D:D)</f>
        <v>Shopify</v>
      </c>
      <c r="N1049" t="str">
        <f>_xlfn.XLOOKUP(C1049,inventory!B:B,inventory!C:C)</f>
        <v>Unknown</v>
      </c>
      <c r="O1049">
        <f>IF(_xlfn.XLOOKUP(C1049,products!A:A,products!E:E)="NULL",0,_xlfn.XLOOKUP(C1049,products!A:A,products!E:E))</f>
        <v>167.11</v>
      </c>
      <c r="P1049">
        <f t="shared" si="50"/>
        <v>89.769999999999982</v>
      </c>
      <c r="Q1049" s="2" t="str">
        <f>_xlfn.XLOOKUP(I1049,products!B:B,products!D:D)</f>
        <v>Electronics</v>
      </c>
    </row>
    <row r="1050" spans="1:17">
      <c r="A1050">
        <v>1049</v>
      </c>
      <c r="B1050">
        <v>1427</v>
      </c>
      <c r="C1050">
        <v>48</v>
      </c>
      <c r="D1050">
        <v>8</v>
      </c>
      <c r="E1050">
        <v>299.56</v>
      </c>
      <c r="F1050">
        <v>0</v>
      </c>
      <c r="G1050">
        <f t="shared" si="48"/>
        <v>2396.48</v>
      </c>
      <c r="H1050" t="str">
        <f>_xlfn.XLOOKUP(B1050,customer_orders!A:A,customer_orders!F:F)</f>
        <v>2026-03</v>
      </c>
      <c r="I1050" t="str">
        <f>_xlfn.XLOOKUP(C1050,products!A:A,products!B:B)</f>
        <v>SKU-0048</v>
      </c>
      <c r="J1050" t="str">
        <f>_xlfn.XLOOKUP(B1050,customer_orders!A:A,customer_orders!G:G)</f>
        <v>2026-w11</v>
      </c>
      <c r="K1050">
        <f>IFERROR(_xlfn.XLOOKUP(B1050,shipments!B:B,shipments!H:H),0)</f>
        <v>11.05</v>
      </c>
      <c r="L1050">
        <f t="shared" si="49"/>
        <v>0</v>
      </c>
      <c r="M1050" t="str">
        <f>_xlfn.XLOOKUP(B1050,customer_orders!A:A,customer_orders!D:D)</f>
        <v>Shopify</v>
      </c>
      <c r="N1050" t="str">
        <f>_xlfn.XLOOKUP(C1050,inventory!B:B,inventory!C:C)</f>
        <v>Salt Lake City</v>
      </c>
      <c r="O1050">
        <f>IF(_xlfn.XLOOKUP(C1050,products!A:A,products!E:E)="NULL",0,_xlfn.XLOOKUP(C1050,products!A:A,products!E:E))</f>
        <v>85.2</v>
      </c>
      <c r="P1050">
        <f t="shared" si="50"/>
        <v>2311.2800000000002</v>
      </c>
      <c r="Q1050" s="2" t="str">
        <f>_xlfn.XLOOKUP(I1050,products!B:B,products!D:D)</f>
        <v>Home</v>
      </c>
    </row>
    <row r="1051" spans="1:17">
      <c r="A1051">
        <v>1050</v>
      </c>
      <c r="B1051">
        <v>1428</v>
      </c>
      <c r="C1051">
        <v>90</v>
      </c>
      <c r="D1051">
        <v>2</v>
      </c>
      <c r="E1051">
        <v>115.25</v>
      </c>
      <c r="F1051">
        <v>2.08</v>
      </c>
      <c r="G1051">
        <f t="shared" si="48"/>
        <v>228.42</v>
      </c>
      <c r="H1051" t="str">
        <f>_xlfn.XLOOKUP(B1051,customer_orders!A:A,customer_orders!F:F)</f>
        <v>2026-04</v>
      </c>
      <c r="I1051" t="str">
        <f>_xlfn.XLOOKUP(C1051,products!A:A,products!B:B)</f>
        <v>SKU-0090</v>
      </c>
      <c r="J1051" t="str">
        <f>_xlfn.XLOOKUP(B1051,customer_orders!A:A,customer_orders!G:G)</f>
        <v>2026-w14</v>
      </c>
      <c r="K1051">
        <f>IFERROR(_xlfn.XLOOKUP(B1051,shipments!B:B,shipments!H:H),0)</f>
        <v>12.28</v>
      </c>
      <c r="L1051">
        <f t="shared" si="49"/>
        <v>0.05</v>
      </c>
      <c r="M1051" t="str">
        <f>_xlfn.XLOOKUP(B1051,customer_orders!A:A,customer_orders!D:D)</f>
        <v>Shopify</v>
      </c>
      <c r="N1051" t="str">
        <f>_xlfn.XLOOKUP(C1051,inventory!B:B,inventory!C:C)</f>
        <v>Salt Lake City</v>
      </c>
      <c r="O1051">
        <f>IF(_xlfn.XLOOKUP(C1051,products!A:A,products!E:E)="NULL",0,_xlfn.XLOOKUP(C1051,products!A:A,products!E:E))</f>
        <v>6.03</v>
      </c>
      <c r="P1051">
        <f t="shared" si="50"/>
        <v>222.39</v>
      </c>
      <c r="Q1051" s="2" t="str">
        <f>_xlfn.XLOOKUP(I1051,products!B:B,products!D:D)</f>
        <v>Office</v>
      </c>
    </row>
    <row r="1052" spans="1:17">
      <c r="A1052">
        <v>1051</v>
      </c>
      <c r="B1052">
        <v>1428</v>
      </c>
      <c r="C1052">
        <v>29</v>
      </c>
      <c r="D1052">
        <v>2</v>
      </c>
      <c r="E1052">
        <v>33.25</v>
      </c>
      <c r="F1052">
        <v>0</v>
      </c>
      <c r="G1052">
        <f t="shared" si="48"/>
        <v>66.5</v>
      </c>
      <c r="H1052" t="str">
        <f>_xlfn.XLOOKUP(B1052,customer_orders!A:A,customer_orders!F:F)</f>
        <v>2026-04</v>
      </c>
      <c r="I1052" t="str">
        <f>_xlfn.XLOOKUP(C1052,products!A:A,products!B:B)</f>
        <v>SKU-0029</v>
      </c>
      <c r="J1052" t="str">
        <f>_xlfn.XLOOKUP(B1052,customer_orders!A:A,customer_orders!G:G)</f>
        <v>2026-w14</v>
      </c>
      <c r="K1052">
        <f>IFERROR(_xlfn.XLOOKUP(B1052,shipments!B:B,shipments!H:H),0)</f>
        <v>12.28</v>
      </c>
      <c r="L1052">
        <f t="shared" si="49"/>
        <v>0.18</v>
      </c>
      <c r="M1052" t="str">
        <f>_xlfn.XLOOKUP(B1052,customer_orders!A:A,customer_orders!D:D)</f>
        <v>Shopify</v>
      </c>
      <c r="N1052" t="str">
        <f>_xlfn.XLOOKUP(C1052,inventory!B:B,inventory!C:C)</f>
        <v>Salt Lake City</v>
      </c>
      <c r="O1052">
        <f>IF(_xlfn.XLOOKUP(C1052,products!A:A,products!E:E)="NULL",0,_xlfn.XLOOKUP(C1052,products!A:A,products!E:E))</f>
        <v>48.38</v>
      </c>
      <c r="P1052">
        <f t="shared" si="50"/>
        <v>18.119999999999997</v>
      </c>
      <c r="Q1052" s="2" t="str">
        <f>_xlfn.XLOOKUP(I1052,products!B:B,products!D:D)</f>
        <v>Pet</v>
      </c>
    </row>
    <row r="1053" spans="1:17">
      <c r="A1053">
        <v>1052</v>
      </c>
      <c r="B1053">
        <v>1429</v>
      </c>
      <c r="C1053">
        <v>96</v>
      </c>
      <c r="D1053">
        <v>8</v>
      </c>
      <c r="E1053">
        <v>252.1</v>
      </c>
      <c r="F1053">
        <v>0</v>
      </c>
      <c r="G1053">
        <f t="shared" si="48"/>
        <v>2016.8</v>
      </c>
      <c r="H1053" t="str">
        <f>_xlfn.XLOOKUP(B1053,customer_orders!A:A,customer_orders!F:F)</f>
        <v>2026-03</v>
      </c>
      <c r="I1053" t="str">
        <f>_xlfn.XLOOKUP(C1053,products!A:A,products!B:B)</f>
        <v>SKU-0096</v>
      </c>
      <c r="J1053" t="str">
        <f>_xlfn.XLOOKUP(B1053,customer_orders!A:A,customer_orders!G:G)</f>
        <v>2026-w13</v>
      </c>
      <c r="K1053">
        <f>IFERROR(_xlfn.XLOOKUP(B1053,shipments!B:B,shipments!H:H),0)</f>
        <v>48.21</v>
      </c>
      <c r="L1053">
        <f t="shared" si="49"/>
        <v>0.02</v>
      </c>
      <c r="M1053" t="str">
        <f>_xlfn.XLOOKUP(B1053,customer_orders!A:A,customer_orders!D:D)</f>
        <v>Ebay</v>
      </c>
      <c r="N1053" t="str">
        <f>_xlfn.XLOOKUP(C1053,inventory!B:B,inventory!C:C)</f>
        <v>Unknown</v>
      </c>
      <c r="O1053">
        <f>IF(_xlfn.XLOOKUP(C1053,products!A:A,products!E:E)="NULL",0,_xlfn.XLOOKUP(C1053,products!A:A,products!E:E))</f>
        <v>136.6</v>
      </c>
      <c r="P1053">
        <f t="shared" si="50"/>
        <v>1880.2</v>
      </c>
      <c r="Q1053" s="2" t="str">
        <f>_xlfn.XLOOKUP(I1053,products!B:B,products!D:D)</f>
        <v>Office</v>
      </c>
    </row>
    <row r="1054" spans="1:17">
      <c r="A1054">
        <v>1053</v>
      </c>
      <c r="B1054">
        <v>1429</v>
      </c>
      <c r="C1054">
        <v>8</v>
      </c>
      <c r="D1054">
        <v>3</v>
      </c>
      <c r="E1054">
        <v>118.07</v>
      </c>
      <c r="F1054">
        <v>0</v>
      </c>
      <c r="G1054">
        <f t="shared" si="48"/>
        <v>354.21</v>
      </c>
      <c r="H1054" t="str">
        <f>_xlfn.XLOOKUP(B1054,customer_orders!A:A,customer_orders!F:F)</f>
        <v>2026-03</v>
      </c>
      <c r="I1054" t="str">
        <f>_xlfn.XLOOKUP(C1054,products!A:A,products!B:B)</f>
        <v>SKU-0008</v>
      </c>
      <c r="J1054" t="str">
        <f>_xlfn.XLOOKUP(B1054,customer_orders!A:A,customer_orders!G:G)</f>
        <v>2026-w13</v>
      </c>
      <c r="K1054">
        <f>IFERROR(_xlfn.XLOOKUP(B1054,shipments!B:B,shipments!H:H),0)</f>
        <v>48.21</v>
      </c>
      <c r="L1054">
        <f t="shared" si="49"/>
        <v>0.14000000000000001</v>
      </c>
      <c r="M1054" t="str">
        <f>_xlfn.XLOOKUP(B1054,customer_orders!A:A,customer_orders!D:D)</f>
        <v>Ebay</v>
      </c>
      <c r="N1054" t="str">
        <f>_xlfn.XLOOKUP(C1054,inventory!B:B,inventory!C:C)</f>
        <v>Salt Lake City</v>
      </c>
      <c r="O1054">
        <f>IF(_xlfn.XLOOKUP(C1054,products!A:A,products!E:E)="NULL",0,_xlfn.XLOOKUP(C1054,products!A:A,products!E:E))</f>
        <v>159.94999999999999</v>
      </c>
      <c r="P1054">
        <f t="shared" si="50"/>
        <v>194.26</v>
      </c>
      <c r="Q1054" s="2" t="str">
        <f>_xlfn.XLOOKUP(I1054,products!B:B,products!D:D)</f>
        <v>Sports</v>
      </c>
    </row>
    <row r="1055" spans="1:17">
      <c r="A1055">
        <v>1054</v>
      </c>
      <c r="B1055">
        <v>1429</v>
      </c>
      <c r="C1055">
        <v>39</v>
      </c>
      <c r="D1055">
        <v>1</v>
      </c>
      <c r="E1055">
        <v>129.30000000000001</v>
      </c>
      <c r="F1055">
        <v>0</v>
      </c>
      <c r="G1055">
        <f t="shared" si="48"/>
        <v>129.30000000000001</v>
      </c>
      <c r="H1055" t="str">
        <f>_xlfn.XLOOKUP(B1055,customer_orders!A:A,customer_orders!F:F)</f>
        <v>2026-03</v>
      </c>
      <c r="I1055" t="str">
        <f>_xlfn.XLOOKUP(C1055,products!A:A,products!B:B)</f>
        <v>SKU-0039</v>
      </c>
      <c r="J1055" t="str">
        <f>_xlfn.XLOOKUP(B1055,customer_orders!A:A,customer_orders!G:G)</f>
        <v>2026-w13</v>
      </c>
      <c r="K1055">
        <f>IFERROR(_xlfn.XLOOKUP(B1055,shipments!B:B,shipments!H:H),0)</f>
        <v>48.21</v>
      </c>
      <c r="L1055">
        <f t="shared" si="49"/>
        <v>0.37</v>
      </c>
      <c r="M1055" t="str">
        <f>_xlfn.XLOOKUP(B1055,customer_orders!A:A,customer_orders!D:D)</f>
        <v>Ebay</v>
      </c>
      <c r="N1055" t="str">
        <f>_xlfn.XLOOKUP(C1055,inventory!B:B,inventory!C:C)</f>
        <v>West Valley</v>
      </c>
      <c r="O1055">
        <f>IF(_xlfn.XLOOKUP(C1055,products!A:A,products!E:E)="NULL",0,_xlfn.XLOOKUP(C1055,products!A:A,products!E:E))</f>
        <v>42.41</v>
      </c>
      <c r="P1055">
        <f t="shared" si="50"/>
        <v>86.890000000000015</v>
      </c>
      <c r="Q1055" s="2" t="str">
        <f>_xlfn.XLOOKUP(I1055,products!B:B,products!D:D)</f>
        <v>Pet</v>
      </c>
    </row>
    <row r="1056" spans="1:17">
      <c r="A1056">
        <v>1055</v>
      </c>
      <c r="B1056">
        <v>1429</v>
      </c>
      <c r="C1056">
        <v>81</v>
      </c>
      <c r="D1056">
        <v>6</v>
      </c>
      <c r="E1056">
        <v>244.17</v>
      </c>
      <c r="F1056">
        <v>14.16</v>
      </c>
      <c r="G1056">
        <f t="shared" si="48"/>
        <v>1450.86</v>
      </c>
      <c r="H1056" t="str">
        <f>_xlfn.XLOOKUP(B1056,customer_orders!A:A,customer_orders!F:F)</f>
        <v>2026-03</v>
      </c>
      <c r="I1056" t="str">
        <f>_xlfn.XLOOKUP(C1056,products!A:A,products!B:B)</f>
        <v>SKU-0081</v>
      </c>
      <c r="J1056" t="str">
        <f>_xlfn.XLOOKUP(B1056,customer_orders!A:A,customer_orders!G:G)</f>
        <v>2026-w13</v>
      </c>
      <c r="K1056">
        <f>IFERROR(_xlfn.XLOOKUP(B1056,shipments!B:B,shipments!H:H),0)</f>
        <v>48.21</v>
      </c>
      <c r="L1056">
        <f t="shared" si="49"/>
        <v>0.03</v>
      </c>
      <c r="M1056" t="str">
        <f>_xlfn.XLOOKUP(B1056,customer_orders!A:A,customer_orders!D:D)</f>
        <v>Ebay</v>
      </c>
      <c r="N1056" t="str">
        <f>_xlfn.XLOOKUP(C1056,inventory!B:B,inventory!C:C)</f>
        <v>Lehi</v>
      </c>
      <c r="O1056">
        <f>IF(_xlfn.XLOOKUP(C1056,products!A:A,products!E:E)="NULL",0,_xlfn.XLOOKUP(C1056,products!A:A,products!E:E))</f>
        <v>43.3</v>
      </c>
      <c r="P1056">
        <f t="shared" si="50"/>
        <v>1407.56</v>
      </c>
      <c r="Q1056" s="2" t="str">
        <f>_xlfn.XLOOKUP(I1056,products!B:B,products!D:D)</f>
        <v>Home</v>
      </c>
    </row>
    <row r="1057" spans="1:17">
      <c r="A1057">
        <v>1056</v>
      </c>
      <c r="B1057">
        <v>1430</v>
      </c>
      <c r="C1057">
        <v>138</v>
      </c>
      <c r="D1057">
        <v>2</v>
      </c>
      <c r="E1057">
        <v>106.5</v>
      </c>
      <c r="F1057">
        <v>0</v>
      </c>
      <c r="G1057">
        <f t="shared" si="48"/>
        <v>213</v>
      </c>
      <c r="H1057" t="str">
        <f>_xlfn.XLOOKUP(B1057,customer_orders!A:A,customer_orders!F:F)</f>
        <v>2026-05</v>
      </c>
      <c r="I1057" t="str">
        <f>_xlfn.XLOOKUP(C1057,products!A:A,products!B:B)</f>
        <v>SKU-0138</v>
      </c>
      <c r="J1057" t="str">
        <f>_xlfn.XLOOKUP(B1057,customer_orders!A:A,customer_orders!G:G)</f>
        <v>2026-w19</v>
      </c>
      <c r="K1057">
        <f>IFERROR(_xlfn.XLOOKUP(B1057,shipments!B:B,shipments!H:H),0)</f>
        <v>55.62</v>
      </c>
      <c r="L1057">
        <f t="shared" si="49"/>
        <v>0.26</v>
      </c>
      <c r="M1057" t="str">
        <f>_xlfn.XLOOKUP(B1057,customer_orders!A:A,customer_orders!D:D)</f>
        <v>Shopify</v>
      </c>
      <c r="N1057" t="str">
        <f>_xlfn.XLOOKUP(C1057,inventory!B:B,inventory!C:C)</f>
        <v>South Jordan</v>
      </c>
      <c r="O1057">
        <f>IF(_xlfn.XLOOKUP(C1057,products!A:A,products!E:E)="NULL",0,_xlfn.XLOOKUP(C1057,products!A:A,products!E:E))</f>
        <v>76.459999999999994</v>
      </c>
      <c r="P1057">
        <f t="shared" si="50"/>
        <v>136.54000000000002</v>
      </c>
      <c r="Q1057" s="2" t="str">
        <f>_xlfn.XLOOKUP(I1057,products!B:B,products!D:D)</f>
        <v>Pet</v>
      </c>
    </row>
    <row r="1058" spans="1:17">
      <c r="A1058">
        <v>1057</v>
      </c>
      <c r="B1058">
        <v>1430</v>
      </c>
      <c r="C1058">
        <v>121</v>
      </c>
      <c r="D1058">
        <v>8</v>
      </c>
      <c r="E1058">
        <v>151.43</v>
      </c>
      <c r="F1058">
        <v>0</v>
      </c>
      <c r="G1058">
        <f t="shared" si="48"/>
        <v>1211.44</v>
      </c>
      <c r="H1058" t="str">
        <f>_xlfn.XLOOKUP(B1058,customer_orders!A:A,customer_orders!F:F)</f>
        <v>2026-05</v>
      </c>
      <c r="I1058" t="str">
        <f>_xlfn.XLOOKUP(C1058,products!A:A,products!B:B)</f>
        <v>SKU-0121</v>
      </c>
      <c r="J1058" t="str">
        <f>_xlfn.XLOOKUP(B1058,customer_orders!A:A,customer_orders!G:G)</f>
        <v>2026-w19</v>
      </c>
      <c r="K1058">
        <f>IFERROR(_xlfn.XLOOKUP(B1058,shipments!B:B,shipments!H:H),0)</f>
        <v>55.62</v>
      </c>
      <c r="L1058">
        <f t="shared" si="49"/>
        <v>0.05</v>
      </c>
      <c r="M1058" t="str">
        <f>_xlfn.XLOOKUP(B1058,customer_orders!A:A,customer_orders!D:D)</f>
        <v>Shopify</v>
      </c>
      <c r="N1058" t="str">
        <f>_xlfn.XLOOKUP(C1058,inventory!B:B,inventory!C:C)</f>
        <v>South Jordan</v>
      </c>
      <c r="O1058">
        <f>IF(_xlfn.XLOOKUP(C1058,products!A:A,products!E:E)="NULL",0,_xlfn.XLOOKUP(C1058,products!A:A,products!E:E))</f>
        <v>54.76</v>
      </c>
      <c r="P1058">
        <f t="shared" si="50"/>
        <v>1156.68</v>
      </c>
      <c r="Q1058" s="2" t="str">
        <f>_xlfn.XLOOKUP(I1058,products!B:B,products!D:D)</f>
        <v>Electronics</v>
      </c>
    </row>
    <row r="1059" spans="1:17">
      <c r="A1059">
        <v>1058</v>
      </c>
      <c r="B1059">
        <v>1430</v>
      </c>
      <c r="C1059">
        <v>148</v>
      </c>
      <c r="D1059">
        <v>5</v>
      </c>
      <c r="E1059">
        <v>124.32</v>
      </c>
      <c r="F1059">
        <v>0</v>
      </c>
      <c r="G1059">
        <f t="shared" si="48"/>
        <v>621.59999999999991</v>
      </c>
      <c r="H1059" t="str">
        <f>_xlfn.XLOOKUP(B1059,customer_orders!A:A,customer_orders!F:F)</f>
        <v>2026-05</v>
      </c>
      <c r="I1059" t="str">
        <f>_xlfn.XLOOKUP(C1059,products!A:A,products!B:B)</f>
        <v>SKU0148</v>
      </c>
      <c r="J1059" t="str">
        <f>_xlfn.XLOOKUP(B1059,customer_orders!A:A,customer_orders!G:G)</f>
        <v>2026-w19</v>
      </c>
      <c r="K1059">
        <f>IFERROR(_xlfn.XLOOKUP(B1059,shipments!B:B,shipments!H:H),0)</f>
        <v>55.62</v>
      </c>
      <c r="L1059">
        <f t="shared" si="49"/>
        <v>0.09</v>
      </c>
      <c r="M1059" t="str">
        <f>_xlfn.XLOOKUP(B1059,customer_orders!A:A,customer_orders!D:D)</f>
        <v>Shopify</v>
      </c>
      <c r="N1059" t="str">
        <f>_xlfn.XLOOKUP(C1059,inventory!B:B,inventory!C:C)</f>
        <v>Draper</v>
      </c>
      <c r="O1059">
        <f>IF(_xlfn.XLOOKUP(C1059,products!A:A,products!E:E)="NULL",0,_xlfn.XLOOKUP(C1059,products!A:A,products!E:E))</f>
        <v>101.47</v>
      </c>
      <c r="P1059">
        <f t="shared" si="50"/>
        <v>520.12999999999988</v>
      </c>
      <c r="Q1059" s="2" t="str">
        <f>_xlfn.XLOOKUP(I1059,products!B:B,products!D:D)</f>
        <v>Beauty</v>
      </c>
    </row>
    <row r="1060" spans="1:17">
      <c r="A1060">
        <v>1059</v>
      </c>
      <c r="B1060">
        <v>1430</v>
      </c>
      <c r="C1060">
        <v>63</v>
      </c>
      <c r="D1060">
        <v>6</v>
      </c>
      <c r="E1060">
        <v>214.86</v>
      </c>
      <c r="F1060">
        <v>0</v>
      </c>
      <c r="G1060">
        <f t="shared" si="48"/>
        <v>1289.1600000000001</v>
      </c>
      <c r="H1060" t="str">
        <f>_xlfn.XLOOKUP(B1060,customer_orders!A:A,customer_orders!F:F)</f>
        <v>2026-05</v>
      </c>
      <c r="I1060" t="str">
        <f>_xlfn.XLOOKUP(C1060,products!A:A,products!B:B)</f>
        <v>SKU-0063</v>
      </c>
      <c r="J1060" t="str">
        <f>_xlfn.XLOOKUP(B1060,customer_orders!A:A,customer_orders!G:G)</f>
        <v>2026-w19</v>
      </c>
      <c r="K1060">
        <f>IFERROR(_xlfn.XLOOKUP(B1060,shipments!B:B,shipments!H:H),0)</f>
        <v>55.62</v>
      </c>
      <c r="L1060">
        <f t="shared" si="49"/>
        <v>0.04</v>
      </c>
      <c r="M1060" t="str">
        <f>_xlfn.XLOOKUP(B1060,customer_orders!A:A,customer_orders!D:D)</f>
        <v>Shopify</v>
      </c>
      <c r="N1060" t="str">
        <f>_xlfn.XLOOKUP(C1060,inventory!B:B,inventory!C:C)</f>
        <v>Salt Lake City</v>
      </c>
      <c r="O1060">
        <f>IF(_xlfn.XLOOKUP(C1060,products!A:A,products!E:E)="NULL",0,_xlfn.XLOOKUP(C1060,products!A:A,products!E:E))</f>
        <v>32.86</v>
      </c>
      <c r="P1060">
        <f t="shared" si="50"/>
        <v>1256.3000000000002</v>
      </c>
      <c r="Q1060" s="2" t="str">
        <f>_xlfn.XLOOKUP(I1060,products!B:B,products!D:D)</f>
        <v>Beauty</v>
      </c>
    </row>
    <row r="1061" spans="1:17">
      <c r="A1061">
        <v>1060</v>
      </c>
      <c r="B1061">
        <v>1431</v>
      </c>
      <c r="C1061">
        <v>124</v>
      </c>
      <c r="D1061">
        <v>4</v>
      </c>
      <c r="E1061">
        <v>48.76</v>
      </c>
      <c r="F1061">
        <v>7.29</v>
      </c>
      <c r="G1061">
        <f t="shared" si="48"/>
        <v>187.75</v>
      </c>
      <c r="H1061" t="str">
        <f>_xlfn.XLOOKUP(B1061,customer_orders!A:A,customer_orders!F:F)</f>
        <v>2026-04</v>
      </c>
      <c r="I1061" t="str">
        <f>_xlfn.XLOOKUP(C1061,products!A:A,products!B:B)</f>
        <v>SKU-0124</v>
      </c>
      <c r="J1061" t="str">
        <f>_xlfn.XLOOKUP(B1061,customer_orders!A:A,customer_orders!G:G)</f>
        <v>2026-w14</v>
      </c>
      <c r="K1061">
        <f>IFERROR(_xlfn.XLOOKUP(B1061,shipments!B:B,shipments!H:H),0)</f>
        <v>13.45</v>
      </c>
      <c r="L1061">
        <f t="shared" si="49"/>
        <v>7.0000000000000007E-2</v>
      </c>
      <c r="M1061" t="str">
        <f>_xlfn.XLOOKUP(B1061,customer_orders!A:A,customer_orders!D:D)</f>
        <v>Amazon</v>
      </c>
      <c r="N1061" t="str">
        <f>_xlfn.XLOOKUP(C1061,inventory!B:B,inventory!C:C)</f>
        <v>Lehi</v>
      </c>
      <c r="O1061">
        <f>IF(_xlfn.XLOOKUP(C1061,products!A:A,products!E:E)="NULL",0,_xlfn.XLOOKUP(C1061,products!A:A,products!E:E))</f>
        <v>178.94</v>
      </c>
      <c r="P1061">
        <f t="shared" si="50"/>
        <v>8.8100000000000023</v>
      </c>
      <c r="Q1061" s="2" t="str">
        <f>_xlfn.XLOOKUP(I1061,products!B:B,products!D:D)</f>
        <v>Sports</v>
      </c>
    </row>
    <row r="1062" spans="1:17">
      <c r="A1062">
        <v>1061</v>
      </c>
      <c r="B1062">
        <v>1431</v>
      </c>
      <c r="C1062">
        <v>59</v>
      </c>
      <c r="D1062">
        <v>3</v>
      </c>
      <c r="E1062">
        <v>232.91</v>
      </c>
      <c r="F1062">
        <v>4.43</v>
      </c>
      <c r="G1062">
        <f t="shared" si="48"/>
        <v>694.30000000000007</v>
      </c>
      <c r="H1062" t="str">
        <f>_xlfn.XLOOKUP(B1062,customer_orders!A:A,customer_orders!F:F)</f>
        <v>2026-04</v>
      </c>
      <c r="I1062" t="str">
        <f>_xlfn.XLOOKUP(C1062,products!A:A,products!B:B)</f>
        <v>SKU-0059</v>
      </c>
      <c r="J1062" t="str">
        <f>_xlfn.XLOOKUP(B1062,customer_orders!A:A,customer_orders!G:G)</f>
        <v>2026-w14</v>
      </c>
      <c r="K1062">
        <f>IFERROR(_xlfn.XLOOKUP(B1062,shipments!B:B,shipments!H:H),0)</f>
        <v>13.45</v>
      </c>
      <c r="L1062">
        <f t="shared" si="49"/>
        <v>0.02</v>
      </c>
      <c r="M1062" t="str">
        <f>_xlfn.XLOOKUP(B1062,customer_orders!A:A,customer_orders!D:D)</f>
        <v>Amazon</v>
      </c>
      <c r="N1062" t="str">
        <f>_xlfn.XLOOKUP(C1062,inventory!B:B,inventory!C:C)</f>
        <v>Unknown</v>
      </c>
      <c r="O1062">
        <f>IF(_xlfn.XLOOKUP(C1062,products!A:A,products!E:E)="NULL",0,_xlfn.XLOOKUP(C1062,products!A:A,products!E:E))</f>
        <v>162.32</v>
      </c>
      <c r="P1062">
        <f t="shared" si="50"/>
        <v>531.98</v>
      </c>
      <c r="Q1062" s="2" t="str">
        <f>_xlfn.XLOOKUP(I1062,products!B:B,products!D:D)</f>
        <v>Sports</v>
      </c>
    </row>
    <row r="1063" spans="1:17">
      <c r="A1063">
        <v>1062</v>
      </c>
      <c r="B1063">
        <v>1431</v>
      </c>
      <c r="C1063">
        <v>150</v>
      </c>
      <c r="D1063">
        <v>3</v>
      </c>
      <c r="E1063">
        <v>100.09</v>
      </c>
      <c r="F1063">
        <v>0</v>
      </c>
      <c r="G1063">
        <f t="shared" si="48"/>
        <v>300.27</v>
      </c>
      <c r="H1063" t="str">
        <f>_xlfn.XLOOKUP(B1063,customer_orders!A:A,customer_orders!F:F)</f>
        <v>2026-04</v>
      </c>
      <c r="I1063" t="str">
        <f>_xlfn.XLOOKUP(C1063,products!A:A,products!B:B)</f>
        <v>SKU-0150</v>
      </c>
      <c r="J1063" t="str">
        <f>_xlfn.XLOOKUP(B1063,customer_orders!A:A,customer_orders!G:G)</f>
        <v>2026-w14</v>
      </c>
      <c r="K1063">
        <f>IFERROR(_xlfn.XLOOKUP(B1063,shipments!B:B,shipments!H:H),0)</f>
        <v>13.45</v>
      </c>
      <c r="L1063">
        <f t="shared" si="49"/>
        <v>0.04</v>
      </c>
      <c r="M1063" t="str">
        <f>_xlfn.XLOOKUP(B1063,customer_orders!A:A,customer_orders!D:D)</f>
        <v>Amazon</v>
      </c>
      <c r="N1063" t="str">
        <f>_xlfn.XLOOKUP(C1063,inventory!B:B,inventory!C:C)</f>
        <v>South Jordan</v>
      </c>
      <c r="O1063">
        <f>IF(_xlfn.XLOOKUP(C1063,products!A:A,products!E:E)="NULL",0,_xlfn.XLOOKUP(C1063,products!A:A,products!E:E))</f>
        <v>54.5</v>
      </c>
      <c r="P1063">
        <f t="shared" si="50"/>
        <v>245.76999999999998</v>
      </c>
      <c r="Q1063" s="2" t="str">
        <f>_xlfn.XLOOKUP(I1063,products!B:B,products!D:D)</f>
        <v>Sports</v>
      </c>
    </row>
    <row r="1064" spans="1:17">
      <c r="A1064">
        <v>1063</v>
      </c>
      <c r="B1064">
        <v>1432</v>
      </c>
      <c r="C1064">
        <v>108</v>
      </c>
      <c r="D1064">
        <v>5</v>
      </c>
      <c r="E1064">
        <v>143.47999999999999</v>
      </c>
      <c r="F1064">
        <v>11.72</v>
      </c>
      <c r="G1064">
        <f t="shared" si="48"/>
        <v>705.68</v>
      </c>
      <c r="H1064" t="str">
        <f>_xlfn.XLOOKUP(B1064,customer_orders!A:A,customer_orders!F:F)</f>
        <v>2026-02</v>
      </c>
      <c r="I1064" t="str">
        <f>_xlfn.XLOOKUP(C1064,products!A:A,products!B:B)</f>
        <v>SKU-0108</v>
      </c>
      <c r="J1064" t="str">
        <f>_xlfn.XLOOKUP(B1064,customer_orders!A:A,customer_orders!G:G)</f>
        <v>2026-w08</v>
      </c>
      <c r="K1064">
        <f>IFERROR(_xlfn.XLOOKUP(B1064,shipments!B:B,shipments!H:H),0)</f>
        <v>100.73</v>
      </c>
      <c r="L1064">
        <f t="shared" si="49"/>
        <v>0.14000000000000001</v>
      </c>
      <c r="M1064" t="str">
        <f>_xlfn.XLOOKUP(B1064,customer_orders!A:A,customer_orders!D:D)</f>
        <v>Amazon</v>
      </c>
      <c r="N1064" t="str">
        <f>_xlfn.XLOOKUP(C1064,inventory!B:B,inventory!C:C)</f>
        <v>South Jordan</v>
      </c>
      <c r="O1064">
        <f>IF(_xlfn.XLOOKUP(C1064,products!A:A,products!E:E)="NULL",0,_xlfn.XLOOKUP(C1064,products!A:A,products!E:E))</f>
        <v>53.81</v>
      </c>
      <c r="P1064">
        <f t="shared" si="50"/>
        <v>651.86999999999989</v>
      </c>
      <c r="Q1064" s="2" t="str">
        <f>_xlfn.XLOOKUP(I1064,products!B:B,products!D:D)</f>
        <v>Beauty</v>
      </c>
    </row>
    <row r="1065" spans="1:17">
      <c r="A1065">
        <v>1064</v>
      </c>
      <c r="B1065">
        <v>1433</v>
      </c>
      <c r="C1065">
        <v>143</v>
      </c>
      <c r="D1065">
        <v>4</v>
      </c>
      <c r="E1065">
        <v>171.53</v>
      </c>
      <c r="F1065">
        <v>0</v>
      </c>
      <c r="G1065">
        <f t="shared" si="48"/>
        <v>686.12</v>
      </c>
      <c r="H1065" t="str">
        <f>_xlfn.XLOOKUP(B1065,customer_orders!A:A,customer_orders!F:F)</f>
        <v>2026-04</v>
      </c>
      <c r="I1065" t="str">
        <f>_xlfn.XLOOKUP(C1065,products!A:A,products!B:B)</f>
        <v>SKU-0143</v>
      </c>
      <c r="J1065" t="str">
        <f>_xlfn.XLOOKUP(B1065,customer_orders!A:A,customer_orders!G:G)</f>
        <v>2026-w15</v>
      </c>
      <c r="K1065">
        <f>IFERROR(_xlfn.XLOOKUP(B1065,shipments!B:B,shipments!H:H),0)</f>
        <v>89.08</v>
      </c>
      <c r="L1065">
        <f t="shared" si="49"/>
        <v>0.13</v>
      </c>
      <c r="M1065" t="str">
        <f>_xlfn.XLOOKUP(B1065,customer_orders!A:A,customer_orders!D:D)</f>
        <v>Ebay</v>
      </c>
      <c r="N1065" t="str">
        <f>_xlfn.XLOOKUP(C1065,inventory!B:B,inventory!C:C)</f>
        <v>South Jordan</v>
      </c>
      <c r="O1065">
        <f>IF(_xlfn.XLOOKUP(C1065,products!A:A,products!E:E)="NULL",0,_xlfn.XLOOKUP(C1065,products!A:A,products!E:E))</f>
        <v>40.619999999999997</v>
      </c>
      <c r="P1065">
        <f t="shared" si="50"/>
        <v>645.5</v>
      </c>
      <c r="Q1065" s="2" t="str">
        <f>_xlfn.XLOOKUP(I1065,products!B:B,products!D:D)</f>
        <v>Pet</v>
      </c>
    </row>
    <row r="1066" spans="1:17">
      <c r="A1066">
        <v>1065</v>
      </c>
      <c r="B1066">
        <v>1433</v>
      </c>
      <c r="C1066">
        <v>87</v>
      </c>
      <c r="D1066">
        <v>6</v>
      </c>
      <c r="E1066">
        <v>124.17</v>
      </c>
      <c r="F1066">
        <v>0</v>
      </c>
      <c r="G1066">
        <f t="shared" si="48"/>
        <v>745.02</v>
      </c>
      <c r="H1066" t="str">
        <f>_xlfn.XLOOKUP(B1066,customer_orders!A:A,customer_orders!F:F)</f>
        <v>2026-04</v>
      </c>
      <c r="I1066" t="str">
        <f>_xlfn.XLOOKUP(C1066,products!A:A,products!B:B)</f>
        <v>SKU-0087</v>
      </c>
      <c r="J1066" t="str">
        <f>_xlfn.XLOOKUP(B1066,customer_orders!A:A,customer_orders!G:G)</f>
        <v>2026-w15</v>
      </c>
      <c r="K1066">
        <f>IFERROR(_xlfn.XLOOKUP(B1066,shipments!B:B,shipments!H:H),0)</f>
        <v>89.08</v>
      </c>
      <c r="L1066">
        <f t="shared" si="49"/>
        <v>0.12</v>
      </c>
      <c r="M1066" t="str">
        <f>_xlfn.XLOOKUP(B1066,customer_orders!A:A,customer_orders!D:D)</f>
        <v>Ebay</v>
      </c>
      <c r="N1066" t="str">
        <f>_xlfn.XLOOKUP(C1066,inventory!B:B,inventory!C:C)</f>
        <v>Unknown</v>
      </c>
      <c r="O1066">
        <f>IF(_xlfn.XLOOKUP(C1066,products!A:A,products!E:E)="NULL",0,_xlfn.XLOOKUP(C1066,products!A:A,products!E:E))</f>
        <v>31.4</v>
      </c>
      <c r="P1066">
        <f t="shared" si="50"/>
        <v>713.62</v>
      </c>
      <c r="Q1066" s="2" t="str">
        <f>_xlfn.XLOOKUP(I1066,products!B:B,products!D:D)</f>
        <v>Home</v>
      </c>
    </row>
    <row r="1067" spans="1:17">
      <c r="A1067">
        <v>1066</v>
      </c>
      <c r="B1067">
        <v>1433</v>
      </c>
      <c r="C1067">
        <v>12</v>
      </c>
      <c r="D1067">
        <v>2</v>
      </c>
      <c r="E1067">
        <v>61.57</v>
      </c>
      <c r="F1067">
        <v>0</v>
      </c>
      <c r="G1067">
        <f t="shared" si="48"/>
        <v>123.14</v>
      </c>
      <c r="H1067" t="str">
        <f>_xlfn.XLOOKUP(B1067,customer_orders!A:A,customer_orders!F:F)</f>
        <v>2026-04</v>
      </c>
      <c r="I1067" t="str">
        <f>_xlfn.XLOOKUP(C1067,products!A:A,products!B:B)</f>
        <v>SKU-0012</v>
      </c>
      <c r="J1067" t="str">
        <f>_xlfn.XLOOKUP(B1067,customer_orders!A:A,customer_orders!G:G)</f>
        <v>2026-w15</v>
      </c>
      <c r="K1067">
        <f>IFERROR(_xlfn.XLOOKUP(B1067,shipments!B:B,shipments!H:H),0)</f>
        <v>89.08</v>
      </c>
      <c r="L1067">
        <f t="shared" si="49"/>
        <v>0.72</v>
      </c>
      <c r="M1067" t="str">
        <f>_xlfn.XLOOKUP(B1067,customer_orders!A:A,customer_orders!D:D)</f>
        <v>Ebay</v>
      </c>
      <c r="N1067" t="str">
        <f>_xlfn.XLOOKUP(C1067,inventory!B:B,inventory!C:C)</f>
        <v>Unknown</v>
      </c>
      <c r="O1067">
        <f>IF(_xlfn.XLOOKUP(C1067,products!A:A,products!E:E)="NULL",0,_xlfn.XLOOKUP(C1067,products!A:A,products!E:E))</f>
        <v>132.6</v>
      </c>
      <c r="P1067">
        <f t="shared" si="50"/>
        <v>-9.4599999999999937</v>
      </c>
      <c r="Q1067" s="2" t="str">
        <f>_xlfn.XLOOKUP(I1067,products!B:B,products!D:D)</f>
        <v>Toys</v>
      </c>
    </row>
    <row r="1068" spans="1:17">
      <c r="A1068">
        <v>1067</v>
      </c>
      <c r="B1068">
        <v>1433</v>
      </c>
      <c r="C1068">
        <v>115</v>
      </c>
      <c r="D1068">
        <v>7</v>
      </c>
      <c r="E1068">
        <v>80.7</v>
      </c>
      <c r="F1068">
        <v>9.83</v>
      </c>
      <c r="G1068">
        <f t="shared" si="48"/>
        <v>555.06999999999994</v>
      </c>
      <c r="H1068" t="str">
        <f>_xlfn.XLOOKUP(B1068,customer_orders!A:A,customer_orders!F:F)</f>
        <v>2026-04</v>
      </c>
      <c r="I1068" t="str">
        <f>_xlfn.XLOOKUP(C1068,products!A:A,products!B:B)</f>
        <v>SKU-0115</v>
      </c>
      <c r="J1068" t="str">
        <f>_xlfn.XLOOKUP(B1068,customer_orders!A:A,customer_orders!G:G)</f>
        <v>2026-w15</v>
      </c>
      <c r="K1068">
        <f>IFERROR(_xlfn.XLOOKUP(B1068,shipments!B:B,shipments!H:H),0)</f>
        <v>89.08</v>
      </c>
      <c r="L1068">
        <f t="shared" si="49"/>
        <v>0.16</v>
      </c>
      <c r="M1068" t="str">
        <f>_xlfn.XLOOKUP(B1068,customer_orders!A:A,customer_orders!D:D)</f>
        <v>Ebay</v>
      </c>
      <c r="N1068" t="str">
        <f>_xlfn.XLOOKUP(C1068,inventory!B:B,inventory!C:C)</f>
        <v>West Valley</v>
      </c>
      <c r="O1068">
        <f>IF(_xlfn.XLOOKUP(C1068,products!A:A,products!E:E)="NULL",0,_xlfn.XLOOKUP(C1068,products!A:A,products!E:E))</f>
        <v>58.66</v>
      </c>
      <c r="P1068">
        <f t="shared" si="50"/>
        <v>496.40999999999997</v>
      </c>
      <c r="Q1068" s="2" t="str">
        <f>_xlfn.XLOOKUP(I1068,products!B:B,products!D:D)</f>
        <v>Pet</v>
      </c>
    </row>
    <row r="1069" spans="1:17">
      <c r="A1069">
        <v>1068</v>
      </c>
      <c r="B1069">
        <v>1434</v>
      </c>
      <c r="C1069">
        <v>98</v>
      </c>
      <c r="D1069">
        <v>6</v>
      </c>
      <c r="E1069">
        <v>285.64</v>
      </c>
      <c r="F1069">
        <v>0</v>
      </c>
      <c r="G1069">
        <f t="shared" si="48"/>
        <v>1713.84</v>
      </c>
      <c r="H1069" t="str">
        <f>_xlfn.XLOOKUP(B1069,customer_orders!A:A,customer_orders!F:F)</f>
        <v>2026-01</v>
      </c>
      <c r="I1069" t="str">
        <f>_xlfn.XLOOKUP(C1069,products!A:A,products!B:B)</f>
        <v>SKU-0098</v>
      </c>
      <c r="J1069" t="str">
        <f>_xlfn.XLOOKUP(B1069,customer_orders!A:A,customer_orders!G:G)</f>
        <v>2026-w01</v>
      </c>
      <c r="K1069">
        <f>IFERROR(_xlfn.XLOOKUP(B1069,shipments!B:B,shipments!H:H),0)</f>
        <v>36.28</v>
      </c>
      <c r="L1069">
        <f t="shared" si="49"/>
        <v>0.02</v>
      </c>
      <c r="M1069" t="str">
        <f>_xlfn.XLOOKUP(B1069,customer_orders!A:A,customer_orders!D:D)</f>
        <v>Amazon</v>
      </c>
      <c r="N1069" t="str">
        <f>_xlfn.XLOOKUP(C1069,inventory!B:B,inventory!C:C)</f>
        <v>South Jordan</v>
      </c>
      <c r="O1069">
        <f>IF(_xlfn.XLOOKUP(C1069,products!A:A,products!E:E)="NULL",0,_xlfn.XLOOKUP(C1069,products!A:A,products!E:E))</f>
        <v>136.99</v>
      </c>
      <c r="P1069">
        <f t="shared" si="50"/>
        <v>1576.85</v>
      </c>
      <c r="Q1069" s="2" t="str">
        <f>_xlfn.XLOOKUP(I1069,products!B:B,products!D:D)</f>
        <v>Home</v>
      </c>
    </row>
    <row r="1070" spans="1:17">
      <c r="A1070">
        <v>1069</v>
      </c>
      <c r="B1070">
        <v>1434</v>
      </c>
      <c r="C1070">
        <v>25</v>
      </c>
      <c r="D1070">
        <v>4</v>
      </c>
      <c r="E1070">
        <v>265.23</v>
      </c>
      <c r="F1070">
        <v>0</v>
      </c>
      <c r="G1070">
        <f t="shared" si="48"/>
        <v>1060.92</v>
      </c>
      <c r="H1070" t="str">
        <f>_xlfn.XLOOKUP(B1070,customer_orders!A:A,customer_orders!F:F)</f>
        <v>2026-01</v>
      </c>
      <c r="I1070" t="str">
        <f>_xlfn.XLOOKUP(C1070,products!A:A,products!B:B)</f>
        <v>SKU-0025</v>
      </c>
      <c r="J1070" t="str">
        <f>_xlfn.XLOOKUP(B1070,customer_orders!A:A,customer_orders!G:G)</f>
        <v>2026-w01</v>
      </c>
      <c r="K1070">
        <f>IFERROR(_xlfn.XLOOKUP(B1070,shipments!B:B,shipments!H:H),0)</f>
        <v>36.28</v>
      </c>
      <c r="L1070">
        <f t="shared" si="49"/>
        <v>0.03</v>
      </c>
      <c r="M1070" t="str">
        <f>_xlfn.XLOOKUP(B1070,customer_orders!A:A,customer_orders!D:D)</f>
        <v>Amazon</v>
      </c>
      <c r="N1070" t="str">
        <f>_xlfn.XLOOKUP(C1070,inventory!B:B,inventory!C:C)</f>
        <v>Salt Lake City</v>
      </c>
      <c r="O1070">
        <f>IF(_xlfn.XLOOKUP(C1070,products!A:A,products!E:E)="NULL",0,_xlfn.XLOOKUP(C1070,products!A:A,products!E:E))</f>
        <v>15.14</v>
      </c>
      <c r="P1070">
        <f t="shared" si="50"/>
        <v>1045.78</v>
      </c>
      <c r="Q1070" s="2" t="str">
        <f>_xlfn.XLOOKUP(I1070,products!B:B,products!D:D)</f>
        <v>Sports</v>
      </c>
    </row>
    <row r="1071" spans="1:17">
      <c r="A1071">
        <v>1070</v>
      </c>
      <c r="B1071">
        <v>1434</v>
      </c>
      <c r="C1071">
        <v>13</v>
      </c>
      <c r="D1071">
        <v>7</v>
      </c>
      <c r="E1071">
        <v>236.16</v>
      </c>
      <c r="F1071">
        <v>4.99</v>
      </c>
      <c r="G1071">
        <f t="shared" si="48"/>
        <v>1648.1299999999999</v>
      </c>
      <c r="H1071" t="str">
        <f>_xlfn.XLOOKUP(B1071,customer_orders!A:A,customer_orders!F:F)</f>
        <v>2026-01</v>
      </c>
      <c r="I1071" t="str">
        <f>_xlfn.XLOOKUP(C1071,products!A:A,products!B:B)</f>
        <v>SKU-0013</v>
      </c>
      <c r="J1071" t="str">
        <f>_xlfn.XLOOKUP(B1071,customer_orders!A:A,customer_orders!G:G)</f>
        <v>2026-w01</v>
      </c>
      <c r="K1071">
        <f>IFERROR(_xlfn.XLOOKUP(B1071,shipments!B:B,shipments!H:H),0)</f>
        <v>36.28</v>
      </c>
      <c r="L1071">
        <f t="shared" si="49"/>
        <v>0.02</v>
      </c>
      <c r="M1071" t="str">
        <f>_xlfn.XLOOKUP(B1071,customer_orders!A:A,customer_orders!D:D)</f>
        <v>Amazon</v>
      </c>
      <c r="N1071" t="str">
        <f>_xlfn.XLOOKUP(C1071,inventory!B:B,inventory!C:C)</f>
        <v>Draper</v>
      </c>
      <c r="O1071">
        <f>IF(_xlfn.XLOOKUP(C1071,products!A:A,products!E:E)="NULL",0,_xlfn.XLOOKUP(C1071,products!A:A,products!E:E))</f>
        <v>152.5</v>
      </c>
      <c r="P1071">
        <f t="shared" si="50"/>
        <v>1495.6299999999999</v>
      </c>
      <c r="Q1071" s="2" t="str">
        <f>_xlfn.XLOOKUP(I1071,products!B:B,products!D:D)</f>
        <v>Beauty</v>
      </c>
    </row>
    <row r="1072" spans="1:17">
      <c r="A1072">
        <v>1071</v>
      </c>
      <c r="B1072">
        <v>1434</v>
      </c>
      <c r="C1072">
        <v>82</v>
      </c>
      <c r="D1072">
        <v>3</v>
      </c>
      <c r="E1072">
        <v>243.4</v>
      </c>
      <c r="F1072">
        <v>0</v>
      </c>
      <c r="G1072">
        <f t="shared" si="48"/>
        <v>730.2</v>
      </c>
      <c r="H1072" t="str">
        <f>_xlfn.XLOOKUP(B1072,customer_orders!A:A,customer_orders!F:F)</f>
        <v>2026-01</v>
      </c>
      <c r="I1072" t="str">
        <f>_xlfn.XLOOKUP(C1072,products!A:A,products!B:B)</f>
        <v>SKU-0082</v>
      </c>
      <c r="J1072" t="str">
        <f>_xlfn.XLOOKUP(B1072,customer_orders!A:A,customer_orders!G:G)</f>
        <v>2026-w01</v>
      </c>
      <c r="K1072">
        <f>IFERROR(_xlfn.XLOOKUP(B1072,shipments!B:B,shipments!H:H),0)</f>
        <v>36.28</v>
      </c>
      <c r="L1072">
        <f t="shared" si="49"/>
        <v>0.05</v>
      </c>
      <c r="M1072" t="str">
        <f>_xlfn.XLOOKUP(B1072,customer_orders!A:A,customer_orders!D:D)</f>
        <v>Amazon</v>
      </c>
      <c r="N1072" t="str">
        <f>_xlfn.XLOOKUP(C1072,inventory!B:B,inventory!C:C)</f>
        <v>Unknown</v>
      </c>
      <c r="O1072">
        <f>IF(_xlfn.XLOOKUP(C1072,products!A:A,products!E:E)="NULL",0,_xlfn.XLOOKUP(C1072,products!A:A,products!E:E))</f>
        <v>84.88</v>
      </c>
      <c r="P1072">
        <f t="shared" si="50"/>
        <v>645.32000000000005</v>
      </c>
      <c r="Q1072" s="2" t="str">
        <f>_xlfn.XLOOKUP(I1072,products!B:B,products!D:D)</f>
        <v>Beauty</v>
      </c>
    </row>
    <row r="1073" spans="1:17">
      <c r="A1073">
        <v>1072</v>
      </c>
      <c r="B1073">
        <v>1435</v>
      </c>
      <c r="C1073">
        <v>125</v>
      </c>
      <c r="D1073">
        <v>8</v>
      </c>
      <c r="E1073">
        <v>273.92</v>
      </c>
      <c r="F1073">
        <v>0</v>
      </c>
      <c r="G1073">
        <f t="shared" si="48"/>
        <v>2191.36</v>
      </c>
      <c r="H1073" t="str">
        <f>_xlfn.XLOOKUP(B1073,customer_orders!A:A,customer_orders!F:F)</f>
        <v>2026-03</v>
      </c>
      <c r="I1073" t="str">
        <f>_xlfn.XLOOKUP(C1073,products!A:A,products!B:B)</f>
        <v>SKU-0125</v>
      </c>
      <c r="J1073" t="str">
        <f>_xlfn.XLOOKUP(B1073,customer_orders!A:A,customer_orders!G:G)</f>
        <v>2026-w11</v>
      </c>
      <c r="K1073">
        <f>IFERROR(_xlfn.XLOOKUP(B1073,shipments!B:B,shipments!H:H),0)</f>
        <v>7.17</v>
      </c>
      <c r="L1073">
        <f t="shared" si="49"/>
        <v>0</v>
      </c>
      <c r="M1073" t="str">
        <f>_xlfn.XLOOKUP(B1073,customer_orders!A:A,customer_orders!D:D)</f>
        <v>Amazon</v>
      </c>
      <c r="N1073" t="str">
        <f>_xlfn.XLOOKUP(C1073,inventory!B:B,inventory!C:C)</f>
        <v>Draper</v>
      </c>
      <c r="O1073">
        <f>IF(_xlfn.XLOOKUP(C1073,products!A:A,products!E:E)="NULL",0,_xlfn.XLOOKUP(C1073,products!A:A,products!E:E))</f>
        <v>71.569999999999993</v>
      </c>
      <c r="P1073">
        <f t="shared" si="50"/>
        <v>2119.79</v>
      </c>
      <c r="Q1073" s="2" t="str">
        <f>_xlfn.XLOOKUP(I1073,products!B:B,products!D:D)</f>
        <v>Beauty</v>
      </c>
    </row>
    <row r="1074" spans="1:17">
      <c r="A1074">
        <v>1073</v>
      </c>
      <c r="B1074">
        <v>1435</v>
      </c>
      <c r="C1074">
        <v>74</v>
      </c>
      <c r="D1074">
        <v>5</v>
      </c>
      <c r="E1074">
        <v>130.72999999999999</v>
      </c>
      <c r="F1074">
        <v>0</v>
      </c>
      <c r="G1074">
        <f t="shared" si="48"/>
        <v>653.65</v>
      </c>
      <c r="H1074" t="str">
        <f>_xlfn.XLOOKUP(B1074,customer_orders!A:A,customer_orders!F:F)</f>
        <v>2026-03</v>
      </c>
      <c r="I1074" t="str">
        <f>_xlfn.XLOOKUP(C1074,products!A:A,products!B:B)</f>
        <v>SKU0074</v>
      </c>
      <c r="J1074" t="str">
        <f>_xlfn.XLOOKUP(B1074,customer_orders!A:A,customer_orders!G:G)</f>
        <v>2026-w11</v>
      </c>
      <c r="K1074">
        <f>IFERROR(_xlfn.XLOOKUP(B1074,shipments!B:B,shipments!H:H),0)</f>
        <v>7.17</v>
      </c>
      <c r="L1074">
        <f t="shared" si="49"/>
        <v>0.01</v>
      </c>
      <c r="M1074" t="str">
        <f>_xlfn.XLOOKUP(B1074,customer_orders!A:A,customer_orders!D:D)</f>
        <v>Amazon</v>
      </c>
      <c r="N1074" t="str">
        <f>_xlfn.XLOOKUP(C1074,inventory!B:B,inventory!C:C)</f>
        <v>Unknown</v>
      </c>
      <c r="O1074">
        <f>IF(_xlfn.XLOOKUP(C1074,products!A:A,products!E:E)="NULL",0,_xlfn.XLOOKUP(C1074,products!A:A,products!E:E))</f>
        <v>104.59</v>
      </c>
      <c r="P1074">
        <f t="shared" si="50"/>
        <v>549.05999999999995</v>
      </c>
      <c r="Q1074" s="2" t="str">
        <f>_xlfn.XLOOKUP(I1074,products!B:B,products!D:D)</f>
        <v>Toys</v>
      </c>
    </row>
    <row r="1075" spans="1:17">
      <c r="A1075">
        <v>1074</v>
      </c>
      <c r="B1075">
        <v>1435</v>
      </c>
      <c r="C1075">
        <v>60</v>
      </c>
      <c r="D1075">
        <v>5</v>
      </c>
      <c r="E1075">
        <v>115.8</v>
      </c>
      <c r="F1075">
        <v>0</v>
      </c>
      <c r="G1075">
        <f t="shared" si="48"/>
        <v>579</v>
      </c>
      <c r="H1075" t="str">
        <f>_xlfn.XLOOKUP(B1075,customer_orders!A:A,customer_orders!F:F)</f>
        <v>2026-03</v>
      </c>
      <c r="I1075" t="str">
        <f>_xlfn.XLOOKUP(C1075,products!A:A,products!B:B)</f>
        <v>SKU-0060</v>
      </c>
      <c r="J1075" t="str">
        <f>_xlfn.XLOOKUP(B1075,customer_orders!A:A,customer_orders!G:G)</f>
        <v>2026-w11</v>
      </c>
      <c r="K1075">
        <f>IFERROR(_xlfn.XLOOKUP(B1075,shipments!B:B,shipments!H:H),0)</f>
        <v>7.17</v>
      </c>
      <c r="L1075">
        <f t="shared" si="49"/>
        <v>0.01</v>
      </c>
      <c r="M1075" t="str">
        <f>_xlfn.XLOOKUP(B1075,customer_orders!A:A,customer_orders!D:D)</f>
        <v>Amazon</v>
      </c>
      <c r="N1075" t="str">
        <f>_xlfn.XLOOKUP(C1075,inventory!B:B,inventory!C:C)</f>
        <v>Draper</v>
      </c>
      <c r="O1075">
        <f>IF(_xlfn.XLOOKUP(C1075,products!A:A,products!E:E)="NULL",0,_xlfn.XLOOKUP(C1075,products!A:A,products!E:E))</f>
        <v>121.71</v>
      </c>
      <c r="P1075">
        <f t="shared" si="50"/>
        <v>457.29</v>
      </c>
      <c r="Q1075" s="2" t="str">
        <f>_xlfn.XLOOKUP(I1075,products!B:B,products!D:D)</f>
        <v>Beauty</v>
      </c>
    </row>
    <row r="1076" spans="1:17">
      <c r="A1076">
        <v>1075</v>
      </c>
      <c r="B1076">
        <v>1436</v>
      </c>
      <c r="C1076">
        <v>147</v>
      </c>
      <c r="D1076">
        <v>7</v>
      </c>
      <c r="E1076">
        <v>133.41</v>
      </c>
      <c r="F1076">
        <v>0</v>
      </c>
      <c r="G1076">
        <f t="shared" si="48"/>
        <v>933.87</v>
      </c>
      <c r="H1076" t="str">
        <f>_xlfn.XLOOKUP(B1076,customer_orders!A:A,customer_orders!F:F)</f>
        <v>2026-05</v>
      </c>
      <c r="I1076" t="str">
        <f>_xlfn.XLOOKUP(C1076,products!A:A,products!B:B)</f>
        <v>SKU-0147</v>
      </c>
      <c r="J1076" t="str">
        <f>_xlfn.XLOOKUP(B1076,customer_orders!A:A,customer_orders!G:G)</f>
        <v>2026-w19</v>
      </c>
      <c r="K1076">
        <f>IFERROR(_xlfn.XLOOKUP(B1076,shipments!B:B,shipments!H:H),0)</f>
        <v>116.34</v>
      </c>
      <c r="L1076">
        <f t="shared" si="49"/>
        <v>0.12</v>
      </c>
      <c r="M1076" t="str">
        <f>_xlfn.XLOOKUP(B1076,customer_orders!A:A,customer_orders!D:D)</f>
        <v>Ebay</v>
      </c>
      <c r="N1076" t="str">
        <f>_xlfn.XLOOKUP(C1076,inventory!B:B,inventory!C:C)</f>
        <v>Draper</v>
      </c>
      <c r="O1076">
        <f>IF(_xlfn.XLOOKUP(C1076,products!A:A,products!E:E)="NULL",0,_xlfn.XLOOKUP(C1076,products!A:A,products!E:E))</f>
        <v>128.44999999999999</v>
      </c>
      <c r="P1076">
        <f t="shared" si="50"/>
        <v>805.42000000000007</v>
      </c>
      <c r="Q1076" s="2" t="str">
        <f>_xlfn.XLOOKUP(I1076,products!B:B,products!D:D)</f>
        <v>Sports</v>
      </c>
    </row>
    <row r="1077" spans="1:17">
      <c r="A1077">
        <v>1076</v>
      </c>
      <c r="B1077">
        <v>1436</v>
      </c>
      <c r="C1077">
        <v>117</v>
      </c>
      <c r="D1077">
        <v>5</v>
      </c>
      <c r="E1077">
        <v>293.33</v>
      </c>
      <c r="F1077">
        <v>0</v>
      </c>
      <c r="G1077">
        <f t="shared" si="48"/>
        <v>1466.6499999999999</v>
      </c>
      <c r="H1077" t="str">
        <f>_xlfn.XLOOKUP(B1077,customer_orders!A:A,customer_orders!F:F)</f>
        <v>2026-05</v>
      </c>
      <c r="I1077" t="str">
        <f>_xlfn.XLOOKUP(C1077,products!A:A,products!B:B)</f>
        <v>SKU-0117</v>
      </c>
      <c r="J1077" t="str">
        <f>_xlfn.XLOOKUP(B1077,customer_orders!A:A,customer_orders!G:G)</f>
        <v>2026-w19</v>
      </c>
      <c r="K1077">
        <f>IFERROR(_xlfn.XLOOKUP(B1077,shipments!B:B,shipments!H:H),0)</f>
        <v>116.34</v>
      </c>
      <c r="L1077">
        <f t="shared" si="49"/>
        <v>0.08</v>
      </c>
      <c r="M1077" t="str">
        <f>_xlfn.XLOOKUP(B1077,customer_orders!A:A,customer_orders!D:D)</f>
        <v>Ebay</v>
      </c>
      <c r="N1077" t="str">
        <f>_xlfn.XLOOKUP(C1077,inventory!B:B,inventory!C:C)</f>
        <v>Draper</v>
      </c>
      <c r="O1077">
        <f>IF(_xlfn.XLOOKUP(C1077,products!A:A,products!E:E)="NULL",0,_xlfn.XLOOKUP(C1077,products!A:A,products!E:E))</f>
        <v>131.80000000000001</v>
      </c>
      <c r="P1077">
        <f t="shared" si="50"/>
        <v>1334.85</v>
      </c>
      <c r="Q1077" s="2" t="str">
        <f>_xlfn.XLOOKUP(I1077,products!B:B,products!D:D)</f>
        <v>Pet</v>
      </c>
    </row>
    <row r="1078" spans="1:17">
      <c r="A1078">
        <v>1077</v>
      </c>
      <c r="B1078">
        <v>1436</v>
      </c>
      <c r="C1078">
        <v>114</v>
      </c>
      <c r="D1078">
        <v>7</v>
      </c>
      <c r="E1078">
        <v>171.86</v>
      </c>
      <c r="F1078">
        <v>0</v>
      </c>
      <c r="G1078">
        <f t="shared" si="48"/>
        <v>1203.02</v>
      </c>
      <c r="H1078" t="str">
        <f>_xlfn.XLOOKUP(B1078,customer_orders!A:A,customer_orders!F:F)</f>
        <v>2026-05</v>
      </c>
      <c r="I1078" t="str">
        <f>_xlfn.XLOOKUP(C1078,products!A:A,products!B:B)</f>
        <v>SKU-0114</v>
      </c>
      <c r="J1078" t="str">
        <f>_xlfn.XLOOKUP(B1078,customer_orders!A:A,customer_orders!G:G)</f>
        <v>2026-w19</v>
      </c>
      <c r="K1078">
        <f>IFERROR(_xlfn.XLOOKUP(B1078,shipments!B:B,shipments!H:H),0)</f>
        <v>116.34</v>
      </c>
      <c r="L1078">
        <f t="shared" si="49"/>
        <v>0.1</v>
      </c>
      <c r="M1078" t="str">
        <f>_xlfn.XLOOKUP(B1078,customer_orders!A:A,customer_orders!D:D)</f>
        <v>Ebay</v>
      </c>
      <c r="N1078" t="str">
        <f>_xlfn.XLOOKUP(C1078,inventory!B:B,inventory!C:C)</f>
        <v>Salt Lake City</v>
      </c>
      <c r="O1078">
        <f>IF(_xlfn.XLOOKUP(C1078,products!A:A,products!E:E)="NULL",0,_xlfn.XLOOKUP(C1078,products!A:A,products!E:E))</f>
        <v>179.41</v>
      </c>
      <c r="P1078">
        <f t="shared" si="50"/>
        <v>1023.61</v>
      </c>
      <c r="Q1078" s="2" t="str">
        <f>_xlfn.XLOOKUP(I1078,products!B:B,products!D:D)</f>
        <v>Kitchen</v>
      </c>
    </row>
    <row r="1079" spans="1:17">
      <c r="A1079">
        <v>1078</v>
      </c>
      <c r="B1079">
        <v>1437</v>
      </c>
      <c r="C1079">
        <v>117</v>
      </c>
      <c r="D1079">
        <v>2</v>
      </c>
      <c r="E1079">
        <v>293.33</v>
      </c>
      <c r="F1079">
        <v>0</v>
      </c>
      <c r="G1079">
        <f t="shared" si="48"/>
        <v>586.66</v>
      </c>
      <c r="H1079" t="str">
        <f>_xlfn.XLOOKUP(B1079,customer_orders!A:A,customer_orders!F:F)</f>
        <v>2026-03</v>
      </c>
      <c r="I1079" t="str">
        <f>_xlfn.XLOOKUP(C1079,products!A:A,products!B:B)</f>
        <v>SKU-0117</v>
      </c>
      <c r="J1079" t="str">
        <f>_xlfn.XLOOKUP(B1079,customer_orders!A:A,customer_orders!G:G)</f>
        <v>2026-w13</v>
      </c>
      <c r="K1079">
        <f>IFERROR(_xlfn.XLOOKUP(B1079,shipments!B:B,shipments!H:H),0)</f>
        <v>47.64</v>
      </c>
      <c r="L1079">
        <f t="shared" si="49"/>
        <v>0.08</v>
      </c>
      <c r="M1079" t="str">
        <f>_xlfn.XLOOKUP(B1079,customer_orders!A:A,customer_orders!D:D)</f>
        <v>Amazon</v>
      </c>
      <c r="N1079" t="str">
        <f>_xlfn.XLOOKUP(C1079,inventory!B:B,inventory!C:C)</f>
        <v>Draper</v>
      </c>
      <c r="O1079">
        <f>IF(_xlfn.XLOOKUP(C1079,products!A:A,products!E:E)="NULL",0,_xlfn.XLOOKUP(C1079,products!A:A,products!E:E))</f>
        <v>131.80000000000001</v>
      </c>
      <c r="P1079">
        <f t="shared" si="50"/>
        <v>454.85999999999996</v>
      </c>
      <c r="Q1079" s="2" t="str">
        <f>_xlfn.XLOOKUP(I1079,products!B:B,products!D:D)</f>
        <v>Pet</v>
      </c>
    </row>
    <row r="1080" spans="1:17">
      <c r="A1080">
        <v>1079</v>
      </c>
      <c r="B1080">
        <v>1437</v>
      </c>
      <c r="C1080">
        <v>10</v>
      </c>
      <c r="D1080">
        <v>7</v>
      </c>
      <c r="E1080">
        <v>144.22</v>
      </c>
      <c r="F1080">
        <v>0</v>
      </c>
      <c r="G1080">
        <f t="shared" si="48"/>
        <v>1009.54</v>
      </c>
      <c r="H1080" t="str">
        <f>_xlfn.XLOOKUP(B1080,customer_orders!A:A,customer_orders!F:F)</f>
        <v>2026-03</v>
      </c>
      <c r="I1080" t="str">
        <f>_xlfn.XLOOKUP(C1080,products!A:A,products!B:B)</f>
        <v>SKU-0010</v>
      </c>
      <c r="J1080" t="str">
        <f>_xlfn.XLOOKUP(B1080,customer_orders!A:A,customer_orders!G:G)</f>
        <v>2026-w13</v>
      </c>
      <c r="K1080">
        <f>IFERROR(_xlfn.XLOOKUP(B1080,shipments!B:B,shipments!H:H),0)</f>
        <v>47.64</v>
      </c>
      <c r="L1080">
        <f t="shared" si="49"/>
        <v>0.05</v>
      </c>
      <c r="M1080" t="str">
        <f>_xlfn.XLOOKUP(B1080,customer_orders!A:A,customer_orders!D:D)</f>
        <v>Amazon</v>
      </c>
      <c r="N1080" t="str">
        <f>_xlfn.XLOOKUP(C1080,inventory!B:B,inventory!C:C)</f>
        <v>Draper</v>
      </c>
      <c r="O1080">
        <f>IF(_xlfn.XLOOKUP(C1080,products!A:A,products!E:E)="NULL",0,_xlfn.XLOOKUP(C1080,products!A:A,products!E:E))</f>
        <v>71.52</v>
      </c>
      <c r="P1080">
        <f t="shared" si="50"/>
        <v>938.02</v>
      </c>
      <c r="Q1080" s="2" t="str">
        <f>_xlfn.XLOOKUP(I1080,products!B:B,products!D:D)</f>
        <v>Beauty</v>
      </c>
    </row>
    <row r="1081" spans="1:17">
      <c r="A1081">
        <v>1080</v>
      </c>
      <c r="B1081">
        <v>1437</v>
      </c>
      <c r="C1081">
        <v>49</v>
      </c>
      <c r="D1081">
        <v>1</v>
      </c>
      <c r="E1081">
        <v>280.98</v>
      </c>
      <c r="F1081">
        <v>0</v>
      </c>
      <c r="G1081">
        <f t="shared" si="48"/>
        <v>280.98</v>
      </c>
      <c r="H1081" t="str">
        <f>_xlfn.XLOOKUP(B1081,customer_orders!A:A,customer_orders!F:F)</f>
        <v>2026-03</v>
      </c>
      <c r="I1081" t="str">
        <f>_xlfn.XLOOKUP(C1081,products!A:A,products!B:B)</f>
        <v>SKU-0049</v>
      </c>
      <c r="J1081" t="str">
        <f>_xlfn.XLOOKUP(B1081,customer_orders!A:A,customer_orders!G:G)</f>
        <v>2026-w13</v>
      </c>
      <c r="K1081">
        <f>IFERROR(_xlfn.XLOOKUP(B1081,shipments!B:B,shipments!H:H),0)</f>
        <v>47.64</v>
      </c>
      <c r="L1081">
        <f t="shared" si="49"/>
        <v>0.17</v>
      </c>
      <c r="M1081" t="str">
        <f>_xlfn.XLOOKUP(B1081,customer_orders!A:A,customer_orders!D:D)</f>
        <v>Amazon</v>
      </c>
      <c r="N1081" t="str">
        <f>_xlfn.XLOOKUP(C1081,inventory!B:B,inventory!C:C)</f>
        <v>Salt Lake City</v>
      </c>
      <c r="O1081">
        <f>IF(_xlfn.XLOOKUP(C1081,products!A:A,products!E:E)="NULL",0,_xlfn.XLOOKUP(C1081,products!A:A,products!E:E))</f>
        <v>51.41</v>
      </c>
      <c r="P1081">
        <f t="shared" si="50"/>
        <v>229.57000000000002</v>
      </c>
      <c r="Q1081" s="2" t="str">
        <f>_xlfn.XLOOKUP(I1081,products!B:B,products!D:D)</f>
        <v>Beauty</v>
      </c>
    </row>
    <row r="1082" spans="1:17">
      <c r="A1082">
        <v>1081</v>
      </c>
      <c r="B1082">
        <v>1438</v>
      </c>
      <c r="C1082">
        <v>73</v>
      </c>
      <c r="D1082">
        <v>3</v>
      </c>
      <c r="E1082">
        <v>134.83000000000001</v>
      </c>
      <c r="F1082">
        <v>0</v>
      </c>
      <c r="G1082">
        <f t="shared" si="48"/>
        <v>404.49</v>
      </c>
      <c r="H1082" t="str">
        <f>_xlfn.XLOOKUP(B1082,customer_orders!A:A,customer_orders!F:F)</f>
        <v>2026-05</v>
      </c>
      <c r="I1082" t="str">
        <f>_xlfn.XLOOKUP(C1082,products!A:A,products!B:B)</f>
        <v>SKU-0073</v>
      </c>
      <c r="J1082" t="str">
        <f>_xlfn.XLOOKUP(B1082,customer_orders!A:A,customer_orders!G:G)</f>
        <v>2026-w18</v>
      </c>
      <c r="K1082">
        <f>IFERROR(_xlfn.XLOOKUP(B1082,shipments!B:B,shipments!H:H),0)</f>
        <v>65.53</v>
      </c>
      <c r="L1082">
        <f t="shared" si="49"/>
        <v>0.16</v>
      </c>
      <c r="M1082" t="str">
        <f>_xlfn.XLOOKUP(B1082,customer_orders!A:A,customer_orders!D:D)</f>
        <v>Walmart</v>
      </c>
      <c r="N1082" t="str">
        <f>_xlfn.XLOOKUP(C1082,inventory!B:B,inventory!C:C)</f>
        <v>Draper</v>
      </c>
      <c r="O1082">
        <f>IF(_xlfn.XLOOKUP(C1082,products!A:A,products!E:E)="NULL",0,_xlfn.XLOOKUP(C1082,products!A:A,products!E:E))</f>
        <v>27.28</v>
      </c>
      <c r="P1082">
        <f t="shared" si="50"/>
        <v>377.21000000000004</v>
      </c>
      <c r="Q1082" s="2" t="str">
        <f>_xlfn.XLOOKUP(I1082,products!B:B,products!D:D)</f>
        <v>Sports</v>
      </c>
    </row>
    <row r="1083" spans="1:17">
      <c r="A1083">
        <v>1082</v>
      </c>
      <c r="B1083">
        <v>1438</v>
      </c>
      <c r="C1083">
        <v>133</v>
      </c>
      <c r="D1083">
        <v>4</v>
      </c>
      <c r="E1083">
        <v>214.42</v>
      </c>
      <c r="F1083">
        <v>0</v>
      </c>
      <c r="G1083">
        <f t="shared" si="48"/>
        <v>857.68</v>
      </c>
      <c r="H1083" t="str">
        <f>_xlfn.XLOOKUP(B1083,customer_orders!A:A,customer_orders!F:F)</f>
        <v>2026-05</v>
      </c>
      <c r="I1083" t="str">
        <f>_xlfn.XLOOKUP(C1083,products!A:A,products!B:B)</f>
        <v>SKU-0133</v>
      </c>
      <c r="J1083" t="str">
        <f>_xlfn.XLOOKUP(B1083,customer_orders!A:A,customer_orders!G:G)</f>
        <v>2026-w18</v>
      </c>
      <c r="K1083">
        <f>IFERROR(_xlfn.XLOOKUP(B1083,shipments!B:B,shipments!H:H),0)</f>
        <v>65.53</v>
      </c>
      <c r="L1083">
        <f t="shared" si="49"/>
        <v>0.08</v>
      </c>
      <c r="M1083" t="str">
        <f>_xlfn.XLOOKUP(B1083,customer_orders!A:A,customer_orders!D:D)</f>
        <v>Walmart</v>
      </c>
      <c r="N1083" t="str">
        <f>_xlfn.XLOOKUP(C1083,inventory!B:B,inventory!C:C)</f>
        <v>Unknown</v>
      </c>
      <c r="O1083">
        <f>IF(_xlfn.XLOOKUP(C1083,products!A:A,products!E:E)="NULL",0,_xlfn.XLOOKUP(C1083,products!A:A,products!E:E))</f>
        <v>125.52</v>
      </c>
      <c r="P1083">
        <f t="shared" si="50"/>
        <v>732.16</v>
      </c>
      <c r="Q1083" s="2" t="str">
        <f>_xlfn.XLOOKUP(I1083,products!B:B,products!D:D)</f>
        <v>Home</v>
      </c>
    </row>
    <row r="1084" spans="1:17">
      <c r="A1084">
        <v>1083</v>
      </c>
      <c r="B1084">
        <v>1438</v>
      </c>
      <c r="C1084">
        <v>126</v>
      </c>
      <c r="D1084">
        <v>4</v>
      </c>
      <c r="E1084">
        <v>32.17</v>
      </c>
      <c r="F1084">
        <v>0</v>
      </c>
      <c r="G1084">
        <f t="shared" si="48"/>
        <v>128.68</v>
      </c>
      <c r="H1084" t="str">
        <f>_xlfn.XLOOKUP(B1084,customer_orders!A:A,customer_orders!F:F)</f>
        <v>2026-05</v>
      </c>
      <c r="I1084" t="str">
        <f>_xlfn.XLOOKUP(C1084,products!A:A,products!B:B)</f>
        <v>SKU-0126</v>
      </c>
      <c r="J1084" t="str">
        <f>_xlfn.XLOOKUP(B1084,customer_orders!A:A,customer_orders!G:G)</f>
        <v>2026-w18</v>
      </c>
      <c r="K1084">
        <f>IFERROR(_xlfn.XLOOKUP(B1084,shipments!B:B,shipments!H:H),0)</f>
        <v>65.53</v>
      </c>
      <c r="L1084">
        <f t="shared" si="49"/>
        <v>0.51</v>
      </c>
      <c r="M1084" t="str">
        <f>_xlfn.XLOOKUP(B1084,customer_orders!A:A,customer_orders!D:D)</f>
        <v>Walmart</v>
      </c>
      <c r="N1084" t="str">
        <f>_xlfn.XLOOKUP(C1084,inventory!B:B,inventory!C:C)</f>
        <v>South Jordan</v>
      </c>
      <c r="O1084">
        <f>IF(_xlfn.XLOOKUP(C1084,products!A:A,products!E:E)="NULL",0,_xlfn.XLOOKUP(C1084,products!A:A,products!E:E))</f>
        <v>104.51</v>
      </c>
      <c r="P1084">
        <f t="shared" si="50"/>
        <v>24.17</v>
      </c>
      <c r="Q1084" s="2" t="str">
        <f>_xlfn.XLOOKUP(I1084,products!B:B,products!D:D)</f>
        <v>Office</v>
      </c>
    </row>
    <row r="1085" spans="1:17">
      <c r="A1085">
        <v>1084</v>
      </c>
      <c r="B1085">
        <v>1438</v>
      </c>
      <c r="C1085">
        <v>108</v>
      </c>
      <c r="D1085">
        <v>5</v>
      </c>
      <c r="E1085">
        <v>143.47999999999999</v>
      </c>
      <c r="F1085">
        <v>0</v>
      </c>
      <c r="G1085">
        <f t="shared" si="48"/>
        <v>717.4</v>
      </c>
      <c r="H1085" t="str">
        <f>_xlfn.XLOOKUP(B1085,customer_orders!A:A,customer_orders!F:F)</f>
        <v>2026-05</v>
      </c>
      <c r="I1085" t="str">
        <f>_xlfn.XLOOKUP(C1085,products!A:A,products!B:B)</f>
        <v>SKU-0108</v>
      </c>
      <c r="J1085" t="str">
        <f>_xlfn.XLOOKUP(B1085,customer_orders!A:A,customer_orders!G:G)</f>
        <v>2026-w18</v>
      </c>
      <c r="K1085">
        <f>IFERROR(_xlfn.XLOOKUP(B1085,shipments!B:B,shipments!H:H),0)</f>
        <v>65.53</v>
      </c>
      <c r="L1085">
        <f t="shared" si="49"/>
        <v>0.09</v>
      </c>
      <c r="M1085" t="str">
        <f>_xlfn.XLOOKUP(B1085,customer_orders!A:A,customer_orders!D:D)</f>
        <v>Walmart</v>
      </c>
      <c r="N1085" t="str">
        <f>_xlfn.XLOOKUP(C1085,inventory!B:B,inventory!C:C)</f>
        <v>South Jordan</v>
      </c>
      <c r="O1085">
        <f>IF(_xlfn.XLOOKUP(C1085,products!A:A,products!E:E)="NULL",0,_xlfn.XLOOKUP(C1085,products!A:A,products!E:E))</f>
        <v>53.81</v>
      </c>
      <c r="P1085">
        <f t="shared" si="50"/>
        <v>663.58999999999992</v>
      </c>
      <c r="Q1085" s="2" t="str">
        <f>_xlfn.XLOOKUP(I1085,products!B:B,products!D:D)</f>
        <v>Beauty</v>
      </c>
    </row>
    <row r="1086" spans="1:17">
      <c r="A1086">
        <v>1085</v>
      </c>
      <c r="B1086">
        <v>1439</v>
      </c>
      <c r="C1086">
        <v>140</v>
      </c>
      <c r="D1086">
        <v>8</v>
      </c>
      <c r="E1086">
        <v>86.93</v>
      </c>
      <c r="F1086">
        <v>0</v>
      </c>
      <c r="G1086">
        <f t="shared" si="48"/>
        <v>695.44</v>
      </c>
      <c r="H1086" t="str">
        <f>_xlfn.XLOOKUP(B1086,customer_orders!A:A,customer_orders!F:F)</f>
        <v>2026-05</v>
      </c>
      <c r="I1086" t="str">
        <f>_xlfn.XLOOKUP(C1086,products!A:A,products!B:B)</f>
        <v>SKU-0140</v>
      </c>
      <c r="J1086" t="str">
        <f>_xlfn.XLOOKUP(B1086,customer_orders!A:A,customer_orders!G:G)</f>
        <v>2026-w19</v>
      </c>
      <c r="K1086">
        <f>IFERROR(_xlfn.XLOOKUP(B1086,shipments!B:B,shipments!H:H),0)</f>
        <v>80.63</v>
      </c>
      <c r="L1086">
        <f t="shared" si="49"/>
        <v>0.12</v>
      </c>
      <c r="M1086" t="str">
        <f>_xlfn.XLOOKUP(B1086,customer_orders!A:A,customer_orders!D:D)</f>
        <v>Shopify</v>
      </c>
      <c r="N1086" t="str">
        <f>_xlfn.XLOOKUP(C1086,inventory!B:B,inventory!C:C)</f>
        <v>South Jordan</v>
      </c>
      <c r="O1086">
        <f>IF(_xlfn.XLOOKUP(C1086,products!A:A,products!E:E)="NULL",0,_xlfn.XLOOKUP(C1086,products!A:A,products!E:E))</f>
        <v>20.41</v>
      </c>
      <c r="P1086">
        <f t="shared" si="50"/>
        <v>675.03000000000009</v>
      </c>
      <c r="Q1086" s="2" t="str">
        <f>_xlfn.XLOOKUP(I1086,products!B:B,products!D:D)</f>
        <v>Electronics</v>
      </c>
    </row>
    <row r="1087" spans="1:17">
      <c r="A1087">
        <v>1086</v>
      </c>
      <c r="B1087">
        <v>1439</v>
      </c>
      <c r="C1087">
        <v>29</v>
      </c>
      <c r="D1087">
        <v>5</v>
      </c>
      <c r="E1087">
        <v>33.25</v>
      </c>
      <c r="F1087">
        <v>6.87</v>
      </c>
      <c r="G1087">
        <f t="shared" si="48"/>
        <v>159.38</v>
      </c>
      <c r="H1087" t="str">
        <f>_xlfn.XLOOKUP(B1087,customer_orders!A:A,customer_orders!F:F)</f>
        <v>2026-05</v>
      </c>
      <c r="I1087" t="str">
        <f>_xlfn.XLOOKUP(C1087,products!A:A,products!B:B)</f>
        <v>SKU-0029</v>
      </c>
      <c r="J1087" t="str">
        <f>_xlfn.XLOOKUP(B1087,customer_orders!A:A,customer_orders!G:G)</f>
        <v>2026-w19</v>
      </c>
      <c r="K1087">
        <f>IFERROR(_xlfn.XLOOKUP(B1087,shipments!B:B,shipments!H:H),0)</f>
        <v>80.63</v>
      </c>
      <c r="L1087">
        <f t="shared" si="49"/>
        <v>0.51</v>
      </c>
      <c r="M1087" t="str">
        <f>_xlfn.XLOOKUP(B1087,customer_orders!A:A,customer_orders!D:D)</f>
        <v>Shopify</v>
      </c>
      <c r="N1087" t="str">
        <f>_xlfn.XLOOKUP(C1087,inventory!B:B,inventory!C:C)</f>
        <v>Salt Lake City</v>
      </c>
      <c r="O1087">
        <f>IF(_xlfn.XLOOKUP(C1087,products!A:A,products!E:E)="NULL",0,_xlfn.XLOOKUP(C1087,products!A:A,products!E:E))</f>
        <v>48.38</v>
      </c>
      <c r="P1087">
        <f t="shared" si="50"/>
        <v>111</v>
      </c>
      <c r="Q1087" s="2" t="str">
        <f>_xlfn.XLOOKUP(I1087,products!B:B,products!D:D)</f>
        <v>Pet</v>
      </c>
    </row>
    <row r="1088" spans="1:17">
      <c r="A1088">
        <v>1087</v>
      </c>
      <c r="B1088">
        <v>1439</v>
      </c>
      <c r="C1088">
        <v>84</v>
      </c>
      <c r="D1088">
        <v>4</v>
      </c>
      <c r="E1088">
        <v>150.28</v>
      </c>
      <c r="F1088">
        <v>0</v>
      </c>
      <c r="G1088">
        <f t="shared" si="48"/>
        <v>601.12</v>
      </c>
      <c r="H1088" t="str">
        <f>_xlfn.XLOOKUP(B1088,customer_orders!A:A,customer_orders!F:F)</f>
        <v>2026-05</v>
      </c>
      <c r="I1088" t="str">
        <f>_xlfn.XLOOKUP(C1088,products!A:A,products!B:B)</f>
        <v>SKU-0084</v>
      </c>
      <c r="J1088" t="str">
        <f>_xlfn.XLOOKUP(B1088,customer_orders!A:A,customer_orders!G:G)</f>
        <v>2026-w19</v>
      </c>
      <c r="K1088">
        <f>IFERROR(_xlfn.XLOOKUP(B1088,shipments!B:B,shipments!H:H),0)</f>
        <v>80.63</v>
      </c>
      <c r="L1088">
        <f t="shared" si="49"/>
        <v>0.13</v>
      </c>
      <c r="M1088" t="str">
        <f>_xlfn.XLOOKUP(B1088,customer_orders!A:A,customer_orders!D:D)</f>
        <v>Shopify</v>
      </c>
      <c r="N1088" t="str">
        <f>_xlfn.XLOOKUP(C1088,inventory!B:B,inventory!C:C)</f>
        <v>Draper</v>
      </c>
      <c r="O1088">
        <f>IF(_xlfn.XLOOKUP(C1088,products!A:A,products!E:E)="NULL",0,_xlfn.XLOOKUP(C1088,products!A:A,products!E:E))</f>
        <v>135.13999999999999</v>
      </c>
      <c r="P1088">
        <f t="shared" si="50"/>
        <v>465.98</v>
      </c>
      <c r="Q1088" s="2" t="str">
        <f>_xlfn.XLOOKUP(I1088,products!B:B,products!D:D)</f>
        <v>Pet</v>
      </c>
    </row>
    <row r="1089" spans="1:17">
      <c r="A1089">
        <v>1088</v>
      </c>
      <c r="B1089">
        <v>1440</v>
      </c>
      <c r="C1089">
        <v>8</v>
      </c>
      <c r="D1089">
        <v>5</v>
      </c>
      <c r="E1089">
        <v>118.07</v>
      </c>
      <c r="F1089">
        <v>0</v>
      </c>
      <c r="G1089">
        <f t="shared" si="48"/>
        <v>590.34999999999991</v>
      </c>
      <c r="H1089" t="str">
        <f>_xlfn.XLOOKUP(B1089,customer_orders!A:A,customer_orders!F:F)</f>
        <v>2026-05</v>
      </c>
      <c r="I1089" t="str">
        <f>_xlfn.XLOOKUP(C1089,products!A:A,products!B:B)</f>
        <v>SKU-0008</v>
      </c>
      <c r="J1089" t="str">
        <f>_xlfn.XLOOKUP(B1089,customer_orders!A:A,customer_orders!G:G)</f>
        <v>2026-w19</v>
      </c>
      <c r="K1089">
        <f>IFERROR(_xlfn.XLOOKUP(B1089,shipments!B:B,shipments!H:H),0)</f>
        <v>51.7</v>
      </c>
      <c r="L1089">
        <f t="shared" si="49"/>
        <v>0.09</v>
      </c>
      <c r="M1089" t="str">
        <f>_xlfn.XLOOKUP(B1089,customer_orders!A:A,customer_orders!D:D)</f>
        <v>Walmart</v>
      </c>
      <c r="N1089" t="str">
        <f>_xlfn.XLOOKUP(C1089,inventory!B:B,inventory!C:C)</f>
        <v>Salt Lake City</v>
      </c>
      <c r="O1089">
        <f>IF(_xlfn.XLOOKUP(C1089,products!A:A,products!E:E)="NULL",0,_xlfn.XLOOKUP(C1089,products!A:A,products!E:E))</f>
        <v>159.94999999999999</v>
      </c>
      <c r="P1089">
        <f t="shared" si="50"/>
        <v>430.39999999999992</v>
      </c>
      <c r="Q1089" s="2" t="str">
        <f>_xlfn.XLOOKUP(I1089,products!B:B,products!D:D)</f>
        <v>Sports</v>
      </c>
    </row>
    <row r="1090" spans="1:17">
      <c r="A1090">
        <v>1089</v>
      </c>
      <c r="B1090">
        <v>1440</v>
      </c>
      <c r="C1090">
        <v>105</v>
      </c>
      <c r="D1090">
        <v>1</v>
      </c>
      <c r="E1090">
        <v>288.82</v>
      </c>
      <c r="F1090">
        <v>0</v>
      </c>
      <c r="G1090">
        <f t="shared" si="48"/>
        <v>288.82</v>
      </c>
      <c r="H1090" t="str">
        <f>_xlfn.XLOOKUP(B1090,customer_orders!A:A,customer_orders!F:F)</f>
        <v>2026-05</v>
      </c>
      <c r="I1090" t="str">
        <f>_xlfn.XLOOKUP(C1090,products!A:A,products!B:B)</f>
        <v>SKU-0105</v>
      </c>
      <c r="J1090" t="str">
        <f>_xlfn.XLOOKUP(B1090,customer_orders!A:A,customer_orders!G:G)</f>
        <v>2026-w19</v>
      </c>
      <c r="K1090">
        <f>IFERROR(_xlfn.XLOOKUP(B1090,shipments!B:B,shipments!H:H),0)</f>
        <v>51.7</v>
      </c>
      <c r="L1090">
        <f t="shared" si="49"/>
        <v>0.18</v>
      </c>
      <c r="M1090" t="str">
        <f>_xlfn.XLOOKUP(B1090,customer_orders!A:A,customer_orders!D:D)</f>
        <v>Walmart</v>
      </c>
      <c r="N1090" t="str">
        <f>_xlfn.XLOOKUP(C1090,inventory!B:B,inventory!C:C)</f>
        <v>West Valley</v>
      </c>
      <c r="O1090">
        <f>IF(_xlfn.XLOOKUP(C1090,products!A:A,products!E:E)="NULL",0,_xlfn.XLOOKUP(C1090,products!A:A,products!E:E))</f>
        <v>23.47</v>
      </c>
      <c r="P1090">
        <f t="shared" si="50"/>
        <v>265.35000000000002</v>
      </c>
      <c r="Q1090" s="2" t="str">
        <f>_xlfn.XLOOKUP(I1090,products!B:B,products!D:D)</f>
        <v>Office</v>
      </c>
    </row>
    <row r="1091" spans="1:17">
      <c r="A1091">
        <v>1090</v>
      </c>
      <c r="B1091">
        <v>1441</v>
      </c>
      <c r="C1091">
        <v>87</v>
      </c>
      <c r="D1091">
        <v>1</v>
      </c>
      <c r="E1091">
        <v>124.17</v>
      </c>
      <c r="F1091">
        <v>5.32</v>
      </c>
      <c r="G1091">
        <f t="shared" ref="G1091:G1109" si="51">E1091*D1091-F1091</f>
        <v>118.85</v>
      </c>
      <c r="H1091" t="str">
        <f>_xlfn.XLOOKUP(B1091,customer_orders!A:A,customer_orders!F:F)</f>
        <v>2026-01</v>
      </c>
      <c r="I1091" t="str">
        <f>_xlfn.XLOOKUP(C1091,products!A:A,products!B:B)</f>
        <v>SKU-0087</v>
      </c>
      <c r="J1091" t="str">
        <f>_xlfn.XLOOKUP(B1091,customer_orders!A:A,customer_orders!G:G)</f>
        <v>2026-w03</v>
      </c>
      <c r="K1091">
        <f>IFERROR(_xlfn.XLOOKUP(B1091,shipments!B:B,shipments!H:H),0)</f>
        <v>0</v>
      </c>
      <c r="L1091">
        <f t="shared" ref="L1091:L1109" si="52">ROUND(K1091/G1091,2)</f>
        <v>0</v>
      </c>
      <c r="M1091" t="str">
        <f>_xlfn.XLOOKUP(B1091,customer_orders!A:A,customer_orders!D:D)</f>
        <v>Walmart</v>
      </c>
      <c r="N1091" t="str">
        <f>_xlfn.XLOOKUP(C1091,inventory!B:B,inventory!C:C)</f>
        <v>Unknown</v>
      </c>
      <c r="O1091">
        <f>IF(_xlfn.XLOOKUP(C1091,products!A:A,products!E:E)="NULL",0,_xlfn.XLOOKUP(C1091,products!A:A,products!E:E))</f>
        <v>31.4</v>
      </c>
      <c r="P1091">
        <f t="shared" ref="P1091:P1109" si="53">G1091-O1091</f>
        <v>87.449999999999989</v>
      </c>
      <c r="Q1091" s="2" t="str">
        <f>_xlfn.XLOOKUP(I1091,products!B:B,products!D:D)</f>
        <v>Home</v>
      </c>
    </row>
    <row r="1092" spans="1:17">
      <c r="A1092">
        <v>1091</v>
      </c>
      <c r="B1092">
        <v>1441</v>
      </c>
      <c r="C1092">
        <v>57</v>
      </c>
      <c r="D1092">
        <v>3</v>
      </c>
      <c r="E1092">
        <v>266.69</v>
      </c>
      <c r="F1092">
        <v>0</v>
      </c>
      <c r="G1092">
        <f t="shared" si="51"/>
        <v>800.06999999999994</v>
      </c>
      <c r="H1092" t="str">
        <f>_xlfn.XLOOKUP(B1092,customer_orders!A:A,customer_orders!F:F)</f>
        <v>2026-01</v>
      </c>
      <c r="I1092" t="str">
        <f>_xlfn.XLOOKUP(C1092,products!A:A,products!B:B)</f>
        <v>SKU-0057</v>
      </c>
      <c r="J1092" t="str">
        <f>_xlfn.XLOOKUP(B1092,customer_orders!A:A,customer_orders!G:G)</f>
        <v>2026-w03</v>
      </c>
      <c r="K1092">
        <f>IFERROR(_xlfn.XLOOKUP(B1092,shipments!B:B,shipments!H:H),0)</f>
        <v>0</v>
      </c>
      <c r="L1092">
        <f t="shared" si="52"/>
        <v>0</v>
      </c>
      <c r="M1092" t="str">
        <f>_xlfn.XLOOKUP(B1092,customer_orders!A:A,customer_orders!D:D)</f>
        <v>Walmart</v>
      </c>
      <c r="N1092" t="str">
        <f>_xlfn.XLOOKUP(C1092,inventory!B:B,inventory!C:C)</f>
        <v>South Jordan</v>
      </c>
      <c r="O1092">
        <f>IF(_xlfn.XLOOKUP(C1092,products!A:A,products!E:E)="NULL",0,_xlfn.XLOOKUP(C1092,products!A:A,products!E:E))</f>
        <v>18.170000000000002</v>
      </c>
      <c r="P1092">
        <f t="shared" si="53"/>
        <v>781.9</v>
      </c>
      <c r="Q1092" s="2" t="str">
        <f>_xlfn.XLOOKUP(I1092,products!B:B,products!D:D)</f>
        <v>Electronics</v>
      </c>
    </row>
    <row r="1093" spans="1:17">
      <c r="A1093">
        <v>1092</v>
      </c>
      <c r="B1093">
        <v>1442</v>
      </c>
      <c r="C1093">
        <v>6</v>
      </c>
      <c r="D1093">
        <v>7</v>
      </c>
      <c r="E1093">
        <v>256.54000000000002</v>
      </c>
      <c r="F1093">
        <v>0</v>
      </c>
      <c r="G1093">
        <f t="shared" si="51"/>
        <v>1795.7800000000002</v>
      </c>
      <c r="H1093" t="str">
        <f>_xlfn.XLOOKUP(B1093,customer_orders!A:A,customer_orders!F:F)</f>
        <v>2026-03</v>
      </c>
      <c r="I1093" t="str">
        <f>_xlfn.XLOOKUP(C1093,products!A:A,products!B:B)</f>
        <v>SKU-0006</v>
      </c>
      <c r="J1093" t="str">
        <f>_xlfn.XLOOKUP(B1093,customer_orders!A:A,customer_orders!G:G)</f>
        <v>2026-w13</v>
      </c>
      <c r="K1093">
        <f>IFERROR(_xlfn.XLOOKUP(B1093,shipments!B:B,shipments!H:H),0)</f>
        <v>79.97</v>
      </c>
      <c r="L1093">
        <f t="shared" si="52"/>
        <v>0.04</v>
      </c>
      <c r="M1093" t="str">
        <f>_xlfn.XLOOKUP(B1093,customer_orders!A:A,customer_orders!D:D)</f>
        <v>Amazon</v>
      </c>
      <c r="N1093" t="str">
        <f>_xlfn.XLOOKUP(C1093,inventory!B:B,inventory!C:C)</f>
        <v>South Jordan</v>
      </c>
      <c r="O1093">
        <f>IF(_xlfn.XLOOKUP(C1093,products!A:A,products!E:E)="NULL",0,_xlfn.XLOOKUP(C1093,products!A:A,products!E:E))</f>
        <v>21.93</v>
      </c>
      <c r="P1093">
        <f t="shared" si="53"/>
        <v>1773.8500000000001</v>
      </c>
      <c r="Q1093" s="2" t="str">
        <f>_xlfn.XLOOKUP(I1093,products!B:B,products!D:D)</f>
        <v>Home</v>
      </c>
    </row>
    <row r="1094" spans="1:17">
      <c r="A1094">
        <v>1093</v>
      </c>
      <c r="B1094">
        <v>1443</v>
      </c>
      <c r="C1094">
        <v>96</v>
      </c>
      <c r="D1094">
        <v>6</v>
      </c>
      <c r="E1094">
        <v>252.1</v>
      </c>
      <c r="F1094">
        <v>0</v>
      </c>
      <c r="G1094">
        <f t="shared" si="51"/>
        <v>1512.6</v>
      </c>
      <c r="H1094" t="str">
        <f>_xlfn.XLOOKUP(B1094,customer_orders!A:A,customer_orders!F:F)</f>
        <v>2026-04</v>
      </c>
      <c r="I1094" t="str">
        <f>_xlfn.XLOOKUP(C1094,products!A:A,products!B:B)</f>
        <v>SKU-0096</v>
      </c>
      <c r="J1094" t="str">
        <f>_xlfn.XLOOKUP(B1094,customer_orders!A:A,customer_orders!G:G)</f>
        <v>2026-w16</v>
      </c>
      <c r="K1094">
        <f>IFERROR(_xlfn.XLOOKUP(B1094,shipments!B:B,shipments!H:H),0)</f>
        <v>8.91</v>
      </c>
      <c r="L1094">
        <f t="shared" si="52"/>
        <v>0.01</v>
      </c>
      <c r="M1094" t="str">
        <f>_xlfn.XLOOKUP(B1094,customer_orders!A:A,customer_orders!D:D)</f>
        <v>Shopify</v>
      </c>
      <c r="N1094" t="str">
        <f>_xlfn.XLOOKUP(C1094,inventory!B:B,inventory!C:C)</f>
        <v>Unknown</v>
      </c>
      <c r="O1094">
        <f>IF(_xlfn.XLOOKUP(C1094,products!A:A,products!E:E)="NULL",0,_xlfn.XLOOKUP(C1094,products!A:A,products!E:E))</f>
        <v>136.6</v>
      </c>
      <c r="P1094">
        <f t="shared" si="53"/>
        <v>1376</v>
      </c>
      <c r="Q1094" s="2" t="str">
        <f>_xlfn.XLOOKUP(I1094,products!B:B,products!D:D)</f>
        <v>Office</v>
      </c>
    </row>
    <row r="1095" spans="1:17">
      <c r="A1095">
        <v>1094</v>
      </c>
      <c r="B1095">
        <v>1443</v>
      </c>
      <c r="C1095">
        <v>4</v>
      </c>
      <c r="D1095">
        <v>1</v>
      </c>
      <c r="E1095">
        <v>94.28</v>
      </c>
      <c r="F1095">
        <v>0</v>
      </c>
      <c r="G1095">
        <f t="shared" si="51"/>
        <v>94.28</v>
      </c>
      <c r="H1095" t="str">
        <f>_xlfn.XLOOKUP(B1095,customer_orders!A:A,customer_orders!F:F)</f>
        <v>2026-04</v>
      </c>
      <c r="I1095" t="str">
        <f>_xlfn.XLOOKUP(C1095,products!A:A,products!B:B)</f>
        <v>SKU-0004</v>
      </c>
      <c r="J1095" t="str">
        <f>_xlfn.XLOOKUP(B1095,customer_orders!A:A,customer_orders!G:G)</f>
        <v>2026-w16</v>
      </c>
      <c r="K1095">
        <f>IFERROR(_xlfn.XLOOKUP(B1095,shipments!B:B,shipments!H:H),0)</f>
        <v>8.91</v>
      </c>
      <c r="L1095">
        <f t="shared" si="52"/>
        <v>0.09</v>
      </c>
      <c r="M1095" t="str">
        <f>_xlfn.XLOOKUP(B1095,customer_orders!A:A,customer_orders!D:D)</f>
        <v>Shopify</v>
      </c>
      <c r="N1095" t="str">
        <f>_xlfn.XLOOKUP(C1095,inventory!B:B,inventory!C:C)</f>
        <v>Draper</v>
      </c>
      <c r="O1095">
        <f>IF(_xlfn.XLOOKUP(C1095,products!A:A,products!E:E)="NULL",0,_xlfn.XLOOKUP(C1095,products!A:A,products!E:E))</f>
        <v>83.61</v>
      </c>
      <c r="P1095">
        <f t="shared" si="53"/>
        <v>10.670000000000002</v>
      </c>
      <c r="Q1095" s="2" t="str">
        <f>_xlfn.XLOOKUP(I1095,products!B:B,products!D:D)</f>
        <v>Office</v>
      </c>
    </row>
    <row r="1096" spans="1:17">
      <c r="A1096">
        <v>1095</v>
      </c>
      <c r="B1096">
        <v>1444</v>
      </c>
      <c r="C1096">
        <v>103</v>
      </c>
      <c r="D1096">
        <v>3</v>
      </c>
      <c r="E1096">
        <v>241.92</v>
      </c>
      <c r="F1096">
        <v>0</v>
      </c>
      <c r="G1096">
        <f t="shared" si="51"/>
        <v>725.76</v>
      </c>
      <c r="H1096" t="str">
        <f>_xlfn.XLOOKUP(B1096,customer_orders!A:A,customer_orders!F:F)</f>
        <v>2026-01</v>
      </c>
      <c r="I1096" t="str">
        <f>_xlfn.XLOOKUP(C1096,products!A:A,products!B:B)</f>
        <v>SKU-0103</v>
      </c>
      <c r="J1096" t="str">
        <f>_xlfn.XLOOKUP(B1096,customer_orders!A:A,customer_orders!G:G)</f>
        <v>2026-w02</v>
      </c>
      <c r="K1096">
        <f>IFERROR(_xlfn.XLOOKUP(B1096,shipments!B:B,shipments!H:H),0)</f>
        <v>0</v>
      </c>
      <c r="L1096">
        <f t="shared" si="52"/>
        <v>0</v>
      </c>
      <c r="M1096" t="str">
        <f>_xlfn.XLOOKUP(B1096,customer_orders!A:A,customer_orders!D:D)</f>
        <v>Shopify</v>
      </c>
      <c r="N1096" t="str">
        <f>_xlfn.XLOOKUP(C1096,inventory!B:B,inventory!C:C)</f>
        <v>Draper</v>
      </c>
      <c r="O1096">
        <f>IF(_xlfn.XLOOKUP(C1096,products!A:A,products!E:E)="NULL",0,_xlfn.XLOOKUP(C1096,products!A:A,products!E:E))</f>
        <v>145.97</v>
      </c>
      <c r="P1096">
        <f t="shared" si="53"/>
        <v>579.79</v>
      </c>
      <c r="Q1096" s="2" t="str">
        <f>_xlfn.XLOOKUP(I1096,products!B:B,products!D:D)</f>
        <v>Sports</v>
      </c>
    </row>
    <row r="1097" spans="1:17">
      <c r="A1097">
        <v>1096</v>
      </c>
      <c r="B1097">
        <v>1444</v>
      </c>
      <c r="C1097">
        <v>22</v>
      </c>
      <c r="D1097">
        <v>2</v>
      </c>
      <c r="E1097">
        <v>159.69</v>
      </c>
      <c r="F1097">
        <v>2.0299999999999998</v>
      </c>
      <c r="G1097">
        <f t="shared" si="51"/>
        <v>317.35000000000002</v>
      </c>
      <c r="H1097" t="str">
        <f>_xlfn.XLOOKUP(B1097,customer_orders!A:A,customer_orders!F:F)</f>
        <v>2026-01</v>
      </c>
      <c r="I1097" t="str">
        <f>_xlfn.XLOOKUP(C1097,products!A:A,products!B:B)</f>
        <v>SKU-0022</v>
      </c>
      <c r="J1097" t="str">
        <f>_xlfn.XLOOKUP(B1097,customer_orders!A:A,customer_orders!G:G)</f>
        <v>2026-w02</v>
      </c>
      <c r="K1097">
        <f>IFERROR(_xlfn.XLOOKUP(B1097,shipments!B:B,shipments!H:H),0)</f>
        <v>0</v>
      </c>
      <c r="L1097">
        <f t="shared" si="52"/>
        <v>0</v>
      </c>
      <c r="M1097" t="str">
        <f>_xlfn.XLOOKUP(B1097,customer_orders!A:A,customer_orders!D:D)</f>
        <v>Shopify</v>
      </c>
      <c r="N1097" t="str">
        <f>_xlfn.XLOOKUP(C1097,inventory!B:B,inventory!C:C)</f>
        <v>Lehi</v>
      </c>
      <c r="O1097">
        <f>IF(_xlfn.XLOOKUP(C1097,products!A:A,products!E:E)="NULL",0,_xlfn.XLOOKUP(C1097,products!A:A,products!E:E))</f>
        <v>138.34</v>
      </c>
      <c r="P1097">
        <f t="shared" si="53"/>
        <v>179.01000000000002</v>
      </c>
      <c r="Q1097" s="2" t="str">
        <f>_xlfn.XLOOKUP(I1097,products!B:B,products!D:D)</f>
        <v>Sports</v>
      </c>
    </row>
    <row r="1098" spans="1:17">
      <c r="A1098">
        <v>1097</v>
      </c>
      <c r="B1098">
        <v>1444</v>
      </c>
      <c r="C1098">
        <v>6</v>
      </c>
      <c r="D1098">
        <v>1</v>
      </c>
      <c r="E1098">
        <v>256.54000000000002</v>
      </c>
      <c r="F1098">
        <v>0</v>
      </c>
      <c r="G1098">
        <f t="shared" si="51"/>
        <v>256.54000000000002</v>
      </c>
      <c r="H1098" t="str">
        <f>_xlfn.XLOOKUP(B1098,customer_orders!A:A,customer_orders!F:F)</f>
        <v>2026-01</v>
      </c>
      <c r="I1098" t="str">
        <f>_xlfn.XLOOKUP(C1098,products!A:A,products!B:B)</f>
        <v>SKU-0006</v>
      </c>
      <c r="J1098" t="str">
        <f>_xlfn.XLOOKUP(B1098,customer_orders!A:A,customer_orders!G:G)</f>
        <v>2026-w02</v>
      </c>
      <c r="K1098">
        <f>IFERROR(_xlfn.XLOOKUP(B1098,shipments!B:B,shipments!H:H),0)</f>
        <v>0</v>
      </c>
      <c r="L1098">
        <f t="shared" si="52"/>
        <v>0</v>
      </c>
      <c r="M1098" t="str">
        <f>_xlfn.XLOOKUP(B1098,customer_orders!A:A,customer_orders!D:D)</f>
        <v>Shopify</v>
      </c>
      <c r="N1098" t="str">
        <f>_xlfn.XLOOKUP(C1098,inventory!B:B,inventory!C:C)</f>
        <v>South Jordan</v>
      </c>
      <c r="O1098">
        <f>IF(_xlfn.XLOOKUP(C1098,products!A:A,products!E:E)="NULL",0,_xlfn.XLOOKUP(C1098,products!A:A,products!E:E))</f>
        <v>21.93</v>
      </c>
      <c r="P1098">
        <f t="shared" si="53"/>
        <v>234.61</v>
      </c>
      <c r="Q1098" s="2" t="str">
        <f>_xlfn.XLOOKUP(I1098,products!B:B,products!D:D)</f>
        <v>Home</v>
      </c>
    </row>
    <row r="1099" spans="1:17">
      <c r="A1099">
        <v>1098</v>
      </c>
      <c r="B1099">
        <v>1444</v>
      </c>
      <c r="C1099">
        <v>25</v>
      </c>
      <c r="D1099">
        <v>7</v>
      </c>
      <c r="E1099">
        <v>265.23</v>
      </c>
      <c r="F1099">
        <v>0</v>
      </c>
      <c r="G1099">
        <f t="shared" si="51"/>
        <v>1856.6100000000001</v>
      </c>
      <c r="H1099" t="str">
        <f>_xlfn.XLOOKUP(B1099,customer_orders!A:A,customer_orders!F:F)</f>
        <v>2026-01</v>
      </c>
      <c r="I1099" t="str">
        <f>_xlfn.XLOOKUP(C1099,products!A:A,products!B:B)</f>
        <v>SKU-0025</v>
      </c>
      <c r="J1099" t="str">
        <f>_xlfn.XLOOKUP(B1099,customer_orders!A:A,customer_orders!G:G)</f>
        <v>2026-w02</v>
      </c>
      <c r="K1099">
        <f>IFERROR(_xlfn.XLOOKUP(B1099,shipments!B:B,shipments!H:H),0)</f>
        <v>0</v>
      </c>
      <c r="L1099">
        <f t="shared" si="52"/>
        <v>0</v>
      </c>
      <c r="M1099" t="str">
        <f>_xlfn.XLOOKUP(B1099,customer_orders!A:A,customer_orders!D:D)</f>
        <v>Shopify</v>
      </c>
      <c r="N1099" t="str">
        <f>_xlfn.XLOOKUP(C1099,inventory!B:B,inventory!C:C)</f>
        <v>Salt Lake City</v>
      </c>
      <c r="O1099">
        <f>IF(_xlfn.XLOOKUP(C1099,products!A:A,products!E:E)="NULL",0,_xlfn.XLOOKUP(C1099,products!A:A,products!E:E))</f>
        <v>15.14</v>
      </c>
      <c r="P1099">
        <f t="shared" si="53"/>
        <v>1841.47</v>
      </c>
      <c r="Q1099" s="2" t="str">
        <f>_xlfn.XLOOKUP(I1099,products!B:B,products!D:D)</f>
        <v>Sports</v>
      </c>
    </row>
    <row r="1100" spans="1:17">
      <c r="A1100">
        <v>1099</v>
      </c>
      <c r="B1100">
        <v>1445</v>
      </c>
      <c r="C1100">
        <v>71</v>
      </c>
      <c r="D1100">
        <v>8</v>
      </c>
      <c r="E1100">
        <v>277.42</v>
      </c>
      <c r="F1100">
        <v>0</v>
      </c>
      <c r="G1100">
        <f t="shared" si="51"/>
        <v>2219.36</v>
      </c>
      <c r="H1100" t="str">
        <f>_xlfn.XLOOKUP(B1100,customer_orders!A:A,customer_orders!F:F)</f>
        <v>2026-04</v>
      </c>
      <c r="I1100" t="str">
        <f>_xlfn.XLOOKUP(C1100,products!A:A,products!B:B)</f>
        <v>SKU-0071</v>
      </c>
      <c r="J1100" t="str">
        <f>_xlfn.XLOOKUP(B1100,customer_orders!A:A,customer_orders!G:G)</f>
        <v>2026-w17</v>
      </c>
      <c r="K1100">
        <f>IFERROR(_xlfn.XLOOKUP(B1100,shipments!B:B,shipments!H:H),0)</f>
        <v>62.76</v>
      </c>
      <c r="L1100">
        <f t="shared" si="52"/>
        <v>0.03</v>
      </c>
      <c r="M1100" t="str">
        <f>_xlfn.XLOOKUP(B1100,customer_orders!A:A,customer_orders!D:D)</f>
        <v>Shopify</v>
      </c>
      <c r="N1100" t="str">
        <f>_xlfn.XLOOKUP(C1100,inventory!B:B,inventory!C:C)</f>
        <v>West Valley</v>
      </c>
      <c r="O1100">
        <f>IF(_xlfn.XLOOKUP(C1100,products!A:A,products!E:E)="NULL",0,_xlfn.XLOOKUP(C1100,products!A:A,products!E:E))</f>
        <v>171.05</v>
      </c>
      <c r="P1100">
        <f t="shared" si="53"/>
        <v>2048.31</v>
      </c>
      <c r="Q1100" s="2" t="str">
        <f>_xlfn.XLOOKUP(I1100,products!B:B,products!D:D)</f>
        <v>Office</v>
      </c>
    </row>
    <row r="1101" spans="1:17">
      <c r="A1101">
        <v>1100</v>
      </c>
      <c r="B1101">
        <v>1445</v>
      </c>
      <c r="C1101">
        <v>148</v>
      </c>
      <c r="D1101">
        <v>8</v>
      </c>
      <c r="E1101">
        <v>124.32</v>
      </c>
      <c r="F1101">
        <v>6.27</v>
      </c>
      <c r="G1101">
        <f t="shared" si="51"/>
        <v>988.29</v>
      </c>
      <c r="H1101" t="str">
        <f>_xlfn.XLOOKUP(B1101,customer_orders!A:A,customer_orders!F:F)</f>
        <v>2026-04</v>
      </c>
      <c r="I1101" t="str">
        <f>_xlfn.XLOOKUP(C1101,products!A:A,products!B:B)</f>
        <v>SKU0148</v>
      </c>
      <c r="J1101" t="str">
        <f>_xlfn.XLOOKUP(B1101,customer_orders!A:A,customer_orders!G:G)</f>
        <v>2026-w17</v>
      </c>
      <c r="K1101">
        <f>IFERROR(_xlfn.XLOOKUP(B1101,shipments!B:B,shipments!H:H),0)</f>
        <v>62.76</v>
      </c>
      <c r="L1101">
        <f t="shared" si="52"/>
        <v>0.06</v>
      </c>
      <c r="M1101" t="str">
        <f>_xlfn.XLOOKUP(B1101,customer_orders!A:A,customer_orders!D:D)</f>
        <v>Shopify</v>
      </c>
      <c r="N1101" t="str">
        <f>_xlfn.XLOOKUP(C1101,inventory!B:B,inventory!C:C)</f>
        <v>Draper</v>
      </c>
      <c r="O1101">
        <f>IF(_xlfn.XLOOKUP(C1101,products!A:A,products!E:E)="NULL",0,_xlfn.XLOOKUP(C1101,products!A:A,products!E:E))</f>
        <v>101.47</v>
      </c>
      <c r="P1101">
        <f t="shared" si="53"/>
        <v>886.81999999999994</v>
      </c>
      <c r="Q1101" s="2" t="str">
        <f>_xlfn.XLOOKUP(I1101,products!B:B,products!D:D)</f>
        <v>Beauty</v>
      </c>
    </row>
    <row r="1102" spans="1:17">
      <c r="A1102">
        <v>1101</v>
      </c>
      <c r="B1102">
        <v>1445</v>
      </c>
      <c r="C1102">
        <v>24</v>
      </c>
      <c r="D1102">
        <v>4</v>
      </c>
      <c r="E1102">
        <v>20.55</v>
      </c>
      <c r="F1102">
        <v>0</v>
      </c>
      <c r="G1102">
        <f t="shared" si="51"/>
        <v>82.2</v>
      </c>
      <c r="H1102" t="str">
        <f>_xlfn.XLOOKUP(B1102,customer_orders!A:A,customer_orders!F:F)</f>
        <v>2026-04</v>
      </c>
      <c r="I1102" t="str">
        <f>_xlfn.XLOOKUP(C1102,products!A:A,products!B:B)</f>
        <v>SKU-0024</v>
      </c>
      <c r="J1102" t="str">
        <f>_xlfn.XLOOKUP(B1102,customer_orders!A:A,customer_orders!G:G)</f>
        <v>2026-w17</v>
      </c>
      <c r="K1102">
        <f>IFERROR(_xlfn.XLOOKUP(B1102,shipments!B:B,shipments!H:H),0)</f>
        <v>62.76</v>
      </c>
      <c r="L1102">
        <f t="shared" si="52"/>
        <v>0.76</v>
      </c>
      <c r="M1102" t="str">
        <f>_xlfn.XLOOKUP(B1102,customer_orders!A:A,customer_orders!D:D)</f>
        <v>Shopify</v>
      </c>
      <c r="N1102" t="str">
        <f>_xlfn.XLOOKUP(C1102,inventory!B:B,inventory!C:C)</f>
        <v>Draper</v>
      </c>
      <c r="O1102">
        <f>IF(_xlfn.XLOOKUP(C1102,products!A:A,products!E:E)="NULL",0,_xlfn.XLOOKUP(C1102,products!A:A,products!E:E))</f>
        <v>61.73</v>
      </c>
      <c r="P1102">
        <f t="shared" si="53"/>
        <v>20.470000000000006</v>
      </c>
      <c r="Q1102" s="2" t="str">
        <f>_xlfn.XLOOKUP(I1102,products!B:B,products!D:D)</f>
        <v>Electronics</v>
      </c>
    </row>
    <row r="1103" spans="1:17">
      <c r="A1103">
        <v>1102</v>
      </c>
      <c r="B1103">
        <v>1446</v>
      </c>
      <c r="C1103">
        <v>102</v>
      </c>
      <c r="D1103">
        <v>4</v>
      </c>
      <c r="E1103">
        <v>71.52</v>
      </c>
      <c r="F1103">
        <v>7.26</v>
      </c>
      <c r="G1103">
        <f t="shared" si="51"/>
        <v>278.82</v>
      </c>
      <c r="H1103" t="str">
        <f>_xlfn.XLOOKUP(B1103,customer_orders!A:A,customer_orders!F:F)</f>
        <v>2026-01</v>
      </c>
      <c r="I1103" t="str">
        <f>_xlfn.XLOOKUP(C1103,products!A:A,products!B:B)</f>
        <v>SKU-0102</v>
      </c>
      <c r="J1103" t="str">
        <f>_xlfn.XLOOKUP(B1103,customer_orders!A:A,customer_orders!G:G)</f>
        <v>2026-w05</v>
      </c>
      <c r="K1103">
        <f>IFERROR(_xlfn.XLOOKUP(B1103,shipments!B:B,shipments!H:H),0)</f>
        <v>42.56</v>
      </c>
      <c r="L1103">
        <f t="shared" si="52"/>
        <v>0.15</v>
      </c>
      <c r="M1103" t="str">
        <f>_xlfn.XLOOKUP(B1103,customer_orders!A:A,customer_orders!D:D)</f>
        <v>Shopify</v>
      </c>
      <c r="N1103" t="str">
        <f>_xlfn.XLOOKUP(C1103,inventory!B:B,inventory!C:C)</f>
        <v>West Valley</v>
      </c>
      <c r="O1103">
        <f>IF(_xlfn.XLOOKUP(C1103,products!A:A,products!E:E)="NULL",0,_xlfn.XLOOKUP(C1103,products!A:A,products!E:E))</f>
        <v>169.76</v>
      </c>
      <c r="P1103">
        <f t="shared" si="53"/>
        <v>109.06</v>
      </c>
      <c r="Q1103" s="2" t="str">
        <f>_xlfn.XLOOKUP(I1103,products!B:B,products!D:D)</f>
        <v>Office</v>
      </c>
    </row>
    <row r="1104" spans="1:17">
      <c r="A1104">
        <v>1103</v>
      </c>
      <c r="B1104">
        <v>1447</v>
      </c>
      <c r="C1104">
        <v>22</v>
      </c>
      <c r="D1104">
        <v>3</v>
      </c>
      <c r="E1104">
        <v>159.69</v>
      </c>
      <c r="F1104">
        <v>6.64</v>
      </c>
      <c r="G1104">
        <f t="shared" si="51"/>
        <v>472.43</v>
      </c>
      <c r="H1104" t="str">
        <f>_xlfn.XLOOKUP(B1104,customer_orders!A:A,customer_orders!F:F)</f>
        <v>2026-02</v>
      </c>
      <c r="I1104" t="str">
        <f>_xlfn.XLOOKUP(C1104,products!A:A,products!B:B)</f>
        <v>SKU-0022</v>
      </c>
      <c r="J1104" t="str">
        <f>_xlfn.XLOOKUP(B1104,customer_orders!A:A,customer_orders!G:G)</f>
        <v>2026-w07</v>
      </c>
      <c r="K1104">
        <f>IFERROR(_xlfn.XLOOKUP(B1104,shipments!B:B,shipments!H:H),0)</f>
        <v>89.9</v>
      </c>
      <c r="L1104">
        <f t="shared" si="52"/>
        <v>0.19</v>
      </c>
      <c r="M1104" t="str">
        <f>_xlfn.XLOOKUP(B1104,customer_orders!A:A,customer_orders!D:D)</f>
        <v>Walmart</v>
      </c>
      <c r="N1104" t="str">
        <f>_xlfn.XLOOKUP(C1104,inventory!B:B,inventory!C:C)</f>
        <v>Lehi</v>
      </c>
      <c r="O1104">
        <f>IF(_xlfn.XLOOKUP(C1104,products!A:A,products!E:E)="NULL",0,_xlfn.XLOOKUP(C1104,products!A:A,products!E:E))</f>
        <v>138.34</v>
      </c>
      <c r="P1104">
        <f t="shared" si="53"/>
        <v>334.09000000000003</v>
      </c>
      <c r="Q1104" s="2" t="str">
        <f>_xlfn.XLOOKUP(I1104,products!B:B,products!D:D)</f>
        <v>Sports</v>
      </c>
    </row>
    <row r="1105" spans="1:17">
      <c r="A1105">
        <v>1104</v>
      </c>
      <c r="B1105">
        <v>1447</v>
      </c>
      <c r="C1105">
        <v>134</v>
      </c>
      <c r="D1105">
        <v>4</v>
      </c>
      <c r="E1105">
        <v>26.36</v>
      </c>
      <c r="F1105">
        <v>1.83</v>
      </c>
      <c r="G1105">
        <f t="shared" si="51"/>
        <v>103.61</v>
      </c>
      <c r="H1105" t="str">
        <f>_xlfn.XLOOKUP(B1105,customer_orders!A:A,customer_orders!F:F)</f>
        <v>2026-02</v>
      </c>
      <c r="I1105" t="str">
        <f>_xlfn.XLOOKUP(C1105,products!A:A,products!B:B)</f>
        <v>SKU-0134</v>
      </c>
      <c r="J1105" t="str">
        <f>_xlfn.XLOOKUP(B1105,customer_orders!A:A,customer_orders!G:G)</f>
        <v>2026-w07</v>
      </c>
      <c r="K1105">
        <f>IFERROR(_xlfn.XLOOKUP(B1105,shipments!B:B,shipments!H:H),0)</f>
        <v>89.9</v>
      </c>
      <c r="L1105">
        <f t="shared" si="52"/>
        <v>0.87</v>
      </c>
      <c r="M1105" t="str">
        <f>_xlfn.XLOOKUP(B1105,customer_orders!A:A,customer_orders!D:D)</f>
        <v>Walmart</v>
      </c>
      <c r="N1105" t="str">
        <f>_xlfn.XLOOKUP(C1105,inventory!B:B,inventory!C:C)</f>
        <v>Draper</v>
      </c>
      <c r="O1105">
        <f>IF(_xlfn.XLOOKUP(C1105,products!A:A,products!E:E)="NULL",0,_xlfn.XLOOKUP(C1105,products!A:A,products!E:E))</f>
        <v>19.079999999999998</v>
      </c>
      <c r="P1105">
        <f t="shared" si="53"/>
        <v>84.53</v>
      </c>
      <c r="Q1105" s="2" t="str">
        <f>_xlfn.XLOOKUP(I1105,products!B:B,products!D:D)</f>
        <v>Pet</v>
      </c>
    </row>
    <row r="1106" spans="1:17">
      <c r="A1106">
        <v>1105</v>
      </c>
      <c r="B1106">
        <v>1448</v>
      </c>
      <c r="C1106">
        <v>144</v>
      </c>
      <c r="D1106">
        <v>8</v>
      </c>
      <c r="E1106">
        <v>194.56</v>
      </c>
      <c r="F1106">
        <v>0</v>
      </c>
      <c r="G1106">
        <f t="shared" si="51"/>
        <v>1556.48</v>
      </c>
      <c r="H1106" t="str">
        <f>_xlfn.XLOOKUP(B1106,customer_orders!A:A,customer_orders!F:F)</f>
        <v>2026-04</v>
      </c>
      <c r="I1106" t="str">
        <f>_xlfn.XLOOKUP(C1106,products!A:A,products!B:B)</f>
        <v>SKU-0144</v>
      </c>
      <c r="J1106" t="str">
        <f>_xlfn.XLOOKUP(B1106,customer_orders!A:A,customer_orders!G:G)</f>
        <v>2026-w16</v>
      </c>
      <c r="K1106">
        <f>IFERROR(_xlfn.XLOOKUP(B1106,shipments!B:B,shipments!H:H),0)</f>
        <v>110.86</v>
      </c>
      <c r="L1106">
        <f t="shared" si="52"/>
        <v>7.0000000000000007E-2</v>
      </c>
      <c r="M1106" t="str">
        <f>_xlfn.XLOOKUP(B1106,customer_orders!A:A,customer_orders!D:D)</f>
        <v>Ebay</v>
      </c>
      <c r="N1106" t="str">
        <f>_xlfn.XLOOKUP(C1106,inventory!B:B,inventory!C:C)</f>
        <v>South Jordan</v>
      </c>
      <c r="O1106">
        <f>IF(_xlfn.XLOOKUP(C1106,products!A:A,products!E:E)="NULL",0,_xlfn.XLOOKUP(C1106,products!A:A,products!E:E))</f>
        <v>10.050000000000001</v>
      </c>
      <c r="P1106">
        <f t="shared" si="53"/>
        <v>1546.43</v>
      </c>
      <c r="Q1106" s="2" t="str">
        <f>_xlfn.XLOOKUP(I1106,products!B:B,products!D:D)</f>
        <v>Pet</v>
      </c>
    </row>
    <row r="1107" spans="1:17">
      <c r="A1107">
        <v>1106</v>
      </c>
      <c r="B1107">
        <v>1448</v>
      </c>
      <c r="C1107">
        <v>61</v>
      </c>
      <c r="D1107">
        <v>6</v>
      </c>
      <c r="E1107">
        <v>293.22000000000003</v>
      </c>
      <c r="F1107">
        <v>7.46</v>
      </c>
      <c r="G1107">
        <f t="shared" si="51"/>
        <v>1751.8600000000001</v>
      </c>
      <c r="H1107" t="str">
        <f>_xlfn.XLOOKUP(B1107,customer_orders!A:A,customer_orders!F:F)</f>
        <v>2026-04</v>
      </c>
      <c r="I1107" t="str">
        <f>_xlfn.XLOOKUP(C1107,products!A:A,products!B:B)</f>
        <v>SKU-0061</v>
      </c>
      <c r="J1107" t="str">
        <f>_xlfn.XLOOKUP(B1107,customer_orders!A:A,customer_orders!G:G)</f>
        <v>2026-w16</v>
      </c>
      <c r="K1107">
        <f>IFERROR(_xlfn.XLOOKUP(B1107,shipments!B:B,shipments!H:H),0)</f>
        <v>110.86</v>
      </c>
      <c r="L1107">
        <f t="shared" si="52"/>
        <v>0.06</v>
      </c>
      <c r="M1107" t="str">
        <f>_xlfn.XLOOKUP(B1107,customer_orders!A:A,customer_orders!D:D)</f>
        <v>Ebay</v>
      </c>
      <c r="N1107" t="str">
        <f>_xlfn.XLOOKUP(C1107,inventory!B:B,inventory!C:C)</f>
        <v>South Jordan</v>
      </c>
      <c r="O1107">
        <f>IF(_xlfn.XLOOKUP(C1107,products!A:A,products!E:E)="NULL",0,_xlfn.XLOOKUP(C1107,products!A:A,products!E:E))</f>
        <v>156.31</v>
      </c>
      <c r="P1107">
        <f t="shared" si="53"/>
        <v>1595.5500000000002</v>
      </c>
      <c r="Q1107" s="2" t="str">
        <f>_xlfn.XLOOKUP(I1107,products!B:B,products!D:D)</f>
        <v>Toys</v>
      </c>
    </row>
    <row r="1108" spans="1:17">
      <c r="A1108">
        <v>1107</v>
      </c>
      <c r="B1108">
        <v>1449</v>
      </c>
      <c r="C1108">
        <v>43</v>
      </c>
      <c r="D1108">
        <v>4</v>
      </c>
      <c r="E1108">
        <v>277.02999999999997</v>
      </c>
      <c r="F1108">
        <v>0</v>
      </c>
      <c r="G1108">
        <f t="shared" si="51"/>
        <v>1108.1199999999999</v>
      </c>
      <c r="H1108" t="str">
        <f>_xlfn.XLOOKUP(B1108,customer_orders!A:A,customer_orders!F:F)</f>
        <v>2026-01</v>
      </c>
      <c r="I1108" t="str">
        <f>_xlfn.XLOOKUP(C1108,products!A:A,products!B:B)</f>
        <v>SKU-0043</v>
      </c>
      <c r="J1108" t="str">
        <f>_xlfn.XLOOKUP(B1108,customer_orders!A:A,customer_orders!G:G)</f>
        <v>2026-w02</v>
      </c>
      <c r="K1108">
        <f>IFERROR(_xlfn.XLOOKUP(B1108,shipments!B:B,shipments!H:H),0)</f>
        <v>23.8</v>
      </c>
      <c r="L1108">
        <f t="shared" si="52"/>
        <v>0.02</v>
      </c>
      <c r="M1108" t="str">
        <f>_xlfn.XLOOKUP(B1108,customer_orders!A:A,customer_orders!D:D)</f>
        <v>Amazon</v>
      </c>
      <c r="N1108" t="str">
        <f>_xlfn.XLOOKUP(C1108,inventory!B:B,inventory!C:C)</f>
        <v>Draper</v>
      </c>
      <c r="O1108">
        <f>IF(_xlfn.XLOOKUP(C1108,products!A:A,products!E:E)="NULL",0,_xlfn.XLOOKUP(C1108,products!A:A,products!E:E))</f>
        <v>88.44</v>
      </c>
      <c r="P1108">
        <f t="shared" si="53"/>
        <v>1019.6799999999998</v>
      </c>
      <c r="Q1108" s="2" t="str">
        <f>_xlfn.XLOOKUP(I1108,products!B:B,products!D:D)</f>
        <v>Electronics</v>
      </c>
    </row>
    <row r="1109" spans="1:17">
      <c r="A1109">
        <v>1108</v>
      </c>
      <c r="B1109">
        <v>1450</v>
      </c>
      <c r="C1109">
        <v>112</v>
      </c>
      <c r="D1109">
        <v>5</v>
      </c>
      <c r="E1109">
        <v>154.88</v>
      </c>
      <c r="F1109">
        <v>0</v>
      </c>
      <c r="G1109">
        <f t="shared" si="51"/>
        <v>774.4</v>
      </c>
      <c r="H1109" t="str">
        <f>_xlfn.XLOOKUP(B1109,customer_orders!A:A,customer_orders!F:F)</f>
        <v>2026-04</v>
      </c>
      <c r="I1109" t="str">
        <f>_xlfn.XLOOKUP(C1109,products!A:A,products!B:B)</f>
        <v>SKU-0112</v>
      </c>
      <c r="J1109" t="str">
        <f>_xlfn.XLOOKUP(B1109,customer_orders!A:A,customer_orders!G:G)</f>
        <v>2026-w16</v>
      </c>
      <c r="K1109">
        <f>IFERROR(_xlfn.XLOOKUP(B1109,shipments!B:B,shipments!H:H),0)</f>
        <v>107.19</v>
      </c>
      <c r="L1109">
        <f t="shared" si="52"/>
        <v>0.14000000000000001</v>
      </c>
      <c r="M1109" t="str">
        <f>_xlfn.XLOOKUP(B1109,customer_orders!A:A,customer_orders!D:D)</f>
        <v>Amazon</v>
      </c>
      <c r="N1109" t="str">
        <f>_xlfn.XLOOKUP(C1109,inventory!B:B,inventory!C:C)</f>
        <v>South Jordan</v>
      </c>
      <c r="O1109">
        <f>IF(_xlfn.XLOOKUP(C1109,products!A:A,products!E:E)="NULL",0,_xlfn.XLOOKUP(C1109,products!A:A,products!E:E))</f>
        <v>118.03</v>
      </c>
      <c r="P1109">
        <f t="shared" si="53"/>
        <v>656.37</v>
      </c>
      <c r="Q1109" s="2" t="str">
        <f>_xlfn.XLOOKUP(I1109,products!B:B,products!D:D)</f>
        <v>Beauty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172B-3240-40B9-90DF-1026D0C8ADDB}">
  <dimension ref="A1:M154"/>
  <sheetViews>
    <sheetView workbookViewId="0">
      <selection activeCell="M2" sqref="M2"/>
    </sheetView>
  </sheetViews>
  <sheetFormatPr defaultRowHeight="15"/>
  <cols>
    <col min="1" max="1" width="12.7109375" bestFit="1" customWidth="1"/>
    <col min="2" max="2" width="9.28515625" bestFit="1" customWidth="1"/>
    <col min="3" max="3" width="24.42578125" bestFit="1" customWidth="1"/>
    <col min="4" max="4" width="10.7109375" bestFit="1" customWidth="1"/>
    <col min="5" max="5" width="15.5703125" bestFit="1" customWidth="1"/>
    <col min="6" max="6" width="14" bestFit="1" customWidth="1"/>
    <col min="7" max="7" width="12.85546875" bestFit="1" customWidth="1"/>
    <col min="8" max="8" width="12.5703125" bestFit="1" customWidth="1"/>
    <col min="9" max="9" width="17" bestFit="1" customWidth="1"/>
    <col min="10" max="10" width="19.28515625" bestFit="1" customWidth="1"/>
    <col min="11" max="11" width="11.85546875" bestFit="1" customWidth="1"/>
    <col min="12" max="12" width="12.140625" bestFit="1" customWidth="1"/>
    <col min="13" max="13" width="14.42578125" bestFit="1" customWidth="1"/>
  </cols>
  <sheetData>
    <row r="1" spans="1:13">
      <c r="A1" t="s">
        <v>125</v>
      </c>
      <c r="B1" t="s">
        <v>71</v>
      </c>
      <c r="C1" t="s">
        <v>154</v>
      </c>
      <c r="D1" t="s">
        <v>96</v>
      </c>
      <c r="E1" t="s">
        <v>152</v>
      </c>
      <c r="F1" t="s">
        <v>155</v>
      </c>
      <c r="G1" t="s">
        <v>156</v>
      </c>
      <c r="H1" t="s">
        <v>157</v>
      </c>
      <c r="I1" t="s">
        <v>18</v>
      </c>
      <c r="J1" t="s">
        <v>158</v>
      </c>
      <c r="K1" t="s">
        <v>159</v>
      </c>
      <c r="L1" t="s">
        <v>160</v>
      </c>
      <c r="M1" t="s">
        <v>161</v>
      </c>
    </row>
    <row r="2" spans="1:13">
      <c r="A2">
        <v>1</v>
      </c>
      <c r="B2" t="s">
        <v>162</v>
      </c>
      <c r="C2" t="s">
        <v>163</v>
      </c>
      <c r="D2" t="s">
        <v>98</v>
      </c>
      <c r="E2">
        <v>134.77000000000001</v>
      </c>
      <c r="F2">
        <v>84.79</v>
      </c>
      <c r="G2">
        <v>3</v>
      </c>
      <c r="H2" t="s">
        <v>164</v>
      </c>
      <c r="I2" t="str">
        <f>_xlfn.XLOOKUP(G2,suppliers!A:A,suppliers!B:B)</f>
        <v>PrimeSource</v>
      </c>
      <c r="J2">
        <f>IFERROR(_xlfn.XLOOKUP(A2,inventory!B:B,inventory!D:D),0)</f>
        <v>22</v>
      </c>
      <c r="K2">
        <f>IFERROR(E2 * J2, 0)</f>
        <v>2964.94</v>
      </c>
      <c r="L2">
        <f>SUMIFS(order_items!D:D,order_items!C:C,A2)</f>
        <v>16</v>
      </c>
      <c r="M2" t="str">
        <f t="shared" ref="M2:M65" si="0">IF(L2&lt;10,"Slow Moving","Normal")</f>
        <v>Normal</v>
      </c>
    </row>
    <row r="3" spans="1:13">
      <c r="A3">
        <v>2</v>
      </c>
      <c r="B3" t="s">
        <v>165</v>
      </c>
      <c r="C3" t="s">
        <v>166</v>
      </c>
      <c r="D3" t="s">
        <v>98</v>
      </c>
      <c r="E3">
        <v>20.21</v>
      </c>
      <c r="F3">
        <v>135.25</v>
      </c>
      <c r="G3">
        <v>1</v>
      </c>
      <c r="H3" t="s">
        <v>167</v>
      </c>
      <c r="I3" t="str">
        <f>_xlfn.XLOOKUP(G3,suppliers!A:A,suppliers!B:B)</f>
        <v>Acme Supply</v>
      </c>
      <c r="J3">
        <f>IFERROR(_xlfn.XLOOKUP(A3,inventory!B:B,inventory!D:D),0)</f>
        <v>405</v>
      </c>
      <c r="K3">
        <f>IFERROR(E3 * J3, 0)</f>
        <v>8185.05</v>
      </c>
      <c r="L3">
        <f>SUMIFS(order_items!D:D,order_items!C:C,A3)</f>
        <v>37</v>
      </c>
      <c r="M3" t="str">
        <f t="shared" si="0"/>
        <v>Normal</v>
      </c>
    </row>
    <row r="4" spans="1:13">
      <c r="A4">
        <v>3</v>
      </c>
      <c r="B4" t="s">
        <v>168</v>
      </c>
      <c r="C4" t="s">
        <v>169</v>
      </c>
      <c r="D4" t="s">
        <v>99</v>
      </c>
      <c r="E4">
        <v>93.44</v>
      </c>
      <c r="F4">
        <v>22.56</v>
      </c>
      <c r="G4">
        <v>4</v>
      </c>
      <c r="H4" t="s">
        <v>164</v>
      </c>
      <c r="I4" t="str">
        <f>_xlfn.XLOOKUP(G4,suppliers!A:A,suppliers!B:B)</f>
        <v>Blue Ridge</v>
      </c>
      <c r="J4">
        <f>IFERROR(_xlfn.XLOOKUP(A4,inventory!B:B,inventory!D:D),0)</f>
        <v>51</v>
      </c>
      <c r="K4">
        <f>IFERROR(E4 * J4, 0)</f>
        <v>4765.4399999999996</v>
      </c>
      <c r="L4">
        <f>SUMIFS(order_items!D:D,order_items!C:C,A4)</f>
        <v>27</v>
      </c>
      <c r="M4" t="str">
        <f t="shared" si="0"/>
        <v>Normal</v>
      </c>
    </row>
    <row r="5" spans="1:13">
      <c r="A5">
        <v>4</v>
      </c>
      <c r="B5" t="s">
        <v>170</v>
      </c>
      <c r="C5" t="s">
        <v>171</v>
      </c>
      <c r="D5" t="s">
        <v>101</v>
      </c>
      <c r="E5">
        <v>83.61</v>
      </c>
      <c r="F5">
        <v>94.28</v>
      </c>
      <c r="G5">
        <v>1</v>
      </c>
      <c r="H5" t="s">
        <v>121</v>
      </c>
      <c r="I5" t="str">
        <f>_xlfn.XLOOKUP(G5,suppliers!A:A,suppliers!B:B)</f>
        <v>Acme Supply</v>
      </c>
      <c r="J5">
        <f>IFERROR(_xlfn.XLOOKUP(A5,inventory!B:B,inventory!D:D),0)</f>
        <v>209</v>
      </c>
      <c r="K5">
        <f>IFERROR(E5 * J5, 0)</f>
        <v>17474.490000000002</v>
      </c>
      <c r="L5">
        <f>SUMIFS(order_items!D:D,order_items!C:C,A5)</f>
        <v>67</v>
      </c>
      <c r="M5" t="str">
        <f t="shared" si="0"/>
        <v>Normal</v>
      </c>
    </row>
    <row r="6" spans="1:13">
      <c r="A6">
        <v>5</v>
      </c>
      <c r="B6" t="s">
        <v>172</v>
      </c>
      <c r="C6" t="s">
        <v>173</v>
      </c>
      <c r="D6" t="s">
        <v>104</v>
      </c>
      <c r="E6">
        <v>64.540000000000006</v>
      </c>
      <c r="F6">
        <v>59.31</v>
      </c>
      <c r="G6">
        <v>6</v>
      </c>
      <c r="H6" t="s">
        <v>167</v>
      </c>
      <c r="I6" t="str">
        <f>_xlfn.XLOOKUP(G6,suppliers!A:A,suppliers!B:B)</f>
        <v>Evergreen Imports</v>
      </c>
      <c r="J6">
        <f>IFERROR(_xlfn.XLOOKUP(A6,inventory!B:B,inventory!D:D),0)</f>
        <v>400</v>
      </c>
      <c r="K6">
        <f>IFERROR(E6 * J6, 0)</f>
        <v>25816.000000000004</v>
      </c>
      <c r="L6">
        <f>SUMIFS(order_items!D:D,order_items!C:C,A6)</f>
        <v>16</v>
      </c>
      <c r="M6" t="str">
        <f t="shared" si="0"/>
        <v>Normal</v>
      </c>
    </row>
    <row r="7" spans="1:13">
      <c r="A7">
        <v>6</v>
      </c>
      <c r="B7" t="s">
        <v>83</v>
      </c>
      <c r="C7" t="s">
        <v>174</v>
      </c>
      <c r="D7" t="s">
        <v>98</v>
      </c>
      <c r="E7">
        <v>21.93</v>
      </c>
      <c r="F7">
        <v>256.54000000000002</v>
      </c>
      <c r="G7">
        <v>5</v>
      </c>
      <c r="H7" t="s">
        <v>121</v>
      </c>
      <c r="I7" t="str">
        <f>_xlfn.XLOOKUP(G7,suppliers!A:A,suppliers!B:B)</f>
        <v>Utah Wholesale</v>
      </c>
      <c r="J7">
        <f>IFERROR(_xlfn.XLOOKUP(A7,inventory!B:B,inventory!D:D),0)</f>
        <v>168</v>
      </c>
      <c r="K7">
        <f>IFERROR(E7 * J7, 0)</f>
        <v>3684.24</v>
      </c>
      <c r="L7">
        <f>SUMIFS(order_items!D:D,order_items!C:C,A7)</f>
        <v>51</v>
      </c>
      <c r="M7" t="str">
        <f t="shared" si="0"/>
        <v>Normal</v>
      </c>
    </row>
    <row r="8" spans="1:13">
      <c r="A8">
        <v>7</v>
      </c>
      <c r="B8" t="s">
        <v>175</v>
      </c>
      <c r="C8" t="s">
        <v>176</v>
      </c>
      <c r="D8" t="s">
        <v>102</v>
      </c>
      <c r="E8">
        <v>98.84</v>
      </c>
      <c r="F8">
        <v>292.33999999999997</v>
      </c>
      <c r="G8">
        <v>7</v>
      </c>
      <c r="H8" t="s">
        <v>167</v>
      </c>
      <c r="I8" t="str">
        <f>_xlfn.XLOOKUP(G8,suppliers!A:A,suppliers!B:B)</f>
        <v>Summit Trading</v>
      </c>
      <c r="J8">
        <f>IFERROR(_xlfn.XLOOKUP(A8,inventory!B:B,inventory!D:D),0)</f>
        <v>316</v>
      </c>
      <c r="K8">
        <f>IFERROR(E8 * J8, 0)</f>
        <v>31233.440000000002</v>
      </c>
      <c r="L8">
        <f>SUMIFS(order_items!D:D,order_items!C:C,A8)</f>
        <v>26</v>
      </c>
      <c r="M8" t="str">
        <f t="shared" si="0"/>
        <v>Normal</v>
      </c>
    </row>
    <row r="9" spans="1:13">
      <c r="A9">
        <v>8</v>
      </c>
      <c r="B9" t="s">
        <v>177</v>
      </c>
      <c r="C9" t="s">
        <v>178</v>
      </c>
      <c r="D9" t="s">
        <v>103</v>
      </c>
      <c r="E9">
        <v>159.94999999999999</v>
      </c>
      <c r="F9">
        <v>118.07</v>
      </c>
      <c r="G9">
        <v>4</v>
      </c>
      <c r="H9" t="s">
        <v>164</v>
      </c>
      <c r="I9" t="str">
        <f>_xlfn.XLOOKUP(G9,suppliers!A:A,suppliers!B:B)</f>
        <v>Blue Ridge</v>
      </c>
      <c r="J9">
        <f>IFERROR(_xlfn.XLOOKUP(A9,inventory!B:B,inventory!D:D),0)</f>
        <v>389</v>
      </c>
      <c r="K9">
        <f>IFERROR(E9 * J9, 0)</f>
        <v>62220.549999999996</v>
      </c>
      <c r="L9">
        <f>SUMIFS(order_items!D:D,order_items!C:C,A9)</f>
        <v>61</v>
      </c>
      <c r="M9" t="str">
        <f t="shared" si="0"/>
        <v>Normal</v>
      </c>
    </row>
    <row r="10" spans="1:13">
      <c r="A10">
        <v>9</v>
      </c>
      <c r="B10" t="s">
        <v>179</v>
      </c>
      <c r="C10" t="s">
        <v>180</v>
      </c>
      <c r="D10" t="s">
        <v>98</v>
      </c>
      <c r="E10">
        <v>120.72</v>
      </c>
      <c r="F10">
        <v>235.32</v>
      </c>
      <c r="G10">
        <v>2</v>
      </c>
      <c r="H10" t="s">
        <v>121</v>
      </c>
      <c r="I10" t="str">
        <f>_xlfn.XLOOKUP(G10,suppliers!A:A,suppliers!B:B)</f>
        <v>Global Goods</v>
      </c>
      <c r="J10">
        <f>IFERROR(_xlfn.XLOOKUP(A10,inventory!B:B,inventory!D:D),0)</f>
        <v>183</v>
      </c>
      <c r="K10">
        <f>IFERROR(E10 * J10, 0)</f>
        <v>22091.759999999998</v>
      </c>
      <c r="L10">
        <f>SUMIFS(order_items!D:D,order_items!C:C,A10)</f>
        <v>31</v>
      </c>
      <c r="M10" t="str">
        <f t="shared" si="0"/>
        <v>Normal</v>
      </c>
    </row>
    <row r="11" spans="1:13">
      <c r="A11">
        <v>10</v>
      </c>
      <c r="B11" t="s">
        <v>181</v>
      </c>
      <c r="C11" t="s">
        <v>182</v>
      </c>
      <c r="D11" t="s">
        <v>99</v>
      </c>
      <c r="E11">
        <v>71.52</v>
      </c>
      <c r="F11">
        <v>144.22</v>
      </c>
      <c r="G11">
        <v>6</v>
      </c>
      <c r="H11" t="s">
        <v>164</v>
      </c>
      <c r="I11" t="str">
        <f>_xlfn.XLOOKUP(G11,suppliers!A:A,suppliers!B:B)</f>
        <v>Evergreen Imports</v>
      </c>
      <c r="J11">
        <f>IFERROR(_xlfn.XLOOKUP(A11,inventory!B:B,inventory!D:D),0)</f>
        <v>40</v>
      </c>
      <c r="K11">
        <f>IFERROR(E11 * J11, 0)</f>
        <v>2860.7999999999997</v>
      </c>
      <c r="L11">
        <f>SUMIFS(order_items!D:D,order_items!C:C,A11)</f>
        <v>19</v>
      </c>
      <c r="M11" t="str">
        <f t="shared" si="0"/>
        <v>Normal</v>
      </c>
    </row>
    <row r="12" spans="1:13">
      <c r="A12">
        <v>11</v>
      </c>
      <c r="B12" t="s">
        <v>16</v>
      </c>
      <c r="C12" t="s">
        <v>183</v>
      </c>
      <c r="D12" t="s">
        <v>105</v>
      </c>
      <c r="E12">
        <v>41.66</v>
      </c>
      <c r="F12">
        <v>91.09</v>
      </c>
      <c r="G12">
        <v>2</v>
      </c>
      <c r="H12" t="s">
        <v>167</v>
      </c>
      <c r="I12" t="str">
        <f>_xlfn.XLOOKUP(G12,suppliers!A:A,suppliers!B:B)</f>
        <v>Global Goods</v>
      </c>
      <c r="J12">
        <f>IFERROR(_xlfn.XLOOKUP(A12,inventory!B:B,inventory!D:D),0)</f>
        <v>130</v>
      </c>
      <c r="K12">
        <f>IFERROR(E12 * J12, 0)</f>
        <v>5415.7999999999993</v>
      </c>
      <c r="L12">
        <f>SUMIFS(order_items!D:D,order_items!C:C,A12)</f>
        <v>3</v>
      </c>
      <c r="M12" t="str">
        <f t="shared" si="0"/>
        <v>Slow Moving</v>
      </c>
    </row>
    <row r="13" spans="1:13">
      <c r="A13">
        <v>12</v>
      </c>
      <c r="B13" t="s">
        <v>184</v>
      </c>
      <c r="C13" t="s">
        <v>185</v>
      </c>
      <c r="D13" t="s">
        <v>104</v>
      </c>
      <c r="E13">
        <v>132.6</v>
      </c>
      <c r="F13">
        <v>61.57</v>
      </c>
      <c r="G13">
        <v>7</v>
      </c>
      <c r="H13" t="s">
        <v>167</v>
      </c>
      <c r="I13" t="str">
        <f>_xlfn.XLOOKUP(G13,suppliers!A:A,suppliers!B:B)</f>
        <v>Summit Trading</v>
      </c>
      <c r="J13">
        <f>IFERROR(_xlfn.XLOOKUP(A13,inventory!B:B,inventory!D:D),0)</f>
        <v>226</v>
      </c>
      <c r="K13">
        <f>IFERROR(E13 * J13, 0)</f>
        <v>29967.599999999999</v>
      </c>
      <c r="L13">
        <f>SUMIFS(order_items!D:D,order_items!C:C,A13)</f>
        <v>19</v>
      </c>
      <c r="M13" t="str">
        <f t="shared" si="0"/>
        <v>Normal</v>
      </c>
    </row>
    <row r="14" spans="1:13">
      <c r="A14">
        <v>13</v>
      </c>
      <c r="B14" t="s">
        <v>186</v>
      </c>
      <c r="C14" t="s">
        <v>187</v>
      </c>
      <c r="D14" t="s">
        <v>99</v>
      </c>
      <c r="E14">
        <v>152.5</v>
      </c>
      <c r="F14">
        <v>236.16</v>
      </c>
      <c r="G14">
        <v>4</v>
      </c>
      <c r="H14" t="s">
        <v>121</v>
      </c>
      <c r="I14" t="str">
        <f>_xlfn.XLOOKUP(G14,suppliers!A:A,suppliers!B:B)</f>
        <v>Blue Ridge</v>
      </c>
      <c r="J14">
        <f>IFERROR(_xlfn.XLOOKUP(A14,inventory!B:B,inventory!D:D),0)</f>
        <v>436</v>
      </c>
      <c r="K14">
        <f>IFERROR(E14 * J14, 0)</f>
        <v>66490</v>
      </c>
      <c r="L14">
        <f>SUMIFS(order_items!D:D,order_items!C:C,A14)</f>
        <v>34</v>
      </c>
      <c r="M14" t="str">
        <f t="shared" si="0"/>
        <v>Normal</v>
      </c>
    </row>
    <row r="15" spans="1:13">
      <c r="A15">
        <v>14</v>
      </c>
      <c r="B15" t="s">
        <v>188</v>
      </c>
      <c r="C15" t="s">
        <v>189</v>
      </c>
      <c r="D15" t="s">
        <v>102</v>
      </c>
      <c r="E15">
        <v>75.2</v>
      </c>
      <c r="F15">
        <v>33.86</v>
      </c>
      <c r="G15">
        <v>6</v>
      </c>
      <c r="H15" t="s">
        <v>164</v>
      </c>
      <c r="I15" t="str">
        <f>_xlfn.XLOOKUP(G15,suppliers!A:A,suppliers!B:B)</f>
        <v>Evergreen Imports</v>
      </c>
      <c r="J15">
        <f>IFERROR(_xlfn.XLOOKUP(A15,inventory!B:B,inventory!D:D),0)</f>
        <v>500</v>
      </c>
      <c r="K15">
        <f>IFERROR(E15 * J15, 0)</f>
        <v>37600</v>
      </c>
      <c r="L15">
        <f>SUMIFS(order_items!D:D,order_items!C:C,A15)</f>
        <v>33</v>
      </c>
      <c r="M15" t="str">
        <f t="shared" si="0"/>
        <v>Normal</v>
      </c>
    </row>
    <row r="16" spans="1:13">
      <c r="A16">
        <v>15</v>
      </c>
      <c r="B16" t="s">
        <v>190</v>
      </c>
      <c r="C16" t="s">
        <v>191</v>
      </c>
      <c r="D16" t="s">
        <v>100</v>
      </c>
      <c r="E16">
        <v>159.82</v>
      </c>
      <c r="F16">
        <v>198.21</v>
      </c>
      <c r="G16">
        <v>3</v>
      </c>
      <c r="H16" t="s">
        <v>167</v>
      </c>
      <c r="I16" t="str">
        <f>_xlfn.XLOOKUP(G16,suppliers!A:A,suppliers!B:B)</f>
        <v>PrimeSource</v>
      </c>
      <c r="J16">
        <f>IFERROR(_xlfn.XLOOKUP(A16,inventory!B:B,inventory!D:D),0)</f>
        <v>409</v>
      </c>
      <c r="K16">
        <f>IFERROR(E16 * J16, 0)</f>
        <v>65366.38</v>
      </c>
      <c r="L16">
        <f>SUMIFS(order_items!D:D,order_items!C:C,A16)</f>
        <v>24</v>
      </c>
      <c r="M16" t="str">
        <f t="shared" si="0"/>
        <v>Normal</v>
      </c>
    </row>
    <row r="17" spans="1:13">
      <c r="A17">
        <v>16</v>
      </c>
      <c r="B17" t="s">
        <v>192</v>
      </c>
      <c r="C17" t="s">
        <v>193</v>
      </c>
      <c r="D17" t="s">
        <v>104</v>
      </c>
      <c r="E17">
        <v>135.37</v>
      </c>
      <c r="F17">
        <v>168.61</v>
      </c>
      <c r="G17">
        <v>7</v>
      </c>
      <c r="H17" t="s">
        <v>167</v>
      </c>
      <c r="I17" t="str">
        <f>_xlfn.XLOOKUP(G17,suppliers!A:A,suppliers!B:B)</f>
        <v>Summit Trading</v>
      </c>
      <c r="J17">
        <f>IFERROR(_xlfn.XLOOKUP(A17,inventory!B:B,inventory!D:D),0)</f>
        <v>330</v>
      </c>
      <c r="K17">
        <f>IFERROR(E17 * J17, 0)</f>
        <v>44672.1</v>
      </c>
      <c r="L17">
        <f>SUMIFS(order_items!D:D,order_items!C:C,A17)</f>
        <v>38</v>
      </c>
      <c r="M17" t="str">
        <f t="shared" si="0"/>
        <v>Normal</v>
      </c>
    </row>
    <row r="18" spans="1:13">
      <c r="A18">
        <v>17</v>
      </c>
      <c r="B18" t="s">
        <v>86</v>
      </c>
      <c r="C18" t="s">
        <v>194</v>
      </c>
      <c r="D18" t="s">
        <v>101</v>
      </c>
      <c r="E18">
        <v>43.38</v>
      </c>
      <c r="F18">
        <v>299.3</v>
      </c>
      <c r="G18">
        <v>8</v>
      </c>
      <c r="H18" t="s">
        <v>167</v>
      </c>
      <c r="I18" t="str">
        <f>_xlfn.XLOOKUP(G18,suppliers!A:A,suppliers!B:B)</f>
        <v>Metro Logistics</v>
      </c>
      <c r="J18">
        <f>IFERROR(_xlfn.XLOOKUP(A18,inventory!B:B,inventory!D:D),0)</f>
        <v>89</v>
      </c>
      <c r="K18">
        <f>IFERROR(E18 * J18, 0)</f>
        <v>3860.82</v>
      </c>
      <c r="L18">
        <f>SUMIFS(order_items!D:D,order_items!C:C,A18)</f>
        <v>42</v>
      </c>
      <c r="M18" t="str">
        <f t="shared" si="0"/>
        <v>Normal</v>
      </c>
    </row>
    <row r="19" spans="1:13">
      <c r="A19">
        <v>18</v>
      </c>
      <c r="B19" t="s">
        <v>195</v>
      </c>
      <c r="C19" t="s">
        <v>196</v>
      </c>
      <c r="D19" t="s">
        <v>102</v>
      </c>
      <c r="E19">
        <v>31.75</v>
      </c>
      <c r="F19">
        <v>60.59</v>
      </c>
      <c r="G19">
        <v>7</v>
      </c>
      <c r="H19" t="s">
        <v>167</v>
      </c>
      <c r="I19" t="str">
        <f>_xlfn.XLOOKUP(G19,suppliers!A:A,suppliers!B:B)</f>
        <v>Summit Trading</v>
      </c>
      <c r="J19">
        <f>IFERROR(_xlfn.XLOOKUP(A19,inventory!B:B,inventory!D:D),0)</f>
        <v>84</v>
      </c>
      <c r="K19">
        <f>IFERROR(E19 * J19, 0)</f>
        <v>2667</v>
      </c>
      <c r="L19">
        <f>SUMIFS(order_items!D:D,order_items!C:C,A19)</f>
        <v>22</v>
      </c>
      <c r="M19" t="str">
        <f t="shared" si="0"/>
        <v>Normal</v>
      </c>
    </row>
    <row r="20" spans="1:13">
      <c r="A20">
        <v>19</v>
      </c>
      <c r="B20" t="s">
        <v>90</v>
      </c>
      <c r="C20" t="s">
        <v>197</v>
      </c>
      <c r="D20" t="s">
        <v>98</v>
      </c>
      <c r="E20">
        <v>71.78</v>
      </c>
      <c r="F20">
        <v>298.89</v>
      </c>
      <c r="G20">
        <v>5</v>
      </c>
      <c r="H20" t="s">
        <v>167</v>
      </c>
      <c r="I20" t="str">
        <f>_xlfn.XLOOKUP(G20,suppliers!A:A,suppliers!B:B)</f>
        <v>Utah Wholesale</v>
      </c>
      <c r="J20">
        <f>IFERROR(_xlfn.XLOOKUP(A20,inventory!B:B,inventory!D:D),0)</f>
        <v>493</v>
      </c>
      <c r="K20">
        <f>IFERROR(E20 * J20, 0)</f>
        <v>35387.54</v>
      </c>
      <c r="L20">
        <f>SUMIFS(order_items!D:D,order_items!C:C,A20)</f>
        <v>34</v>
      </c>
      <c r="M20" t="str">
        <f t="shared" si="0"/>
        <v>Normal</v>
      </c>
    </row>
    <row r="21" spans="1:13">
      <c r="A21">
        <v>20</v>
      </c>
      <c r="B21" t="s">
        <v>198</v>
      </c>
      <c r="C21" t="s">
        <v>199</v>
      </c>
      <c r="D21" t="s">
        <v>102</v>
      </c>
      <c r="E21">
        <v>124.3</v>
      </c>
      <c r="F21">
        <v>168.04</v>
      </c>
      <c r="G21">
        <v>5</v>
      </c>
      <c r="H21" t="s">
        <v>121</v>
      </c>
      <c r="I21" t="str">
        <f>_xlfn.XLOOKUP(G21,suppliers!A:A,suppliers!B:B)</f>
        <v>Utah Wholesale</v>
      </c>
      <c r="J21">
        <f>IFERROR(_xlfn.XLOOKUP(A21,inventory!B:B,inventory!D:D),0)</f>
        <v>495</v>
      </c>
      <c r="K21">
        <f>IFERROR(E21 * J21, 0)</f>
        <v>61528.5</v>
      </c>
      <c r="L21">
        <f>SUMIFS(order_items!D:D,order_items!C:C,A21)</f>
        <v>27</v>
      </c>
      <c r="M21" t="str">
        <f t="shared" si="0"/>
        <v>Normal</v>
      </c>
    </row>
    <row r="22" spans="1:13">
      <c r="A22">
        <v>21</v>
      </c>
      <c r="B22" t="s">
        <v>200</v>
      </c>
      <c r="C22" t="s">
        <v>201</v>
      </c>
      <c r="D22" t="s">
        <v>105</v>
      </c>
      <c r="E22">
        <v>56.36</v>
      </c>
      <c r="F22">
        <v>60.07</v>
      </c>
      <c r="G22">
        <v>1</v>
      </c>
      <c r="H22" t="s">
        <v>164</v>
      </c>
      <c r="I22" t="str">
        <f>_xlfn.XLOOKUP(G22,suppliers!A:A,suppliers!B:B)</f>
        <v>Acme Supply</v>
      </c>
      <c r="J22">
        <f>IFERROR(_xlfn.XLOOKUP(A22,inventory!B:B,inventory!D:D),0)</f>
        <v>7</v>
      </c>
      <c r="K22">
        <f>IFERROR(E22 * J22, 0)</f>
        <v>394.52</v>
      </c>
      <c r="L22">
        <f>SUMIFS(order_items!D:D,order_items!C:C,A22)</f>
        <v>26</v>
      </c>
      <c r="M22" t="str">
        <f t="shared" si="0"/>
        <v>Normal</v>
      </c>
    </row>
    <row r="23" spans="1:13">
      <c r="A23">
        <v>22</v>
      </c>
      <c r="B23" t="s">
        <v>95</v>
      </c>
      <c r="C23" t="s">
        <v>202</v>
      </c>
      <c r="D23" t="s">
        <v>103</v>
      </c>
      <c r="E23">
        <v>138.34</v>
      </c>
      <c r="F23">
        <v>159.69</v>
      </c>
      <c r="G23">
        <v>2</v>
      </c>
      <c r="H23" t="s">
        <v>121</v>
      </c>
      <c r="I23" t="str">
        <f>_xlfn.XLOOKUP(G23,suppliers!A:A,suppliers!B:B)</f>
        <v>Global Goods</v>
      </c>
      <c r="J23">
        <f>IFERROR(_xlfn.XLOOKUP(A23,inventory!B:B,inventory!D:D),0)</f>
        <v>326</v>
      </c>
      <c r="K23">
        <f>IFERROR(E23 * J23, 0)</f>
        <v>45098.840000000004</v>
      </c>
      <c r="L23">
        <f>SUMIFS(order_items!D:D,order_items!C:C,A23)</f>
        <v>57</v>
      </c>
      <c r="M23" t="str">
        <f t="shared" si="0"/>
        <v>Normal</v>
      </c>
    </row>
    <row r="24" spans="1:13">
      <c r="A24">
        <v>23</v>
      </c>
      <c r="B24" t="s">
        <v>203</v>
      </c>
      <c r="C24" t="s">
        <v>204</v>
      </c>
      <c r="D24" t="s">
        <v>103</v>
      </c>
      <c r="E24">
        <v>111.57</v>
      </c>
      <c r="F24">
        <v>58.56</v>
      </c>
      <c r="G24">
        <v>3</v>
      </c>
      <c r="H24" t="s">
        <v>167</v>
      </c>
      <c r="I24" t="str">
        <f>_xlfn.XLOOKUP(G24,suppliers!A:A,suppliers!B:B)</f>
        <v>PrimeSource</v>
      </c>
      <c r="J24">
        <f>IFERROR(_xlfn.XLOOKUP(A24,inventory!B:B,inventory!D:D),0)</f>
        <v>325</v>
      </c>
      <c r="K24">
        <f>IFERROR(E24 * J24, 0)</f>
        <v>36260.25</v>
      </c>
      <c r="L24">
        <f>SUMIFS(order_items!D:D,order_items!C:C,A24)</f>
        <v>23</v>
      </c>
      <c r="M24" t="str">
        <f t="shared" si="0"/>
        <v>Normal</v>
      </c>
    </row>
    <row r="25" spans="1:13">
      <c r="A25">
        <v>24</v>
      </c>
      <c r="B25" t="s">
        <v>205</v>
      </c>
      <c r="C25" t="s">
        <v>206</v>
      </c>
      <c r="D25" t="s">
        <v>102</v>
      </c>
      <c r="E25">
        <v>61.73</v>
      </c>
      <c r="F25">
        <v>20.55</v>
      </c>
      <c r="G25">
        <v>6</v>
      </c>
      <c r="H25" t="s">
        <v>121</v>
      </c>
      <c r="I25" t="str">
        <f>_xlfn.XLOOKUP(G25,suppliers!A:A,suppliers!B:B)</f>
        <v>Evergreen Imports</v>
      </c>
      <c r="J25">
        <f>IFERROR(_xlfn.XLOOKUP(A25,inventory!B:B,inventory!D:D),0)</f>
        <v>23</v>
      </c>
      <c r="K25">
        <f>IFERROR(E25 * J25, 0)</f>
        <v>1419.79</v>
      </c>
      <c r="L25">
        <f>SUMIFS(order_items!D:D,order_items!C:C,A25)</f>
        <v>49</v>
      </c>
      <c r="M25" t="str">
        <f t="shared" si="0"/>
        <v>Normal</v>
      </c>
    </row>
    <row r="26" spans="1:13">
      <c r="A26">
        <v>25</v>
      </c>
      <c r="B26" t="s">
        <v>207</v>
      </c>
      <c r="C26" t="s">
        <v>208</v>
      </c>
      <c r="D26" t="s">
        <v>103</v>
      </c>
      <c r="E26">
        <v>15.14</v>
      </c>
      <c r="F26">
        <v>265.23</v>
      </c>
      <c r="G26">
        <v>2</v>
      </c>
      <c r="H26" t="s">
        <v>167</v>
      </c>
      <c r="I26" t="str">
        <f>_xlfn.XLOOKUP(G26,suppliers!A:A,suppliers!B:B)</f>
        <v>Global Goods</v>
      </c>
      <c r="J26">
        <f>IFERROR(_xlfn.XLOOKUP(A26,inventory!B:B,inventory!D:D),0)</f>
        <v>120</v>
      </c>
      <c r="K26">
        <f>IFERROR(E26 * J26, 0)</f>
        <v>1816.8000000000002</v>
      </c>
      <c r="L26">
        <f>SUMIFS(order_items!D:D,order_items!C:C,A26)</f>
        <v>32</v>
      </c>
      <c r="M26" t="str">
        <f t="shared" si="0"/>
        <v>Normal</v>
      </c>
    </row>
    <row r="27" spans="1:13">
      <c r="A27">
        <v>26</v>
      </c>
      <c r="B27" t="s">
        <v>13</v>
      </c>
      <c r="C27" t="s">
        <v>209</v>
      </c>
      <c r="D27" t="s">
        <v>100</v>
      </c>
      <c r="E27">
        <v>176.15</v>
      </c>
      <c r="F27">
        <v>166.82</v>
      </c>
      <c r="G27">
        <v>3</v>
      </c>
      <c r="H27" t="s">
        <v>164</v>
      </c>
      <c r="I27" t="str">
        <f>_xlfn.XLOOKUP(G27,suppliers!A:A,suppliers!B:B)</f>
        <v>PrimeSource</v>
      </c>
      <c r="J27">
        <f>IFERROR(_xlfn.XLOOKUP(A27,inventory!B:B,inventory!D:D),0)</f>
        <v>380</v>
      </c>
      <c r="K27">
        <f>IFERROR(E27 * J27, 0)</f>
        <v>66937</v>
      </c>
      <c r="L27">
        <f>SUMIFS(order_items!D:D,order_items!C:C,A27)</f>
        <v>6</v>
      </c>
      <c r="M27" t="str">
        <f t="shared" si="0"/>
        <v>Slow Moving</v>
      </c>
    </row>
    <row r="28" spans="1:13">
      <c r="A28">
        <v>27</v>
      </c>
      <c r="B28" t="s">
        <v>210</v>
      </c>
      <c r="C28" t="s">
        <v>211</v>
      </c>
      <c r="D28" t="s">
        <v>100</v>
      </c>
      <c r="E28">
        <v>33.9</v>
      </c>
      <c r="F28">
        <v>165.39</v>
      </c>
      <c r="G28">
        <v>7</v>
      </c>
      <c r="H28" t="s">
        <v>164</v>
      </c>
      <c r="I28" t="str">
        <f>_xlfn.XLOOKUP(G28,suppliers!A:A,suppliers!B:B)</f>
        <v>Summit Trading</v>
      </c>
      <c r="J28">
        <f>IFERROR(_xlfn.XLOOKUP(A28,inventory!B:B,inventory!D:D),0)</f>
        <v>111</v>
      </c>
      <c r="K28">
        <f>IFERROR(E28 * J28, 0)</f>
        <v>3762.8999999999996</v>
      </c>
      <c r="L28">
        <f>SUMIFS(order_items!D:D,order_items!C:C,A28)</f>
        <v>31</v>
      </c>
      <c r="M28" t="str">
        <f t="shared" si="0"/>
        <v>Normal</v>
      </c>
    </row>
    <row r="29" spans="1:13">
      <c r="A29">
        <v>28</v>
      </c>
      <c r="B29" t="s">
        <v>212</v>
      </c>
      <c r="C29" t="s">
        <v>213</v>
      </c>
      <c r="D29" t="s">
        <v>99</v>
      </c>
      <c r="E29">
        <v>74.819999999999993</v>
      </c>
      <c r="F29">
        <v>206.43</v>
      </c>
      <c r="G29">
        <v>6</v>
      </c>
      <c r="H29" t="s">
        <v>164</v>
      </c>
      <c r="I29" t="str">
        <f>_xlfn.XLOOKUP(G29,suppliers!A:A,suppliers!B:B)</f>
        <v>Evergreen Imports</v>
      </c>
      <c r="J29">
        <f>IFERROR(_xlfn.XLOOKUP(A29,inventory!B:B,inventory!D:D),0)</f>
        <v>203</v>
      </c>
      <c r="K29">
        <f>IFERROR(E29 * J29, 0)</f>
        <v>15188.46</v>
      </c>
      <c r="L29">
        <f>SUMIFS(order_items!D:D,order_items!C:C,A29)</f>
        <v>36</v>
      </c>
      <c r="M29" t="str">
        <f t="shared" si="0"/>
        <v>Normal</v>
      </c>
    </row>
    <row r="30" spans="1:13">
      <c r="A30">
        <v>29</v>
      </c>
      <c r="B30" t="s">
        <v>214</v>
      </c>
      <c r="C30" t="s">
        <v>215</v>
      </c>
      <c r="D30" t="s">
        <v>100</v>
      </c>
      <c r="E30">
        <v>48.38</v>
      </c>
      <c r="F30">
        <v>33.25</v>
      </c>
      <c r="G30">
        <v>1</v>
      </c>
      <c r="H30" t="s">
        <v>167</v>
      </c>
      <c r="I30" t="str">
        <f>_xlfn.XLOOKUP(G30,suppliers!A:A,suppliers!B:B)</f>
        <v>Acme Supply</v>
      </c>
      <c r="J30">
        <f>IFERROR(_xlfn.XLOOKUP(A30,inventory!B:B,inventory!D:D),0)</f>
        <v>170</v>
      </c>
      <c r="K30">
        <f>IFERROR(E30 * J30, 0)</f>
        <v>8224.6</v>
      </c>
      <c r="L30">
        <f>SUMIFS(order_items!D:D,order_items!C:C,A30)</f>
        <v>42</v>
      </c>
      <c r="M30" t="str">
        <f t="shared" si="0"/>
        <v>Normal</v>
      </c>
    </row>
    <row r="31" spans="1:13">
      <c r="A31">
        <v>30</v>
      </c>
      <c r="B31" t="s">
        <v>216</v>
      </c>
      <c r="C31" t="s">
        <v>217</v>
      </c>
      <c r="D31" t="s">
        <v>99</v>
      </c>
      <c r="E31">
        <v>43.54</v>
      </c>
      <c r="F31">
        <v>35.229999999999997</v>
      </c>
      <c r="G31">
        <v>1</v>
      </c>
      <c r="H31" t="s">
        <v>164</v>
      </c>
      <c r="I31" t="str">
        <f>_xlfn.XLOOKUP(G31,suppliers!A:A,suppliers!B:B)</f>
        <v>Acme Supply</v>
      </c>
      <c r="J31">
        <f>IFERROR(_xlfn.XLOOKUP(A31,inventory!B:B,inventory!D:D),0)</f>
        <v>396</v>
      </c>
      <c r="K31">
        <f>IFERROR(E31 * J31, 0)</f>
        <v>17241.84</v>
      </c>
      <c r="L31">
        <f>SUMIFS(order_items!D:D,order_items!C:C,A31)</f>
        <v>20</v>
      </c>
      <c r="M31" t="str">
        <f t="shared" si="0"/>
        <v>Normal</v>
      </c>
    </row>
    <row r="32" spans="1:13">
      <c r="A32">
        <v>31</v>
      </c>
      <c r="B32" t="s">
        <v>218</v>
      </c>
      <c r="C32" t="s">
        <v>219</v>
      </c>
      <c r="D32" t="s">
        <v>98</v>
      </c>
      <c r="E32">
        <v>155.44</v>
      </c>
      <c r="F32">
        <v>35.19</v>
      </c>
      <c r="G32">
        <v>4</v>
      </c>
      <c r="H32" t="s">
        <v>167</v>
      </c>
      <c r="I32" t="str">
        <f>_xlfn.XLOOKUP(G32,suppliers!A:A,suppliers!B:B)</f>
        <v>Blue Ridge</v>
      </c>
      <c r="J32">
        <f>IFERROR(_xlfn.XLOOKUP(A32,inventory!B:B,inventory!D:D),0)</f>
        <v>0</v>
      </c>
      <c r="K32">
        <f>IFERROR(E32 * J32, 0)</f>
        <v>0</v>
      </c>
      <c r="L32">
        <f>SUMIFS(order_items!D:D,order_items!C:C,A32)</f>
        <v>15</v>
      </c>
      <c r="M32" t="str">
        <f t="shared" si="0"/>
        <v>Normal</v>
      </c>
    </row>
    <row r="33" spans="1:13">
      <c r="A33">
        <v>32</v>
      </c>
      <c r="B33" t="s">
        <v>220</v>
      </c>
      <c r="C33" t="s">
        <v>221</v>
      </c>
      <c r="D33" t="s">
        <v>100</v>
      </c>
      <c r="E33">
        <v>99.37</v>
      </c>
      <c r="F33">
        <v>221.16</v>
      </c>
      <c r="G33">
        <v>8</v>
      </c>
      <c r="H33" t="s">
        <v>164</v>
      </c>
      <c r="I33" t="str">
        <f>_xlfn.XLOOKUP(G33,suppliers!A:A,suppliers!B:B)</f>
        <v>Metro Logistics</v>
      </c>
      <c r="J33">
        <f>IFERROR(_xlfn.XLOOKUP(A33,inventory!B:B,inventory!D:D),0)</f>
        <v>135</v>
      </c>
      <c r="K33">
        <f>IFERROR(E33 * J33, 0)</f>
        <v>13414.95</v>
      </c>
      <c r="L33">
        <f>SUMIFS(order_items!D:D,order_items!C:C,A33)</f>
        <v>23</v>
      </c>
      <c r="M33" t="str">
        <f t="shared" si="0"/>
        <v>Normal</v>
      </c>
    </row>
    <row r="34" spans="1:13">
      <c r="A34">
        <v>33</v>
      </c>
      <c r="B34" t="s">
        <v>222</v>
      </c>
      <c r="C34" t="s">
        <v>223</v>
      </c>
      <c r="D34" t="s">
        <v>100</v>
      </c>
      <c r="E34">
        <v>38.32</v>
      </c>
      <c r="F34">
        <v>42.63</v>
      </c>
      <c r="G34">
        <v>7</v>
      </c>
      <c r="H34" t="s">
        <v>167</v>
      </c>
      <c r="I34" t="str">
        <f>_xlfn.XLOOKUP(G34,suppliers!A:A,suppliers!B:B)</f>
        <v>Summit Trading</v>
      </c>
      <c r="J34">
        <f>IFERROR(_xlfn.XLOOKUP(A34,inventory!B:B,inventory!D:D),0)</f>
        <v>229</v>
      </c>
      <c r="K34">
        <f>IFERROR(E34 * J34, 0)</f>
        <v>8775.2800000000007</v>
      </c>
      <c r="L34">
        <f>SUMIFS(order_items!D:D,order_items!C:C,A34)</f>
        <v>22</v>
      </c>
      <c r="M34" t="str">
        <f t="shared" si="0"/>
        <v>Normal</v>
      </c>
    </row>
    <row r="35" spans="1:13">
      <c r="A35">
        <v>34</v>
      </c>
      <c r="B35" t="s">
        <v>224</v>
      </c>
      <c r="C35" t="s">
        <v>225</v>
      </c>
      <c r="D35" t="s">
        <v>101</v>
      </c>
      <c r="E35">
        <v>86.73</v>
      </c>
      <c r="F35">
        <v>222.79</v>
      </c>
      <c r="G35">
        <v>2</v>
      </c>
      <c r="H35" t="s">
        <v>167</v>
      </c>
      <c r="I35" t="str">
        <f>_xlfn.XLOOKUP(G35,suppliers!A:A,suppliers!B:B)</f>
        <v>Global Goods</v>
      </c>
      <c r="J35">
        <f>IFERROR(_xlfn.XLOOKUP(A35,inventory!B:B,inventory!D:D),0)</f>
        <v>113</v>
      </c>
      <c r="K35">
        <f>IFERROR(E35 * J35, 0)</f>
        <v>9800.49</v>
      </c>
      <c r="L35">
        <f>SUMIFS(order_items!D:D,order_items!C:C,A35)</f>
        <v>29</v>
      </c>
      <c r="M35" t="str">
        <f t="shared" si="0"/>
        <v>Normal</v>
      </c>
    </row>
    <row r="36" spans="1:13">
      <c r="A36">
        <v>35</v>
      </c>
      <c r="B36" t="s">
        <v>226</v>
      </c>
      <c r="C36" t="s">
        <v>227</v>
      </c>
      <c r="D36" t="s">
        <v>101</v>
      </c>
      <c r="E36">
        <v>145.1</v>
      </c>
      <c r="F36">
        <v>46.14</v>
      </c>
      <c r="G36">
        <v>4</v>
      </c>
      <c r="H36" t="s">
        <v>164</v>
      </c>
      <c r="I36" t="str">
        <f>_xlfn.XLOOKUP(G36,suppliers!A:A,suppliers!B:B)</f>
        <v>Blue Ridge</v>
      </c>
      <c r="J36">
        <f>IFERROR(_xlfn.XLOOKUP(A36,inventory!B:B,inventory!D:D),0)</f>
        <v>433</v>
      </c>
      <c r="K36">
        <f>IFERROR(E36 * J36, 0)</f>
        <v>62828.299999999996</v>
      </c>
      <c r="L36">
        <f>SUMIFS(order_items!D:D,order_items!C:C,A36)</f>
        <v>61</v>
      </c>
      <c r="M36" t="str">
        <f t="shared" si="0"/>
        <v>Normal</v>
      </c>
    </row>
    <row r="37" spans="1:13">
      <c r="A37">
        <v>36</v>
      </c>
      <c r="B37" t="s">
        <v>228</v>
      </c>
      <c r="C37" t="s">
        <v>229</v>
      </c>
      <c r="D37" t="s">
        <v>100</v>
      </c>
      <c r="E37">
        <v>78.83</v>
      </c>
      <c r="F37">
        <v>94.39</v>
      </c>
      <c r="G37">
        <v>4</v>
      </c>
      <c r="H37" t="s">
        <v>121</v>
      </c>
      <c r="I37" t="str">
        <f>_xlfn.XLOOKUP(G37,suppliers!A:A,suppliers!B:B)</f>
        <v>Blue Ridge</v>
      </c>
      <c r="J37">
        <f>IFERROR(_xlfn.XLOOKUP(A37,inventory!B:B,inventory!D:D),0)</f>
        <v>64</v>
      </c>
      <c r="K37">
        <f>IFERROR(E37 * J37, 0)</f>
        <v>5045.12</v>
      </c>
      <c r="L37">
        <f>SUMIFS(order_items!D:D,order_items!C:C,A37)</f>
        <v>38</v>
      </c>
      <c r="M37" t="str">
        <f t="shared" si="0"/>
        <v>Normal</v>
      </c>
    </row>
    <row r="38" spans="1:13">
      <c r="A38">
        <v>37</v>
      </c>
      <c r="B38" t="s">
        <v>230</v>
      </c>
      <c r="C38" t="s">
        <v>231</v>
      </c>
      <c r="D38" t="s">
        <v>98</v>
      </c>
      <c r="E38">
        <v>146.4</v>
      </c>
      <c r="F38">
        <v>258.95</v>
      </c>
      <c r="G38">
        <v>2</v>
      </c>
      <c r="H38" t="s">
        <v>167</v>
      </c>
      <c r="I38" t="str">
        <f>_xlfn.XLOOKUP(G38,suppliers!A:A,suppliers!B:B)</f>
        <v>Global Goods</v>
      </c>
      <c r="J38">
        <f>IFERROR(_xlfn.XLOOKUP(A38,inventory!B:B,inventory!D:D),0)</f>
        <v>232</v>
      </c>
      <c r="K38">
        <f>IFERROR(E38 * J38, 0)</f>
        <v>33964.800000000003</v>
      </c>
      <c r="L38">
        <f>SUMIFS(order_items!D:D,order_items!C:C,A38)</f>
        <v>24</v>
      </c>
      <c r="M38" t="str">
        <f t="shared" si="0"/>
        <v>Normal</v>
      </c>
    </row>
    <row r="39" spans="1:13">
      <c r="A39">
        <v>38</v>
      </c>
      <c r="B39" t="s">
        <v>232</v>
      </c>
      <c r="C39" t="s">
        <v>233</v>
      </c>
      <c r="D39" t="s">
        <v>102</v>
      </c>
      <c r="E39">
        <v>167.11</v>
      </c>
      <c r="F39">
        <v>256.88</v>
      </c>
      <c r="G39">
        <v>3</v>
      </c>
      <c r="H39" t="s">
        <v>164</v>
      </c>
      <c r="I39" t="str">
        <f>_xlfn.XLOOKUP(G39,suppliers!A:A,suppliers!B:B)</f>
        <v>PrimeSource</v>
      </c>
      <c r="J39">
        <f>IFERROR(_xlfn.XLOOKUP(A39,inventory!B:B,inventory!D:D),0)</f>
        <v>231</v>
      </c>
      <c r="K39">
        <f>IFERROR(E39 * J39, 0)</f>
        <v>38602.410000000003</v>
      </c>
      <c r="L39">
        <f>SUMIFS(order_items!D:D,order_items!C:C,A39)</f>
        <v>33</v>
      </c>
      <c r="M39" t="str">
        <f t="shared" si="0"/>
        <v>Normal</v>
      </c>
    </row>
    <row r="40" spans="1:13">
      <c r="A40">
        <v>39</v>
      </c>
      <c r="B40" t="s">
        <v>234</v>
      </c>
      <c r="C40" t="s">
        <v>235</v>
      </c>
      <c r="D40" t="s">
        <v>100</v>
      </c>
      <c r="E40">
        <v>42.41</v>
      </c>
      <c r="F40">
        <v>129.30000000000001</v>
      </c>
      <c r="G40">
        <v>1</v>
      </c>
      <c r="H40" t="s">
        <v>164</v>
      </c>
      <c r="I40" t="str">
        <f>_xlfn.XLOOKUP(G40,suppliers!A:A,suppliers!B:B)</f>
        <v>Acme Supply</v>
      </c>
      <c r="J40">
        <f>IFERROR(_xlfn.XLOOKUP(A40,inventory!B:B,inventory!D:D),0)</f>
        <v>191</v>
      </c>
      <c r="K40">
        <f>IFERROR(E40 * J40, 0)</f>
        <v>8100.3099999999995</v>
      </c>
      <c r="L40">
        <f>SUMIFS(order_items!D:D,order_items!C:C,A40)</f>
        <v>46</v>
      </c>
      <c r="M40" t="str">
        <f t="shared" si="0"/>
        <v>Normal</v>
      </c>
    </row>
    <row r="41" spans="1:13">
      <c r="A41">
        <v>40</v>
      </c>
      <c r="B41" t="s">
        <v>236</v>
      </c>
      <c r="C41" t="s">
        <v>237</v>
      </c>
      <c r="D41" t="s">
        <v>101</v>
      </c>
      <c r="E41">
        <v>177.43</v>
      </c>
      <c r="F41">
        <v>90.58</v>
      </c>
      <c r="G41">
        <v>8</v>
      </c>
      <c r="H41" t="s">
        <v>167</v>
      </c>
      <c r="I41" t="str">
        <f>_xlfn.XLOOKUP(G41,suppliers!A:A,suppliers!B:B)</f>
        <v>Metro Logistics</v>
      </c>
      <c r="J41">
        <f>IFERROR(_xlfn.XLOOKUP(A41,inventory!B:B,inventory!D:D),0)</f>
        <v>221</v>
      </c>
      <c r="K41">
        <f>IFERROR(E41 * J41, 0)</f>
        <v>39212.03</v>
      </c>
      <c r="L41">
        <f>SUMIFS(order_items!D:D,order_items!C:C,A41)</f>
        <v>42</v>
      </c>
      <c r="M41" t="str">
        <f t="shared" si="0"/>
        <v>Normal</v>
      </c>
    </row>
    <row r="42" spans="1:13">
      <c r="A42">
        <v>41</v>
      </c>
      <c r="B42" t="s">
        <v>15</v>
      </c>
      <c r="C42" t="s">
        <v>238</v>
      </c>
      <c r="D42" t="s">
        <v>101</v>
      </c>
      <c r="E42">
        <v>120.83</v>
      </c>
      <c r="F42">
        <v>153.69999999999999</v>
      </c>
      <c r="G42">
        <v>4</v>
      </c>
      <c r="H42" t="s">
        <v>167</v>
      </c>
      <c r="I42" t="str">
        <f>_xlfn.XLOOKUP(G42,suppliers!A:A,suppliers!B:B)</f>
        <v>Blue Ridge</v>
      </c>
      <c r="J42">
        <f>IFERROR(_xlfn.XLOOKUP(A42,inventory!B:B,inventory!D:D),0)</f>
        <v>300</v>
      </c>
      <c r="K42">
        <f>IFERROR(E42 * J42, 0)</f>
        <v>36249</v>
      </c>
      <c r="L42">
        <f>SUMIFS(order_items!D:D,order_items!C:C,A42)</f>
        <v>9</v>
      </c>
      <c r="M42" t="str">
        <f t="shared" si="0"/>
        <v>Slow Moving</v>
      </c>
    </row>
    <row r="43" spans="1:13">
      <c r="A43">
        <v>42</v>
      </c>
      <c r="B43" t="s">
        <v>239</v>
      </c>
      <c r="C43" t="s">
        <v>240</v>
      </c>
      <c r="D43" t="s">
        <v>99</v>
      </c>
      <c r="E43">
        <v>106.36</v>
      </c>
      <c r="F43">
        <v>169.53</v>
      </c>
      <c r="G43">
        <v>6</v>
      </c>
      <c r="H43" t="s">
        <v>167</v>
      </c>
      <c r="I43" t="str">
        <f>_xlfn.XLOOKUP(G43,suppliers!A:A,suppliers!B:B)</f>
        <v>Evergreen Imports</v>
      </c>
      <c r="J43">
        <f>IFERROR(_xlfn.XLOOKUP(A43,inventory!B:B,inventory!D:D),0)</f>
        <v>495</v>
      </c>
      <c r="K43">
        <f>IFERROR(E43 * J43, 0)</f>
        <v>52648.2</v>
      </c>
      <c r="L43">
        <f>SUMIFS(order_items!D:D,order_items!C:C,A43)</f>
        <v>22</v>
      </c>
      <c r="M43" t="str">
        <f t="shared" si="0"/>
        <v>Normal</v>
      </c>
    </row>
    <row r="44" spans="1:13">
      <c r="A44">
        <v>43</v>
      </c>
      <c r="B44" t="s">
        <v>79</v>
      </c>
      <c r="C44" t="s">
        <v>241</v>
      </c>
      <c r="D44" t="s">
        <v>102</v>
      </c>
      <c r="E44">
        <v>88.44</v>
      </c>
      <c r="F44">
        <v>277.02999999999997</v>
      </c>
      <c r="G44">
        <v>3</v>
      </c>
      <c r="H44" t="s">
        <v>167</v>
      </c>
      <c r="I44" t="str">
        <f>_xlfn.XLOOKUP(G44,suppliers!A:A,suppliers!B:B)</f>
        <v>PrimeSource</v>
      </c>
      <c r="J44">
        <f>IFERROR(_xlfn.XLOOKUP(A44,inventory!B:B,inventory!D:D),0)</f>
        <v>336</v>
      </c>
      <c r="K44">
        <f>IFERROR(E44 * J44, 0)</f>
        <v>29715.84</v>
      </c>
      <c r="L44">
        <f>SUMIFS(order_items!D:D,order_items!C:C,A44)</f>
        <v>54</v>
      </c>
      <c r="M44" t="str">
        <f t="shared" si="0"/>
        <v>Normal</v>
      </c>
    </row>
    <row r="45" spans="1:13">
      <c r="A45">
        <v>44</v>
      </c>
      <c r="B45" t="s">
        <v>242</v>
      </c>
      <c r="C45" t="s">
        <v>243</v>
      </c>
      <c r="D45" t="s">
        <v>98</v>
      </c>
      <c r="E45">
        <v>16.989999999999998</v>
      </c>
      <c r="F45">
        <v>34.369999999999997</v>
      </c>
      <c r="G45">
        <v>4</v>
      </c>
      <c r="H45" t="s">
        <v>164</v>
      </c>
      <c r="I45" t="str">
        <f>_xlfn.XLOOKUP(G45,suppliers!A:A,suppliers!B:B)</f>
        <v>Blue Ridge</v>
      </c>
      <c r="J45">
        <f>IFERROR(_xlfn.XLOOKUP(A45,inventory!B:B,inventory!D:D),0)</f>
        <v>432</v>
      </c>
      <c r="K45">
        <f>IFERROR(E45 * J45, 0)</f>
        <v>7339.6799999999994</v>
      </c>
      <c r="L45">
        <f>SUMIFS(order_items!D:D,order_items!C:C,A45)</f>
        <v>20</v>
      </c>
      <c r="M45" t="str">
        <f t="shared" si="0"/>
        <v>Normal</v>
      </c>
    </row>
    <row r="46" spans="1:13">
      <c r="A46">
        <v>45</v>
      </c>
      <c r="B46" t="s">
        <v>244</v>
      </c>
      <c r="C46" t="s">
        <v>245</v>
      </c>
      <c r="D46" t="s">
        <v>98</v>
      </c>
      <c r="E46">
        <v>48.09</v>
      </c>
      <c r="F46">
        <v>184.44</v>
      </c>
      <c r="G46">
        <v>2</v>
      </c>
      <c r="H46" t="s">
        <v>164</v>
      </c>
      <c r="I46" t="str">
        <f>_xlfn.XLOOKUP(G46,suppliers!A:A,suppliers!B:B)</f>
        <v>Global Goods</v>
      </c>
      <c r="J46">
        <f>IFERROR(_xlfn.XLOOKUP(A46,inventory!B:B,inventory!D:D),0)</f>
        <v>432</v>
      </c>
      <c r="K46">
        <f>IFERROR(E46 * J46, 0)</f>
        <v>20774.88</v>
      </c>
      <c r="L46">
        <f>SUMIFS(order_items!D:D,order_items!C:C,A46)</f>
        <v>40</v>
      </c>
      <c r="M46" t="str">
        <f t="shared" si="0"/>
        <v>Normal</v>
      </c>
    </row>
    <row r="47" spans="1:13">
      <c r="A47">
        <v>46</v>
      </c>
      <c r="B47" t="s">
        <v>91</v>
      </c>
      <c r="C47" t="s">
        <v>246</v>
      </c>
      <c r="D47" t="s">
        <v>105</v>
      </c>
      <c r="E47">
        <v>40.75</v>
      </c>
      <c r="F47">
        <v>219.11</v>
      </c>
      <c r="G47">
        <v>4</v>
      </c>
      <c r="H47" t="s">
        <v>167</v>
      </c>
      <c r="I47" t="str">
        <f>_xlfn.XLOOKUP(G47,suppliers!A:A,suppliers!B:B)</f>
        <v>Blue Ridge</v>
      </c>
      <c r="J47">
        <f>IFERROR(_xlfn.XLOOKUP(A47,inventory!B:B,inventory!D:D),0)</f>
        <v>475</v>
      </c>
      <c r="K47">
        <f>IFERROR(E47 * J47, 0)</f>
        <v>19356.25</v>
      </c>
      <c r="L47">
        <f>SUMIFS(order_items!D:D,order_items!C:C,A47)</f>
        <v>44</v>
      </c>
      <c r="M47" t="str">
        <f t="shared" si="0"/>
        <v>Normal</v>
      </c>
    </row>
    <row r="48" spans="1:13">
      <c r="A48">
        <v>47</v>
      </c>
      <c r="B48" t="s">
        <v>247</v>
      </c>
      <c r="C48" t="s">
        <v>248</v>
      </c>
      <c r="D48" t="s">
        <v>101</v>
      </c>
      <c r="E48">
        <v>122.55</v>
      </c>
      <c r="F48">
        <v>100.5</v>
      </c>
      <c r="G48">
        <v>6</v>
      </c>
      <c r="H48" t="s">
        <v>121</v>
      </c>
      <c r="I48" t="str">
        <f>_xlfn.XLOOKUP(G48,suppliers!A:A,suppliers!B:B)</f>
        <v>Evergreen Imports</v>
      </c>
      <c r="J48">
        <f>IFERROR(_xlfn.XLOOKUP(A48,inventory!B:B,inventory!D:D),0)</f>
        <v>445</v>
      </c>
      <c r="K48">
        <f>IFERROR(E48 * J48, 0)</f>
        <v>54534.75</v>
      </c>
      <c r="L48">
        <f>SUMIFS(order_items!D:D,order_items!C:C,A48)</f>
        <v>47</v>
      </c>
      <c r="M48" t="str">
        <f t="shared" si="0"/>
        <v>Normal</v>
      </c>
    </row>
    <row r="49" spans="1:13">
      <c r="A49">
        <v>48</v>
      </c>
      <c r="B49" t="s">
        <v>84</v>
      </c>
      <c r="C49" t="s">
        <v>249</v>
      </c>
      <c r="D49" t="s">
        <v>98</v>
      </c>
      <c r="E49">
        <v>85.2</v>
      </c>
      <c r="F49">
        <v>299.56</v>
      </c>
      <c r="G49">
        <v>2</v>
      </c>
      <c r="H49" t="s">
        <v>167</v>
      </c>
      <c r="I49" t="str">
        <f>_xlfn.XLOOKUP(G49,suppliers!A:A,suppliers!B:B)</f>
        <v>Global Goods</v>
      </c>
      <c r="J49">
        <f>IFERROR(_xlfn.XLOOKUP(A49,inventory!B:B,inventory!D:D),0)</f>
        <v>271</v>
      </c>
      <c r="K49">
        <f>IFERROR(E49 * J49, 0)</f>
        <v>23089.200000000001</v>
      </c>
      <c r="L49">
        <f>SUMIFS(order_items!D:D,order_items!C:C,A49)</f>
        <v>43</v>
      </c>
      <c r="M49" t="str">
        <f t="shared" si="0"/>
        <v>Normal</v>
      </c>
    </row>
    <row r="50" spans="1:13">
      <c r="A50">
        <v>49</v>
      </c>
      <c r="B50" t="s">
        <v>250</v>
      </c>
      <c r="C50" t="s">
        <v>251</v>
      </c>
      <c r="D50" t="s">
        <v>99</v>
      </c>
      <c r="E50">
        <v>51.41</v>
      </c>
      <c r="F50">
        <v>280.98</v>
      </c>
      <c r="G50">
        <v>2</v>
      </c>
      <c r="H50" t="s">
        <v>164</v>
      </c>
      <c r="I50" t="str">
        <f>_xlfn.XLOOKUP(G50,suppliers!A:A,suppliers!B:B)</f>
        <v>Global Goods</v>
      </c>
      <c r="J50">
        <f>IFERROR(_xlfn.XLOOKUP(A50,inventory!B:B,inventory!D:D),0)</f>
        <v>80</v>
      </c>
      <c r="K50">
        <f>IFERROR(E50 * J50, 0)</f>
        <v>4112.7999999999993</v>
      </c>
      <c r="L50">
        <f>SUMIFS(order_items!D:D,order_items!C:C,A50)</f>
        <v>18</v>
      </c>
      <c r="M50" t="str">
        <f t="shared" si="0"/>
        <v>Normal</v>
      </c>
    </row>
    <row r="51" spans="1:13">
      <c r="A51">
        <v>50</v>
      </c>
      <c r="B51" t="s">
        <v>252</v>
      </c>
      <c r="C51" t="s">
        <v>253</v>
      </c>
      <c r="D51" t="s">
        <v>105</v>
      </c>
      <c r="E51">
        <v>32.61</v>
      </c>
      <c r="F51">
        <v>252.62</v>
      </c>
      <c r="G51">
        <v>5</v>
      </c>
      <c r="H51" t="s">
        <v>167</v>
      </c>
      <c r="I51" t="str">
        <f>_xlfn.XLOOKUP(G51,suppliers!A:A,suppliers!B:B)</f>
        <v>Utah Wholesale</v>
      </c>
      <c r="J51">
        <f>IFERROR(_xlfn.XLOOKUP(A51,inventory!B:B,inventory!D:D),0)</f>
        <v>110</v>
      </c>
      <c r="K51">
        <f>IFERROR(E51 * J51, 0)</f>
        <v>3587.1</v>
      </c>
      <c r="L51">
        <f>SUMIFS(order_items!D:D,order_items!C:C,A51)</f>
        <v>26</v>
      </c>
      <c r="M51" t="str">
        <f t="shared" si="0"/>
        <v>Normal</v>
      </c>
    </row>
    <row r="52" spans="1:13">
      <c r="A52">
        <v>51</v>
      </c>
      <c r="B52" t="s">
        <v>254</v>
      </c>
      <c r="C52" t="s">
        <v>255</v>
      </c>
      <c r="D52" t="s">
        <v>102</v>
      </c>
      <c r="E52">
        <v>57.39</v>
      </c>
      <c r="F52">
        <v>204.07</v>
      </c>
      <c r="G52">
        <v>3</v>
      </c>
      <c r="H52" t="s">
        <v>167</v>
      </c>
      <c r="I52" t="str">
        <f>_xlfn.XLOOKUP(G52,suppliers!A:A,suppliers!B:B)</f>
        <v>PrimeSource</v>
      </c>
      <c r="J52">
        <f>IFERROR(_xlfn.XLOOKUP(A52,inventory!B:B,inventory!D:D),0)</f>
        <v>112</v>
      </c>
      <c r="K52">
        <f>IFERROR(E52 * J52, 0)</f>
        <v>6427.68</v>
      </c>
      <c r="L52">
        <f>SUMIFS(order_items!D:D,order_items!C:C,A52)</f>
        <v>11</v>
      </c>
      <c r="M52" t="str">
        <f t="shared" si="0"/>
        <v>Normal</v>
      </c>
    </row>
    <row r="53" spans="1:13">
      <c r="A53">
        <v>52</v>
      </c>
      <c r="B53" t="s">
        <v>256</v>
      </c>
      <c r="C53" t="s">
        <v>257</v>
      </c>
      <c r="D53" t="s">
        <v>98</v>
      </c>
      <c r="E53">
        <v>134.91999999999999</v>
      </c>
      <c r="F53">
        <v>59.3</v>
      </c>
      <c r="G53">
        <v>5</v>
      </c>
      <c r="H53" t="s">
        <v>167</v>
      </c>
      <c r="I53" t="str">
        <f>_xlfn.XLOOKUP(G53,suppliers!A:A,suppliers!B:B)</f>
        <v>Utah Wholesale</v>
      </c>
      <c r="J53">
        <f>IFERROR(_xlfn.XLOOKUP(A53,inventory!B:B,inventory!D:D),0)</f>
        <v>0</v>
      </c>
      <c r="K53">
        <f>IFERROR(E53 * J53, 0)</f>
        <v>0</v>
      </c>
      <c r="L53">
        <f>SUMIFS(order_items!D:D,order_items!C:C,A53)</f>
        <v>55</v>
      </c>
      <c r="M53" t="str">
        <f t="shared" si="0"/>
        <v>Normal</v>
      </c>
    </row>
    <row r="54" spans="1:13">
      <c r="A54">
        <v>53</v>
      </c>
      <c r="B54" t="s">
        <v>258</v>
      </c>
      <c r="C54" t="s">
        <v>259</v>
      </c>
      <c r="D54" t="s">
        <v>99</v>
      </c>
      <c r="E54" t="s">
        <v>145</v>
      </c>
      <c r="F54">
        <v>73.03</v>
      </c>
      <c r="G54">
        <v>5</v>
      </c>
      <c r="H54" t="s">
        <v>167</v>
      </c>
      <c r="I54" t="str">
        <f>_xlfn.XLOOKUP(G54,suppliers!A:A,suppliers!B:B)</f>
        <v>Utah Wholesale</v>
      </c>
      <c r="J54">
        <f>IFERROR(_xlfn.XLOOKUP(A54,inventory!B:B,inventory!D:D),0)</f>
        <v>286</v>
      </c>
      <c r="K54">
        <f>IFERROR(E54 * J54, 0)</f>
        <v>0</v>
      </c>
      <c r="L54">
        <f>SUMIFS(order_items!D:D,order_items!C:C,A54)</f>
        <v>19</v>
      </c>
      <c r="M54" t="str">
        <f t="shared" si="0"/>
        <v>Normal</v>
      </c>
    </row>
    <row r="55" spans="1:13">
      <c r="A55">
        <v>54</v>
      </c>
      <c r="B55" t="s">
        <v>260</v>
      </c>
      <c r="C55" t="s">
        <v>261</v>
      </c>
      <c r="D55" t="s">
        <v>100</v>
      </c>
      <c r="E55">
        <v>163.43</v>
      </c>
      <c r="F55">
        <v>256.14</v>
      </c>
      <c r="G55">
        <v>2</v>
      </c>
      <c r="H55" t="s">
        <v>164</v>
      </c>
      <c r="I55" t="str">
        <f>_xlfn.XLOOKUP(G55,suppliers!A:A,suppliers!B:B)</f>
        <v>Global Goods</v>
      </c>
      <c r="J55">
        <f>IFERROR(_xlfn.XLOOKUP(A55,inventory!B:B,inventory!D:D),0)</f>
        <v>441</v>
      </c>
      <c r="K55">
        <f>IFERROR(E55 * J55, 0)</f>
        <v>72072.63</v>
      </c>
      <c r="L55">
        <f>SUMIFS(order_items!D:D,order_items!C:C,A55)</f>
        <v>11</v>
      </c>
      <c r="M55" t="str">
        <f t="shared" si="0"/>
        <v>Normal</v>
      </c>
    </row>
    <row r="56" spans="1:13">
      <c r="A56">
        <v>55</v>
      </c>
      <c r="B56" t="s">
        <v>262</v>
      </c>
      <c r="C56" t="s">
        <v>263</v>
      </c>
      <c r="D56" t="s">
        <v>101</v>
      </c>
      <c r="E56">
        <v>12.72</v>
      </c>
      <c r="F56">
        <v>110.06</v>
      </c>
      <c r="G56">
        <v>3</v>
      </c>
      <c r="H56" t="s">
        <v>164</v>
      </c>
      <c r="I56" t="str">
        <f>_xlfn.XLOOKUP(G56,suppliers!A:A,suppliers!B:B)</f>
        <v>PrimeSource</v>
      </c>
      <c r="J56">
        <f>IFERROR(_xlfn.XLOOKUP(A56,inventory!B:B,inventory!D:D),0)</f>
        <v>363</v>
      </c>
      <c r="K56">
        <f>IFERROR(E56 * J56, 0)</f>
        <v>4617.3600000000006</v>
      </c>
      <c r="L56">
        <f>SUMIFS(order_items!D:D,order_items!C:C,A56)</f>
        <v>24</v>
      </c>
      <c r="M56" t="str">
        <f t="shared" si="0"/>
        <v>Normal</v>
      </c>
    </row>
    <row r="57" spans="1:13">
      <c r="A57">
        <v>56</v>
      </c>
      <c r="B57" t="s">
        <v>264</v>
      </c>
      <c r="C57" t="s">
        <v>265</v>
      </c>
      <c r="D57" t="s">
        <v>103</v>
      </c>
      <c r="E57">
        <v>134.72</v>
      </c>
      <c r="F57">
        <v>172.23</v>
      </c>
      <c r="G57">
        <v>7</v>
      </c>
      <c r="H57" t="s">
        <v>167</v>
      </c>
      <c r="I57" t="str">
        <f>_xlfn.XLOOKUP(G57,suppliers!A:A,suppliers!B:B)</f>
        <v>Summit Trading</v>
      </c>
      <c r="J57">
        <f>IFERROR(_xlfn.XLOOKUP(A57,inventory!B:B,inventory!D:D),0)</f>
        <v>425</v>
      </c>
      <c r="K57">
        <f>IFERROR(E57 * J57, 0)</f>
        <v>57256</v>
      </c>
      <c r="L57">
        <f>SUMIFS(order_items!D:D,order_items!C:C,A57)</f>
        <v>28</v>
      </c>
      <c r="M57" t="str">
        <f t="shared" si="0"/>
        <v>Normal</v>
      </c>
    </row>
    <row r="58" spans="1:13">
      <c r="A58">
        <v>57</v>
      </c>
      <c r="B58" t="s">
        <v>94</v>
      </c>
      <c r="C58" t="s">
        <v>266</v>
      </c>
      <c r="D58" t="s">
        <v>102</v>
      </c>
      <c r="E58">
        <v>18.170000000000002</v>
      </c>
      <c r="F58">
        <v>266.69</v>
      </c>
      <c r="G58">
        <v>3</v>
      </c>
      <c r="H58" t="s">
        <v>167</v>
      </c>
      <c r="I58" t="str">
        <f>_xlfn.XLOOKUP(G58,suppliers!A:A,suppliers!B:B)</f>
        <v>PrimeSource</v>
      </c>
      <c r="J58">
        <f>IFERROR(_xlfn.XLOOKUP(A58,inventory!B:B,inventory!D:D),0)</f>
        <v>432</v>
      </c>
      <c r="K58">
        <f>IFERROR(E58 * J58, 0)</f>
        <v>7849.4400000000005</v>
      </c>
      <c r="L58">
        <f>SUMIFS(order_items!D:D,order_items!C:C,A58)</f>
        <v>34</v>
      </c>
      <c r="M58" t="str">
        <f t="shared" si="0"/>
        <v>Normal</v>
      </c>
    </row>
    <row r="59" spans="1:13">
      <c r="A59">
        <v>58</v>
      </c>
      <c r="B59" t="s">
        <v>267</v>
      </c>
      <c r="C59" t="s">
        <v>268</v>
      </c>
      <c r="D59" t="s">
        <v>102</v>
      </c>
      <c r="E59">
        <v>106.94</v>
      </c>
      <c r="F59">
        <v>57.21</v>
      </c>
      <c r="G59">
        <v>3</v>
      </c>
      <c r="H59" t="s">
        <v>167</v>
      </c>
      <c r="I59" t="str">
        <f>_xlfn.XLOOKUP(G59,suppliers!A:A,suppliers!B:B)</f>
        <v>PrimeSource</v>
      </c>
      <c r="J59">
        <f>IFERROR(_xlfn.XLOOKUP(A59,inventory!B:B,inventory!D:D),0)</f>
        <v>445</v>
      </c>
      <c r="K59">
        <f>IFERROR(E59 * J59, 0)</f>
        <v>47588.299999999996</v>
      </c>
      <c r="L59">
        <f>SUMIFS(order_items!D:D,order_items!C:C,A59)</f>
        <v>16</v>
      </c>
      <c r="M59" t="str">
        <f t="shared" si="0"/>
        <v>Normal</v>
      </c>
    </row>
    <row r="60" spans="1:13">
      <c r="A60">
        <v>59</v>
      </c>
      <c r="B60" t="s">
        <v>269</v>
      </c>
      <c r="C60" t="s">
        <v>270</v>
      </c>
      <c r="D60" t="s">
        <v>103</v>
      </c>
      <c r="E60">
        <v>162.32</v>
      </c>
      <c r="F60">
        <v>0</v>
      </c>
      <c r="G60">
        <v>1</v>
      </c>
      <c r="H60" t="s">
        <v>167</v>
      </c>
      <c r="I60" t="str">
        <f>_xlfn.XLOOKUP(G60,suppliers!A:A,suppliers!B:B)</f>
        <v>Acme Supply</v>
      </c>
      <c r="J60">
        <f>IFERROR(_xlfn.XLOOKUP(A60,inventory!B:B,inventory!D:D),0)</f>
        <v>178</v>
      </c>
      <c r="K60">
        <f>IFERROR(E60 * J60, 0)</f>
        <v>28892.959999999999</v>
      </c>
      <c r="L60">
        <f>SUMIFS(order_items!D:D,order_items!C:C,A60)</f>
        <v>17</v>
      </c>
      <c r="M60" t="str">
        <f t="shared" si="0"/>
        <v>Normal</v>
      </c>
    </row>
    <row r="61" spans="1:13">
      <c r="A61">
        <v>60</v>
      </c>
      <c r="B61" t="s">
        <v>271</v>
      </c>
      <c r="C61" t="s">
        <v>272</v>
      </c>
      <c r="D61" t="s">
        <v>99</v>
      </c>
      <c r="E61">
        <v>121.71</v>
      </c>
      <c r="F61">
        <v>115.8</v>
      </c>
      <c r="G61">
        <v>7</v>
      </c>
      <c r="H61" t="s">
        <v>167</v>
      </c>
      <c r="I61" t="str">
        <f>_xlfn.XLOOKUP(G61,suppliers!A:A,suppliers!B:B)</f>
        <v>Summit Trading</v>
      </c>
      <c r="J61">
        <f>IFERROR(_xlfn.XLOOKUP(A61,inventory!B:B,inventory!D:D),0)</f>
        <v>389</v>
      </c>
      <c r="K61">
        <f>IFERROR(E61 * J61, 0)</f>
        <v>47345.189999999995</v>
      </c>
      <c r="L61">
        <f>SUMIFS(order_items!D:D,order_items!C:C,A61)</f>
        <v>31</v>
      </c>
      <c r="M61" t="str">
        <f t="shared" si="0"/>
        <v>Normal</v>
      </c>
    </row>
    <row r="62" spans="1:13">
      <c r="A62">
        <v>61</v>
      </c>
      <c r="B62" t="s">
        <v>85</v>
      </c>
      <c r="C62" t="s">
        <v>273</v>
      </c>
      <c r="D62" t="s">
        <v>104</v>
      </c>
      <c r="E62">
        <v>156.31</v>
      </c>
      <c r="F62">
        <v>293.22000000000003</v>
      </c>
      <c r="G62">
        <v>3</v>
      </c>
      <c r="H62" t="s">
        <v>164</v>
      </c>
      <c r="I62" t="str">
        <f>_xlfn.XLOOKUP(G62,suppliers!A:A,suppliers!B:B)</f>
        <v>PrimeSource</v>
      </c>
      <c r="J62">
        <f>IFERROR(_xlfn.XLOOKUP(A62,inventory!B:B,inventory!D:D),0)</f>
        <v>237</v>
      </c>
      <c r="K62">
        <f>IFERROR(E62 * J62, 0)</f>
        <v>37045.47</v>
      </c>
      <c r="L62">
        <f>SUMIFS(order_items!D:D,order_items!C:C,A62)</f>
        <v>43</v>
      </c>
      <c r="M62" t="str">
        <f t="shared" si="0"/>
        <v>Normal</v>
      </c>
    </row>
    <row r="63" spans="1:13">
      <c r="A63">
        <v>62</v>
      </c>
      <c r="B63" t="s">
        <v>274</v>
      </c>
      <c r="C63" t="s">
        <v>275</v>
      </c>
      <c r="D63" t="s">
        <v>102</v>
      </c>
      <c r="E63">
        <v>133.9</v>
      </c>
      <c r="F63">
        <v>109.67</v>
      </c>
      <c r="G63">
        <v>7</v>
      </c>
      <c r="H63" t="s">
        <v>121</v>
      </c>
      <c r="I63" t="str">
        <f>_xlfn.XLOOKUP(G63,suppliers!A:A,suppliers!B:B)</f>
        <v>Summit Trading</v>
      </c>
      <c r="J63">
        <f>IFERROR(_xlfn.XLOOKUP(A63,inventory!B:B,inventory!D:D),0)</f>
        <v>497</v>
      </c>
      <c r="K63">
        <f>IFERROR(E63 * J63, 0)</f>
        <v>66548.3</v>
      </c>
      <c r="L63">
        <f>SUMIFS(order_items!D:D,order_items!C:C,A63)</f>
        <v>18</v>
      </c>
      <c r="M63" t="str">
        <f t="shared" si="0"/>
        <v>Normal</v>
      </c>
    </row>
    <row r="64" spans="1:13">
      <c r="A64">
        <v>63</v>
      </c>
      <c r="B64" t="s">
        <v>276</v>
      </c>
      <c r="C64" t="s">
        <v>277</v>
      </c>
      <c r="D64" t="s">
        <v>99</v>
      </c>
      <c r="E64">
        <v>32.86</v>
      </c>
      <c r="F64">
        <v>214.86</v>
      </c>
      <c r="G64">
        <v>7</v>
      </c>
      <c r="H64" t="s">
        <v>121</v>
      </c>
      <c r="I64" t="str">
        <f>_xlfn.XLOOKUP(G64,suppliers!A:A,suppliers!B:B)</f>
        <v>Summit Trading</v>
      </c>
      <c r="J64">
        <f>IFERROR(_xlfn.XLOOKUP(A64,inventory!B:B,inventory!D:D),0)</f>
        <v>37</v>
      </c>
      <c r="K64">
        <f>IFERROR(E64 * J64, 0)</f>
        <v>1215.82</v>
      </c>
      <c r="L64">
        <f>SUMIFS(order_items!D:D,order_items!C:C,A64)</f>
        <v>31</v>
      </c>
      <c r="M64" t="str">
        <f t="shared" si="0"/>
        <v>Normal</v>
      </c>
    </row>
    <row r="65" spans="1:13">
      <c r="A65">
        <v>64</v>
      </c>
      <c r="B65" t="s">
        <v>278</v>
      </c>
      <c r="C65" t="s">
        <v>279</v>
      </c>
      <c r="D65" t="s">
        <v>102</v>
      </c>
      <c r="E65">
        <v>43.93</v>
      </c>
      <c r="F65">
        <v>247.73</v>
      </c>
      <c r="G65">
        <v>8</v>
      </c>
      <c r="H65" t="s">
        <v>167</v>
      </c>
      <c r="I65" t="str">
        <f>_xlfn.XLOOKUP(G65,suppliers!A:A,suppliers!B:B)</f>
        <v>Metro Logistics</v>
      </c>
      <c r="J65">
        <f>IFERROR(_xlfn.XLOOKUP(A65,inventory!B:B,inventory!D:D),0)</f>
        <v>196</v>
      </c>
      <c r="K65">
        <f>IFERROR(E65 * J65, 0)</f>
        <v>8610.2800000000007</v>
      </c>
      <c r="L65">
        <f>SUMIFS(order_items!D:D,order_items!C:C,A65)</f>
        <v>18</v>
      </c>
      <c r="M65" t="str">
        <f t="shared" si="0"/>
        <v>Normal</v>
      </c>
    </row>
    <row r="66" spans="1:13">
      <c r="A66">
        <v>65</v>
      </c>
      <c r="B66" t="s">
        <v>280</v>
      </c>
      <c r="C66" t="s">
        <v>281</v>
      </c>
      <c r="D66" t="s">
        <v>103</v>
      </c>
      <c r="E66">
        <v>44.01</v>
      </c>
      <c r="F66">
        <v>203.11</v>
      </c>
      <c r="G66">
        <v>7</v>
      </c>
      <c r="H66" t="s">
        <v>167</v>
      </c>
      <c r="I66" t="str">
        <f>_xlfn.XLOOKUP(G66,suppliers!A:A,suppliers!B:B)</f>
        <v>Summit Trading</v>
      </c>
      <c r="J66">
        <f>IFERROR(_xlfn.XLOOKUP(A66,inventory!B:B,inventory!D:D),0)</f>
        <v>292</v>
      </c>
      <c r="K66">
        <f>IFERROR(E66 * J66, 0)</f>
        <v>12850.92</v>
      </c>
      <c r="L66">
        <f>SUMIFS(order_items!D:D,order_items!C:C,A66)</f>
        <v>12</v>
      </c>
      <c r="M66" t="str">
        <f t="shared" ref="M66:M129" si="1">IF(L66&lt;10,"Slow Moving","Normal")</f>
        <v>Normal</v>
      </c>
    </row>
    <row r="67" spans="1:13">
      <c r="A67">
        <v>66</v>
      </c>
      <c r="B67" t="s">
        <v>282</v>
      </c>
      <c r="C67" t="s">
        <v>283</v>
      </c>
      <c r="D67" t="s">
        <v>103</v>
      </c>
      <c r="E67">
        <v>174.21</v>
      </c>
      <c r="F67">
        <v>94.55</v>
      </c>
      <c r="G67">
        <v>7</v>
      </c>
      <c r="H67" t="s">
        <v>164</v>
      </c>
      <c r="I67" t="str">
        <f>_xlfn.XLOOKUP(G67,suppliers!A:A,suppliers!B:B)</f>
        <v>Summit Trading</v>
      </c>
      <c r="J67">
        <f>IFERROR(_xlfn.XLOOKUP(A67,inventory!B:B,inventory!D:D),0)</f>
        <v>20</v>
      </c>
      <c r="K67">
        <f>IFERROR(E67 * J67, 0)</f>
        <v>3484.2000000000003</v>
      </c>
      <c r="L67">
        <f>SUMIFS(order_items!D:D,order_items!C:C,A67)</f>
        <v>15</v>
      </c>
      <c r="M67" t="str">
        <f t="shared" si="1"/>
        <v>Normal</v>
      </c>
    </row>
    <row r="68" spans="1:13">
      <c r="A68">
        <v>67</v>
      </c>
      <c r="B68" t="s">
        <v>284</v>
      </c>
      <c r="C68" t="s">
        <v>285</v>
      </c>
      <c r="D68" t="s">
        <v>105</v>
      </c>
      <c r="E68">
        <v>25.18</v>
      </c>
      <c r="F68">
        <v>291.56</v>
      </c>
      <c r="G68">
        <v>3</v>
      </c>
      <c r="H68" t="s">
        <v>167</v>
      </c>
      <c r="I68" t="str">
        <f>_xlfn.XLOOKUP(G68,suppliers!A:A,suppliers!B:B)</f>
        <v>PrimeSource</v>
      </c>
      <c r="J68">
        <f>IFERROR(_xlfn.XLOOKUP(A68,inventory!B:B,inventory!D:D),0)</f>
        <v>190</v>
      </c>
      <c r="K68">
        <f>IFERROR(E68 * J68, 0)</f>
        <v>4784.2</v>
      </c>
      <c r="L68">
        <f>SUMIFS(order_items!D:D,order_items!C:C,A68)</f>
        <v>25</v>
      </c>
      <c r="M68" t="str">
        <f t="shared" si="1"/>
        <v>Normal</v>
      </c>
    </row>
    <row r="69" spans="1:13">
      <c r="A69">
        <v>68</v>
      </c>
      <c r="B69" t="s">
        <v>286</v>
      </c>
      <c r="C69" t="s">
        <v>287</v>
      </c>
      <c r="D69" t="s">
        <v>103</v>
      </c>
      <c r="E69">
        <v>23.97</v>
      </c>
      <c r="F69">
        <v>138.85</v>
      </c>
      <c r="G69">
        <v>6</v>
      </c>
      <c r="H69" t="s">
        <v>164</v>
      </c>
      <c r="I69" t="str">
        <f>_xlfn.XLOOKUP(G69,suppliers!A:A,suppliers!B:B)</f>
        <v>Evergreen Imports</v>
      </c>
      <c r="J69">
        <f>IFERROR(_xlfn.XLOOKUP(A69,inventory!B:B,inventory!D:D),0)</f>
        <v>404</v>
      </c>
      <c r="K69">
        <f>IFERROR(E69 * J69, 0)</f>
        <v>9683.8799999999992</v>
      </c>
      <c r="L69">
        <f>SUMIFS(order_items!D:D,order_items!C:C,A69)</f>
        <v>44</v>
      </c>
      <c r="M69" t="str">
        <f t="shared" si="1"/>
        <v>Normal</v>
      </c>
    </row>
    <row r="70" spans="1:13">
      <c r="A70">
        <v>69</v>
      </c>
      <c r="B70" t="s">
        <v>14</v>
      </c>
      <c r="C70" t="s">
        <v>288</v>
      </c>
      <c r="D70" t="s">
        <v>98</v>
      </c>
      <c r="E70">
        <v>162.41</v>
      </c>
      <c r="F70">
        <v>69.17</v>
      </c>
      <c r="G70">
        <v>1</v>
      </c>
      <c r="H70" t="s">
        <v>164</v>
      </c>
      <c r="I70" t="str">
        <f>_xlfn.XLOOKUP(G70,suppliers!A:A,suppliers!B:B)</f>
        <v>Acme Supply</v>
      </c>
      <c r="J70">
        <f>IFERROR(_xlfn.XLOOKUP(A70,inventory!B:B,inventory!D:D),0)</f>
        <v>370</v>
      </c>
      <c r="K70">
        <f>IFERROR(E70 * J70, 0)</f>
        <v>60091.7</v>
      </c>
      <c r="L70">
        <f>SUMIFS(order_items!D:D,order_items!C:C,A70)</f>
        <v>8</v>
      </c>
      <c r="M70" t="str">
        <f t="shared" si="1"/>
        <v>Slow Moving</v>
      </c>
    </row>
    <row r="71" spans="1:13">
      <c r="A71">
        <v>70</v>
      </c>
      <c r="B71" t="s">
        <v>289</v>
      </c>
      <c r="C71" t="s">
        <v>290</v>
      </c>
      <c r="D71" t="s">
        <v>101</v>
      </c>
      <c r="E71">
        <v>95.99</v>
      </c>
      <c r="F71">
        <v>244.86</v>
      </c>
      <c r="G71">
        <v>4</v>
      </c>
      <c r="H71" t="s">
        <v>167</v>
      </c>
      <c r="I71" t="str">
        <f>_xlfn.XLOOKUP(G71,suppliers!A:A,suppliers!B:B)</f>
        <v>Blue Ridge</v>
      </c>
      <c r="J71">
        <f>IFERROR(_xlfn.XLOOKUP(A71,inventory!B:B,inventory!D:D),0)</f>
        <v>66</v>
      </c>
      <c r="K71">
        <f>IFERROR(E71 * J71, 0)</f>
        <v>6335.3399999999992</v>
      </c>
      <c r="L71">
        <f>SUMIFS(order_items!D:D,order_items!C:C,A71)</f>
        <v>26</v>
      </c>
      <c r="M71" t="str">
        <f t="shared" si="1"/>
        <v>Normal</v>
      </c>
    </row>
    <row r="72" spans="1:13">
      <c r="A72">
        <v>71</v>
      </c>
      <c r="B72" t="s">
        <v>291</v>
      </c>
      <c r="C72" t="s">
        <v>292</v>
      </c>
      <c r="D72" t="s">
        <v>101</v>
      </c>
      <c r="E72">
        <v>171.05</v>
      </c>
      <c r="F72">
        <v>277.42</v>
      </c>
      <c r="G72">
        <v>6</v>
      </c>
      <c r="H72" t="s">
        <v>164</v>
      </c>
      <c r="I72" t="str">
        <f>_xlfn.XLOOKUP(G72,suppliers!A:A,suppliers!B:B)</f>
        <v>Evergreen Imports</v>
      </c>
      <c r="J72">
        <f>IFERROR(_xlfn.XLOOKUP(A72,inventory!B:B,inventory!D:D),0)</f>
        <v>359</v>
      </c>
      <c r="K72">
        <f>IFERROR(E72 * J72, 0)</f>
        <v>61406.950000000004</v>
      </c>
      <c r="L72">
        <f>SUMIFS(order_items!D:D,order_items!C:C,A72)</f>
        <v>28</v>
      </c>
      <c r="M72" t="str">
        <f t="shared" si="1"/>
        <v>Normal</v>
      </c>
    </row>
    <row r="73" spans="1:13">
      <c r="A73">
        <v>72</v>
      </c>
      <c r="B73" t="s">
        <v>293</v>
      </c>
      <c r="C73" t="s">
        <v>294</v>
      </c>
      <c r="D73" t="s">
        <v>98</v>
      </c>
      <c r="E73">
        <v>93.75</v>
      </c>
      <c r="F73">
        <v>205.06</v>
      </c>
      <c r="G73">
        <v>6</v>
      </c>
      <c r="H73" t="s">
        <v>164</v>
      </c>
      <c r="I73" t="str">
        <f>_xlfn.XLOOKUP(G73,suppliers!A:A,suppliers!B:B)</f>
        <v>Evergreen Imports</v>
      </c>
      <c r="J73">
        <f>IFERROR(_xlfn.XLOOKUP(A73,inventory!B:B,inventory!D:D),0)</f>
        <v>158</v>
      </c>
      <c r="K73">
        <f>IFERROR(E73 * J73, 0)</f>
        <v>14812.5</v>
      </c>
      <c r="L73">
        <f>SUMIFS(order_items!D:D,order_items!C:C,A73)</f>
        <v>16</v>
      </c>
      <c r="M73" t="str">
        <f t="shared" si="1"/>
        <v>Normal</v>
      </c>
    </row>
    <row r="74" spans="1:13">
      <c r="A74">
        <v>73</v>
      </c>
      <c r="B74" t="s">
        <v>295</v>
      </c>
      <c r="C74" t="s">
        <v>296</v>
      </c>
      <c r="D74" t="s">
        <v>103</v>
      </c>
      <c r="E74">
        <v>27.28</v>
      </c>
      <c r="F74">
        <v>134.83000000000001</v>
      </c>
      <c r="G74">
        <v>7</v>
      </c>
      <c r="H74" t="s">
        <v>164</v>
      </c>
      <c r="I74" t="str">
        <f>_xlfn.XLOOKUP(G74,suppliers!A:A,suppliers!B:B)</f>
        <v>Summit Trading</v>
      </c>
      <c r="J74">
        <f>IFERROR(_xlfn.XLOOKUP(A74,inventory!B:B,inventory!D:D),0)</f>
        <v>70</v>
      </c>
      <c r="K74">
        <f>IFERROR(E74 * J74, 0)</f>
        <v>1909.6000000000001</v>
      </c>
      <c r="L74">
        <f>SUMIFS(order_items!D:D,order_items!C:C,A74)</f>
        <v>55</v>
      </c>
      <c r="M74" t="str">
        <f t="shared" si="1"/>
        <v>Normal</v>
      </c>
    </row>
    <row r="75" spans="1:13">
      <c r="A75">
        <v>74</v>
      </c>
      <c r="B75" t="s">
        <v>297</v>
      </c>
      <c r="C75" t="s">
        <v>298</v>
      </c>
      <c r="D75" t="s">
        <v>104</v>
      </c>
      <c r="E75">
        <v>104.59</v>
      </c>
      <c r="F75">
        <v>130.72999999999999</v>
      </c>
      <c r="G75">
        <v>1</v>
      </c>
      <c r="H75" t="s">
        <v>167</v>
      </c>
      <c r="I75" t="str">
        <f>_xlfn.XLOOKUP(G75,suppliers!A:A,suppliers!B:B)</f>
        <v>Acme Supply</v>
      </c>
      <c r="J75">
        <f>IFERROR(_xlfn.XLOOKUP(A75,inventory!B:B,inventory!D:D),0)</f>
        <v>394</v>
      </c>
      <c r="K75">
        <f>IFERROR(E75 * J75, 0)</f>
        <v>41208.46</v>
      </c>
      <c r="L75">
        <f>SUMIFS(order_items!D:D,order_items!C:C,A75)</f>
        <v>42</v>
      </c>
      <c r="M75" t="str">
        <f t="shared" si="1"/>
        <v>Normal</v>
      </c>
    </row>
    <row r="76" spans="1:13">
      <c r="A76">
        <v>75</v>
      </c>
      <c r="B76" t="s">
        <v>299</v>
      </c>
      <c r="C76" t="s">
        <v>300</v>
      </c>
      <c r="D76" t="s">
        <v>103</v>
      </c>
      <c r="E76">
        <v>80.23</v>
      </c>
      <c r="F76">
        <v>180.3</v>
      </c>
      <c r="G76">
        <v>6</v>
      </c>
      <c r="H76" t="s">
        <v>164</v>
      </c>
      <c r="I76" t="str">
        <f>_xlfn.XLOOKUP(G76,suppliers!A:A,suppliers!B:B)</f>
        <v>Evergreen Imports</v>
      </c>
      <c r="J76">
        <f>IFERROR(_xlfn.XLOOKUP(A76,inventory!B:B,inventory!D:D),0)</f>
        <v>316</v>
      </c>
      <c r="K76">
        <f>IFERROR(E76 * J76, 0)</f>
        <v>25352.68</v>
      </c>
      <c r="L76">
        <f>SUMIFS(order_items!D:D,order_items!C:C,A76)</f>
        <v>40</v>
      </c>
      <c r="M76" t="str">
        <f t="shared" si="1"/>
        <v>Normal</v>
      </c>
    </row>
    <row r="77" spans="1:13">
      <c r="A77">
        <v>76</v>
      </c>
      <c r="B77" t="s">
        <v>301</v>
      </c>
      <c r="C77" t="s">
        <v>302</v>
      </c>
      <c r="D77" t="s">
        <v>100</v>
      </c>
      <c r="E77">
        <v>123.23</v>
      </c>
      <c r="F77">
        <v>160.68</v>
      </c>
      <c r="G77">
        <v>3</v>
      </c>
      <c r="H77" t="s">
        <v>164</v>
      </c>
      <c r="I77" t="str">
        <f>_xlfn.XLOOKUP(G77,suppliers!A:A,suppliers!B:B)</f>
        <v>PrimeSource</v>
      </c>
      <c r="J77">
        <f>IFERROR(_xlfn.XLOOKUP(A77,inventory!B:B,inventory!D:D),0)</f>
        <v>22</v>
      </c>
      <c r="K77">
        <f>IFERROR(E77 * J77, 0)</f>
        <v>2711.06</v>
      </c>
      <c r="L77">
        <f>SUMIFS(order_items!D:D,order_items!C:C,A77)</f>
        <v>56</v>
      </c>
      <c r="M77" t="str">
        <f t="shared" si="1"/>
        <v>Normal</v>
      </c>
    </row>
    <row r="78" spans="1:13">
      <c r="A78">
        <v>77</v>
      </c>
      <c r="B78" t="s">
        <v>303</v>
      </c>
      <c r="C78" t="s">
        <v>304</v>
      </c>
      <c r="D78" t="s">
        <v>98</v>
      </c>
      <c r="E78">
        <v>95.2</v>
      </c>
      <c r="F78">
        <v>195.39</v>
      </c>
      <c r="G78">
        <v>6</v>
      </c>
      <c r="H78" t="s">
        <v>167</v>
      </c>
      <c r="I78" t="str">
        <f>_xlfn.XLOOKUP(G78,suppliers!A:A,suppliers!B:B)</f>
        <v>Evergreen Imports</v>
      </c>
      <c r="J78">
        <f>IFERROR(_xlfn.XLOOKUP(A78,inventory!B:B,inventory!D:D),0)</f>
        <v>145</v>
      </c>
      <c r="K78">
        <f>IFERROR(E78 * J78, 0)</f>
        <v>13804</v>
      </c>
      <c r="L78">
        <f>SUMIFS(order_items!D:D,order_items!C:C,A78)</f>
        <v>22</v>
      </c>
      <c r="M78" t="str">
        <f t="shared" si="1"/>
        <v>Normal</v>
      </c>
    </row>
    <row r="79" spans="1:13">
      <c r="A79">
        <v>78</v>
      </c>
      <c r="B79" t="s">
        <v>305</v>
      </c>
      <c r="C79" t="s">
        <v>306</v>
      </c>
      <c r="D79" t="s">
        <v>99</v>
      </c>
      <c r="E79">
        <v>44.31</v>
      </c>
      <c r="F79">
        <v>71.75</v>
      </c>
      <c r="G79">
        <v>1</v>
      </c>
      <c r="H79" t="s">
        <v>167</v>
      </c>
      <c r="I79" t="str">
        <f>_xlfn.XLOOKUP(G79,suppliers!A:A,suppliers!B:B)</f>
        <v>Acme Supply</v>
      </c>
      <c r="J79">
        <f>IFERROR(_xlfn.XLOOKUP(A79,inventory!B:B,inventory!D:D),0)</f>
        <v>347</v>
      </c>
      <c r="K79">
        <f>IFERROR(E79 * J79, 0)</f>
        <v>15375.570000000002</v>
      </c>
      <c r="L79">
        <f>SUMIFS(order_items!D:D,order_items!C:C,A79)</f>
        <v>45</v>
      </c>
      <c r="M79" t="str">
        <f t="shared" si="1"/>
        <v>Normal</v>
      </c>
    </row>
    <row r="80" spans="1:13">
      <c r="A80">
        <v>79</v>
      </c>
      <c r="B80" t="s">
        <v>88</v>
      </c>
      <c r="C80" t="s">
        <v>307</v>
      </c>
      <c r="D80" t="s">
        <v>99</v>
      </c>
      <c r="E80">
        <v>111.97</v>
      </c>
      <c r="F80">
        <v>234.02</v>
      </c>
      <c r="G80">
        <v>8</v>
      </c>
      <c r="H80" t="s">
        <v>164</v>
      </c>
      <c r="I80" t="str">
        <f>_xlfn.XLOOKUP(G80,suppliers!A:A,suppliers!B:B)</f>
        <v>Metro Logistics</v>
      </c>
      <c r="J80">
        <f>IFERROR(_xlfn.XLOOKUP(A80,inventory!B:B,inventory!D:D),0)</f>
        <v>494</v>
      </c>
      <c r="K80">
        <f>IFERROR(E80 * J80, 0)</f>
        <v>55313.18</v>
      </c>
      <c r="L80">
        <f>SUMIFS(order_items!D:D,order_items!C:C,A80)</f>
        <v>44</v>
      </c>
      <c r="M80" t="str">
        <f t="shared" si="1"/>
        <v>Normal</v>
      </c>
    </row>
    <row r="81" spans="1:13">
      <c r="A81">
        <v>80</v>
      </c>
      <c r="B81" t="s">
        <v>308</v>
      </c>
      <c r="C81" t="s">
        <v>309</v>
      </c>
      <c r="D81" t="s">
        <v>99</v>
      </c>
      <c r="E81">
        <v>91.52</v>
      </c>
      <c r="F81">
        <v>84.54</v>
      </c>
      <c r="G81">
        <v>1</v>
      </c>
      <c r="H81" t="s">
        <v>121</v>
      </c>
      <c r="I81" t="str">
        <f>_xlfn.XLOOKUP(G81,suppliers!A:A,suppliers!B:B)</f>
        <v>Acme Supply</v>
      </c>
      <c r="J81">
        <f>IFERROR(_xlfn.XLOOKUP(A81,inventory!B:B,inventory!D:D),0)</f>
        <v>447</v>
      </c>
      <c r="K81">
        <f>IFERROR(E81 * J81, 0)</f>
        <v>40909.439999999995</v>
      </c>
      <c r="L81">
        <f>SUMIFS(order_items!D:D,order_items!C:C,A81)</f>
        <v>17</v>
      </c>
      <c r="M81" t="str">
        <f t="shared" si="1"/>
        <v>Normal</v>
      </c>
    </row>
    <row r="82" spans="1:13">
      <c r="A82">
        <v>81</v>
      </c>
      <c r="B82" t="s">
        <v>73</v>
      </c>
      <c r="C82" t="s">
        <v>310</v>
      </c>
      <c r="D82" t="s">
        <v>98</v>
      </c>
      <c r="E82">
        <v>43.3</v>
      </c>
      <c r="F82">
        <v>244.17</v>
      </c>
      <c r="G82">
        <v>8</v>
      </c>
      <c r="H82" t="s">
        <v>167</v>
      </c>
      <c r="I82" t="str">
        <f>_xlfn.XLOOKUP(G82,suppliers!A:A,suppliers!B:B)</f>
        <v>Metro Logistics</v>
      </c>
      <c r="J82">
        <f>IFERROR(_xlfn.XLOOKUP(A82,inventory!B:B,inventory!D:D),0)</f>
        <v>42</v>
      </c>
      <c r="K82">
        <f>IFERROR(E82 * J82, 0)</f>
        <v>1818.6</v>
      </c>
      <c r="L82">
        <f>SUMIFS(order_items!D:D,order_items!C:C,A82)</f>
        <v>76</v>
      </c>
      <c r="M82" t="str">
        <f t="shared" si="1"/>
        <v>Normal</v>
      </c>
    </row>
    <row r="83" spans="1:13">
      <c r="A83">
        <v>82</v>
      </c>
      <c r="B83" t="s">
        <v>82</v>
      </c>
      <c r="C83" t="s">
        <v>311</v>
      </c>
      <c r="D83" t="s">
        <v>99</v>
      </c>
      <c r="E83">
        <v>84.88</v>
      </c>
      <c r="F83">
        <v>243.4</v>
      </c>
      <c r="G83">
        <v>6</v>
      </c>
      <c r="H83" t="s">
        <v>121</v>
      </c>
      <c r="I83" t="str">
        <f>_xlfn.XLOOKUP(G83,suppliers!A:A,suppliers!B:B)</f>
        <v>Evergreen Imports</v>
      </c>
      <c r="J83">
        <f>IFERROR(_xlfn.XLOOKUP(A83,inventory!B:B,inventory!D:D),0)</f>
        <v>425</v>
      </c>
      <c r="K83">
        <f>IFERROR(E83 * J83, 0)</f>
        <v>36074</v>
      </c>
      <c r="L83">
        <f>SUMIFS(order_items!D:D,order_items!C:C,A83)</f>
        <v>55</v>
      </c>
      <c r="M83" t="str">
        <f t="shared" si="1"/>
        <v>Normal</v>
      </c>
    </row>
    <row r="84" spans="1:13">
      <c r="A84">
        <v>83</v>
      </c>
      <c r="B84" t="s">
        <v>92</v>
      </c>
      <c r="C84" t="s">
        <v>312</v>
      </c>
      <c r="D84" t="s">
        <v>100</v>
      </c>
      <c r="E84">
        <v>147.63</v>
      </c>
      <c r="F84">
        <v>269.23</v>
      </c>
      <c r="G84">
        <v>7</v>
      </c>
      <c r="H84" t="s">
        <v>121</v>
      </c>
      <c r="I84" t="str">
        <f>_xlfn.XLOOKUP(G84,suppliers!A:A,suppliers!B:B)</f>
        <v>Summit Trading</v>
      </c>
      <c r="J84">
        <f>IFERROR(_xlfn.XLOOKUP(A84,inventory!B:B,inventory!D:D),0)</f>
        <v>27</v>
      </c>
      <c r="K84">
        <f>IFERROR(E84 * J84, 0)</f>
        <v>3986.0099999999998</v>
      </c>
      <c r="L84">
        <f>SUMIFS(order_items!D:D,order_items!C:C,A84)</f>
        <v>35</v>
      </c>
      <c r="M84" t="str">
        <f t="shared" si="1"/>
        <v>Normal</v>
      </c>
    </row>
    <row r="85" spans="1:13">
      <c r="A85">
        <v>84</v>
      </c>
      <c r="B85" t="s">
        <v>313</v>
      </c>
      <c r="C85" t="s">
        <v>314</v>
      </c>
      <c r="D85" t="s">
        <v>100</v>
      </c>
      <c r="E85">
        <v>135.13999999999999</v>
      </c>
      <c r="F85">
        <v>150.28</v>
      </c>
      <c r="G85">
        <v>5</v>
      </c>
      <c r="H85" t="s">
        <v>121</v>
      </c>
      <c r="I85" t="str">
        <f>_xlfn.XLOOKUP(G85,suppliers!A:A,suppliers!B:B)</f>
        <v>Utah Wholesale</v>
      </c>
      <c r="J85">
        <f>IFERROR(_xlfn.XLOOKUP(A85,inventory!B:B,inventory!D:D),0)</f>
        <v>163</v>
      </c>
      <c r="K85">
        <f>IFERROR(E85 * J85, 0)</f>
        <v>22027.819999999996</v>
      </c>
      <c r="L85">
        <f>SUMIFS(order_items!D:D,order_items!C:C,A85)</f>
        <v>57</v>
      </c>
      <c r="M85" t="str">
        <f t="shared" si="1"/>
        <v>Normal</v>
      </c>
    </row>
    <row r="86" spans="1:13">
      <c r="A86">
        <v>85</v>
      </c>
      <c r="B86" t="s">
        <v>315</v>
      </c>
      <c r="C86" t="s">
        <v>316</v>
      </c>
      <c r="D86" t="s">
        <v>99</v>
      </c>
      <c r="E86">
        <v>139.02000000000001</v>
      </c>
      <c r="F86">
        <v>163.57</v>
      </c>
      <c r="G86">
        <v>4</v>
      </c>
      <c r="H86" t="s">
        <v>167</v>
      </c>
      <c r="I86" t="str">
        <f>_xlfn.XLOOKUP(G86,suppliers!A:A,suppliers!B:B)</f>
        <v>Blue Ridge</v>
      </c>
      <c r="J86">
        <f>IFERROR(_xlfn.XLOOKUP(A86,inventory!B:B,inventory!D:D),0)</f>
        <v>19</v>
      </c>
      <c r="K86">
        <f>IFERROR(E86 * J86, 0)</f>
        <v>2641.38</v>
      </c>
      <c r="L86">
        <f>SUMIFS(order_items!D:D,order_items!C:C,A86)</f>
        <v>33</v>
      </c>
      <c r="M86" t="str">
        <f t="shared" si="1"/>
        <v>Normal</v>
      </c>
    </row>
    <row r="87" spans="1:13">
      <c r="A87">
        <v>86</v>
      </c>
      <c r="B87" t="s">
        <v>317</v>
      </c>
      <c r="C87" t="s">
        <v>318</v>
      </c>
      <c r="D87" t="s">
        <v>100</v>
      </c>
      <c r="E87">
        <v>129.87</v>
      </c>
      <c r="F87">
        <v>81.83</v>
      </c>
      <c r="G87">
        <v>6</v>
      </c>
      <c r="H87" t="s">
        <v>167</v>
      </c>
      <c r="I87" t="str">
        <f>_xlfn.XLOOKUP(G87,suppliers!A:A,suppliers!B:B)</f>
        <v>Evergreen Imports</v>
      </c>
      <c r="J87">
        <f>IFERROR(_xlfn.XLOOKUP(A87,inventory!B:B,inventory!D:D),0)</f>
        <v>229</v>
      </c>
      <c r="K87">
        <f>IFERROR(E87 * J87, 0)</f>
        <v>29740.23</v>
      </c>
      <c r="L87">
        <f>SUMIFS(order_items!D:D,order_items!C:C,A87)</f>
        <v>21</v>
      </c>
      <c r="M87" t="str">
        <f t="shared" si="1"/>
        <v>Normal</v>
      </c>
    </row>
    <row r="88" spans="1:13">
      <c r="A88">
        <v>87</v>
      </c>
      <c r="B88" t="s">
        <v>319</v>
      </c>
      <c r="C88" t="s">
        <v>320</v>
      </c>
      <c r="D88" t="s">
        <v>98</v>
      </c>
      <c r="E88">
        <v>31.4</v>
      </c>
      <c r="F88">
        <v>124.17</v>
      </c>
      <c r="G88">
        <v>3</v>
      </c>
      <c r="H88" t="s">
        <v>164</v>
      </c>
      <c r="I88" t="str">
        <f>_xlfn.XLOOKUP(G88,suppliers!A:A,suppliers!B:B)</f>
        <v>PrimeSource</v>
      </c>
      <c r="J88">
        <f>IFERROR(_xlfn.XLOOKUP(A88,inventory!B:B,inventory!D:D),0)</f>
        <v>481</v>
      </c>
      <c r="K88">
        <f>IFERROR(E88 * J88, 0)</f>
        <v>15103.4</v>
      </c>
      <c r="L88">
        <f>SUMIFS(order_items!D:D,order_items!C:C,A88)</f>
        <v>46</v>
      </c>
      <c r="M88" t="str">
        <f t="shared" si="1"/>
        <v>Normal</v>
      </c>
    </row>
    <row r="89" spans="1:13">
      <c r="A89">
        <v>88</v>
      </c>
      <c r="B89" t="s">
        <v>321</v>
      </c>
      <c r="C89" t="s">
        <v>322</v>
      </c>
      <c r="D89" t="s">
        <v>99</v>
      </c>
      <c r="E89">
        <v>77.599999999999994</v>
      </c>
      <c r="F89">
        <v>109.3</v>
      </c>
      <c r="G89">
        <v>8</v>
      </c>
      <c r="H89" t="s">
        <v>164</v>
      </c>
      <c r="I89" t="str">
        <f>_xlfn.XLOOKUP(G89,suppliers!A:A,suppliers!B:B)</f>
        <v>Metro Logistics</v>
      </c>
      <c r="J89">
        <f>IFERROR(_xlfn.XLOOKUP(A89,inventory!B:B,inventory!D:D),0)</f>
        <v>121</v>
      </c>
      <c r="K89">
        <f>IFERROR(E89 * J89, 0)</f>
        <v>9389.5999999999985</v>
      </c>
      <c r="L89">
        <f>SUMIFS(order_items!D:D,order_items!C:C,A89)</f>
        <v>46</v>
      </c>
      <c r="M89" t="str">
        <f t="shared" si="1"/>
        <v>Normal</v>
      </c>
    </row>
    <row r="90" spans="1:13">
      <c r="A90">
        <v>89</v>
      </c>
      <c r="B90" t="s">
        <v>323</v>
      </c>
      <c r="C90" t="s">
        <v>324</v>
      </c>
      <c r="D90" t="s">
        <v>102</v>
      </c>
      <c r="E90">
        <v>150.76</v>
      </c>
      <c r="F90">
        <v>126</v>
      </c>
      <c r="G90">
        <v>1</v>
      </c>
      <c r="H90" t="s">
        <v>121</v>
      </c>
      <c r="I90" t="str">
        <f>_xlfn.XLOOKUP(G90,suppliers!A:A,suppliers!B:B)</f>
        <v>Acme Supply</v>
      </c>
      <c r="J90">
        <f>IFERROR(_xlfn.XLOOKUP(A90,inventory!B:B,inventory!D:D),0)</f>
        <v>428</v>
      </c>
      <c r="K90">
        <f>IFERROR(E90 * J90, 0)</f>
        <v>64525.279999999999</v>
      </c>
      <c r="L90">
        <f>SUMIFS(order_items!D:D,order_items!C:C,A90)</f>
        <v>21</v>
      </c>
      <c r="M90" t="str">
        <f t="shared" si="1"/>
        <v>Normal</v>
      </c>
    </row>
    <row r="91" spans="1:13">
      <c r="A91">
        <v>90</v>
      </c>
      <c r="B91" t="s">
        <v>325</v>
      </c>
      <c r="C91" t="s">
        <v>326</v>
      </c>
      <c r="D91" t="s">
        <v>101</v>
      </c>
      <c r="E91">
        <v>6.03</v>
      </c>
      <c r="F91">
        <v>115.25</v>
      </c>
      <c r="G91">
        <v>7</v>
      </c>
      <c r="H91" t="s">
        <v>121</v>
      </c>
      <c r="I91" t="str">
        <f>_xlfn.XLOOKUP(G91,suppliers!A:A,suppliers!B:B)</f>
        <v>Summit Trading</v>
      </c>
      <c r="J91">
        <f>IFERROR(_xlfn.XLOOKUP(A91,inventory!B:B,inventory!D:D),0)</f>
        <v>123</v>
      </c>
      <c r="K91">
        <f>IFERROR(E91 * J91, 0)</f>
        <v>741.69</v>
      </c>
      <c r="L91">
        <f>SUMIFS(order_items!D:D,order_items!C:C,A91)</f>
        <v>22</v>
      </c>
      <c r="M91" t="str">
        <f t="shared" si="1"/>
        <v>Normal</v>
      </c>
    </row>
    <row r="92" spans="1:13">
      <c r="A92">
        <v>91</v>
      </c>
      <c r="B92" t="s">
        <v>87</v>
      </c>
      <c r="C92" t="s">
        <v>327</v>
      </c>
      <c r="D92" t="s">
        <v>101</v>
      </c>
      <c r="E92">
        <v>135.82</v>
      </c>
      <c r="F92">
        <v>170.65</v>
      </c>
      <c r="G92">
        <v>4</v>
      </c>
      <c r="H92" t="s">
        <v>164</v>
      </c>
      <c r="I92" t="str">
        <f>_xlfn.XLOOKUP(G92,suppliers!A:A,suppliers!B:B)</f>
        <v>Blue Ridge</v>
      </c>
      <c r="J92">
        <f>IFERROR(_xlfn.XLOOKUP(A92,inventory!B:B,inventory!D:D),0)</f>
        <v>199</v>
      </c>
      <c r="K92">
        <f>IFERROR(E92 * J92, 0)</f>
        <v>27028.18</v>
      </c>
      <c r="L92">
        <f>SUMIFS(order_items!D:D,order_items!C:C,A92)</f>
        <v>62</v>
      </c>
      <c r="M92" t="str">
        <f t="shared" si="1"/>
        <v>Normal</v>
      </c>
    </row>
    <row r="93" spans="1:13">
      <c r="A93">
        <v>92</v>
      </c>
      <c r="B93" t="s">
        <v>328</v>
      </c>
      <c r="C93" t="s">
        <v>329</v>
      </c>
      <c r="D93" t="s">
        <v>99</v>
      </c>
      <c r="E93">
        <v>81.27</v>
      </c>
      <c r="F93">
        <v>23.27</v>
      </c>
      <c r="G93">
        <v>6</v>
      </c>
      <c r="H93" t="s">
        <v>164</v>
      </c>
      <c r="I93" t="str">
        <f>_xlfn.XLOOKUP(G93,suppliers!A:A,suppliers!B:B)</f>
        <v>Evergreen Imports</v>
      </c>
      <c r="J93">
        <f>IFERROR(_xlfn.XLOOKUP(A93,inventory!B:B,inventory!D:D),0)</f>
        <v>403</v>
      </c>
      <c r="K93">
        <f>IFERROR(E93 * J93, 0)</f>
        <v>32751.809999999998</v>
      </c>
      <c r="L93">
        <f>SUMIFS(order_items!D:D,order_items!C:C,A93)</f>
        <v>32</v>
      </c>
      <c r="M93" t="str">
        <f t="shared" si="1"/>
        <v>Normal</v>
      </c>
    </row>
    <row r="94" spans="1:13">
      <c r="A94">
        <v>93</v>
      </c>
      <c r="B94" t="s">
        <v>330</v>
      </c>
      <c r="C94" t="s">
        <v>331</v>
      </c>
      <c r="D94" t="s">
        <v>101</v>
      </c>
      <c r="E94">
        <v>152.09</v>
      </c>
      <c r="F94">
        <v>277.07</v>
      </c>
      <c r="G94">
        <v>1</v>
      </c>
      <c r="H94" t="s">
        <v>164</v>
      </c>
      <c r="I94" t="str">
        <f>_xlfn.XLOOKUP(G94,suppliers!A:A,suppliers!B:B)</f>
        <v>Acme Supply</v>
      </c>
      <c r="J94">
        <f>IFERROR(_xlfn.XLOOKUP(A94,inventory!B:B,inventory!D:D),0)</f>
        <v>180</v>
      </c>
      <c r="K94">
        <f>IFERROR(E94 * J94, 0)</f>
        <v>27376.2</v>
      </c>
      <c r="L94">
        <f>SUMIFS(order_items!D:D,order_items!C:C,A94)</f>
        <v>31</v>
      </c>
      <c r="M94" t="str">
        <f t="shared" si="1"/>
        <v>Normal</v>
      </c>
    </row>
    <row r="95" spans="1:13">
      <c r="A95">
        <v>94</v>
      </c>
      <c r="B95" t="s">
        <v>332</v>
      </c>
      <c r="C95" t="s">
        <v>333</v>
      </c>
      <c r="D95" t="s">
        <v>102</v>
      </c>
      <c r="E95">
        <v>117.48</v>
      </c>
      <c r="F95">
        <v>53.67</v>
      </c>
      <c r="G95">
        <v>8</v>
      </c>
      <c r="H95" t="s">
        <v>164</v>
      </c>
      <c r="I95" t="str">
        <f>_xlfn.XLOOKUP(G95,suppliers!A:A,suppliers!B:B)</f>
        <v>Metro Logistics</v>
      </c>
      <c r="J95">
        <f>IFERROR(_xlfn.XLOOKUP(A95,inventory!B:B,inventory!D:D),0)</f>
        <v>32</v>
      </c>
      <c r="K95">
        <f>IFERROR(E95 * J95, 0)</f>
        <v>3759.36</v>
      </c>
      <c r="L95">
        <f>SUMIFS(order_items!D:D,order_items!C:C,A95)</f>
        <v>34</v>
      </c>
      <c r="M95" t="str">
        <f t="shared" si="1"/>
        <v>Normal</v>
      </c>
    </row>
    <row r="96" spans="1:13">
      <c r="A96">
        <v>95</v>
      </c>
      <c r="B96" t="s">
        <v>334</v>
      </c>
      <c r="C96" t="s">
        <v>335</v>
      </c>
      <c r="D96" t="s">
        <v>102</v>
      </c>
      <c r="E96">
        <v>71.34</v>
      </c>
      <c r="F96">
        <v>75.319999999999993</v>
      </c>
      <c r="G96">
        <v>6</v>
      </c>
      <c r="H96" t="s">
        <v>167</v>
      </c>
      <c r="I96" t="str">
        <f>_xlfn.XLOOKUP(G96,suppliers!A:A,suppliers!B:B)</f>
        <v>Evergreen Imports</v>
      </c>
      <c r="J96">
        <f>IFERROR(_xlfn.XLOOKUP(A96,inventory!B:B,inventory!D:D),0)</f>
        <v>453</v>
      </c>
      <c r="K96">
        <f>IFERROR(E96 * J96, 0)</f>
        <v>32317.02</v>
      </c>
      <c r="L96">
        <f>SUMIFS(order_items!D:D,order_items!C:C,A96)</f>
        <v>23</v>
      </c>
      <c r="M96" t="str">
        <f t="shared" si="1"/>
        <v>Normal</v>
      </c>
    </row>
    <row r="97" spans="1:13">
      <c r="A97">
        <v>96</v>
      </c>
      <c r="B97" t="s">
        <v>336</v>
      </c>
      <c r="C97" t="s">
        <v>337</v>
      </c>
      <c r="D97" t="s">
        <v>101</v>
      </c>
      <c r="E97">
        <v>136.6</v>
      </c>
      <c r="F97">
        <v>252.1</v>
      </c>
      <c r="G97">
        <v>5</v>
      </c>
      <c r="H97" t="s">
        <v>121</v>
      </c>
      <c r="I97" t="str">
        <f>_xlfn.XLOOKUP(G97,suppliers!A:A,suppliers!B:B)</f>
        <v>Utah Wholesale</v>
      </c>
      <c r="J97">
        <f>IFERROR(_xlfn.XLOOKUP(A97,inventory!B:B,inventory!D:D),0)</f>
        <v>417</v>
      </c>
      <c r="K97">
        <f>IFERROR(E97 * J97, 0)</f>
        <v>56962.2</v>
      </c>
      <c r="L97">
        <f>SUMIFS(order_items!D:D,order_items!C:C,A97)</f>
        <v>30</v>
      </c>
      <c r="M97" t="str">
        <f t="shared" si="1"/>
        <v>Normal</v>
      </c>
    </row>
    <row r="98" spans="1:13">
      <c r="A98">
        <v>97</v>
      </c>
      <c r="B98" t="s">
        <v>338</v>
      </c>
      <c r="C98" t="s">
        <v>339</v>
      </c>
      <c r="D98" t="s">
        <v>98</v>
      </c>
      <c r="E98">
        <v>8.39</v>
      </c>
      <c r="F98">
        <v>168.73</v>
      </c>
      <c r="G98">
        <v>6</v>
      </c>
      <c r="H98" t="s">
        <v>164</v>
      </c>
      <c r="I98" t="str">
        <f>_xlfn.XLOOKUP(G98,suppliers!A:A,suppliers!B:B)</f>
        <v>Evergreen Imports</v>
      </c>
      <c r="J98">
        <f>IFERROR(_xlfn.XLOOKUP(A98,inventory!B:B,inventory!D:D),0)</f>
        <v>443</v>
      </c>
      <c r="K98">
        <f>IFERROR(E98 * J98, 0)</f>
        <v>3716.7700000000004</v>
      </c>
      <c r="L98">
        <f>SUMIFS(order_items!D:D,order_items!C:C,A98)</f>
        <v>19</v>
      </c>
      <c r="M98" t="str">
        <f t="shared" si="1"/>
        <v>Normal</v>
      </c>
    </row>
    <row r="99" spans="1:13">
      <c r="A99">
        <v>98</v>
      </c>
      <c r="B99" t="s">
        <v>75</v>
      </c>
      <c r="C99" t="s">
        <v>340</v>
      </c>
      <c r="D99" t="s">
        <v>98</v>
      </c>
      <c r="E99">
        <v>136.99</v>
      </c>
      <c r="F99">
        <v>285.64</v>
      </c>
      <c r="G99">
        <v>4</v>
      </c>
      <c r="H99" t="s">
        <v>121</v>
      </c>
      <c r="I99" t="str">
        <f>_xlfn.XLOOKUP(G99,suppliers!A:A,suppliers!B:B)</f>
        <v>Blue Ridge</v>
      </c>
      <c r="J99">
        <f>IFERROR(_xlfn.XLOOKUP(A99,inventory!B:B,inventory!D:D),0)</f>
        <v>173</v>
      </c>
      <c r="K99">
        <f>IFERROR(E99 * J99, 0)</f>
        <v>23699.27</v>
      </c>
      <c r="L99">
        <f>SUMIFS(order_items!D:D,order_items!C:C,A99)</f>
        <v>58</v>
      </c>
      <c r="M99" t="str">
        <f t="shared" si="1"/>
        <v>Normal</v>
      </c>
    </row>
    <row r="100" spans="1:13">
      <c r="A100">
        <v>99</v>
      </c>
      <c r="B100" t="s">
        <v>341</v>
      </c>
      <c r="C100" t="s">
        <v>342</v>
      </c>
      <c r="D100" t="s">
        <v>102</v>
      </c>
      <c r="E100">
        <v>31.67</v>
      </c>
      <c r="F100">
        <v>50.97</v>
      </c>
      <c r="G100">
        <v>2</v>
      </c>
      <c r="H100" t="s">
        <v>167</v>
      </c>
      <c r="I100" t="str">
        <f>_xlfn.XLOOKUP(G100,suppliers!A:A,suppliers!B:B)</f>
        <v>Global Goods</v>
      </c>
      <c r="J100">
        <f>IFERROR(_xlfn.XLOOKUP(A100,inventory!B:B,inventory!D:D),0)</f>
        <v>217</v>
      </c>
      <c r="K100">
        <f>IFERROR(E100 * J100, 0)</f>
        <v>6872.39</v>
      </c>
      <c r="L100">
        <f>SUMIFS(order_items!D:D,order_items!C:C,A100)</f>
        <v>36</v>
      </c>
      <c r="M100" t="str">
        <f t="shared" si="1"/>
        <v>Normal</v>
      </c>
    </row>
    <row r="101" spans="1:13">
      <c r="A101">
        <v>100</v>
      </c>
      <c r="B101" t="s">
        <v>343</v>
      </c>
      <c r="C101" t="s">
        <v>344</v>
      </c>
      <c r="D101" t="s">
        <v>99</v>
      </c>
      <c r="E101">
        <v>127.41</v>
      </c>
      <c r="F101">
        <v>233.57</v>
      </c>
      <c r="G101">
        <v>3</v>
      </c>
      <c r="H101" t="s">
        <v>167</v>
      </c>
      <c r="I101" t="str">
        <f>_xlfn.XLOOKUP(G101,suppliers!A:A,suppliers!B:B)</f>
        <v>PrimeSource</v>
      </c>
      <c r="J101">
        <f>IFERROR(_xlfn.XLOOKUP(A101,inventory!B:B,inventory!D:D),0)</f>
        <v>308</v>
      </c>
      <c r="K101">
        <f>IFERROR(E101 * J101, 0)</f>
        <v>39242.28</v>
      </c>
      <c r="L101">
        <f>SUMIFS(order_items!D:D,order_items!C:C,A101)</f>
        <v>22</v>
      </c>
      <c r="M101" t="str">
        <f t="shared" si="1"/>
        <v>Normal</v>
      </c>
    </row>
    <row r="102" spans="1:13">
      <c r="A102">
        <v>101</v>
      </c>
      <c r="B102" t="s">
        <v>345</v>
      </c>
      <c r="C102" t="s">
        <v>346</v>
      </c>
      <c r="D102" t="s">
        <v>98</v>
      </c>
      <c r="E102">
        <v>173.83</v>
      </c>
      <c r="F102">
        <v>45.81</v>
      </c>
      <c r="G102">
        <v>1</v>
      </c>
      <c r="H102" t="s">
        <v>167</v>
      </c>
      <c r="I102" t="str">
        <f>_xlfn.XLOOKUP(G102,suppliers!A:A,suppliers!B:B)</f>
        <v>Acme Supply</v>
      </c>
      <c r="J102">
        <f>IFERROR(_xlfn.XLOOKUP(A102,inventory!B:B,inventory!D:D),0)</f>
        <v>327</v>
      </c>
      <c r="K102">
        <f>IFERROR(E102 * J102, 0)</f>
        <v>56842.41</v>
      </c>
      <c r="L102">
        <f>SUMIFS(order_items!D:D,order_items!C:C,A102)</f>
        <v>25</v>
      </c>
      <c r="M102" t="str">
        <f t="shared" si="1"/>
        <v>Normal</v>
      </c>
    </row>
    <row r="103" spans="1:13">
      <c r="A103">
        <v>102</v>
      </c>
      <c r="B103" t="s">
        <v>347</v>
      </c>
      <c r="C103" t="s">
        <v>348</v>
      </c>
      <c r="D103" t="s">
        <v>101</v>
      </c>
      <c r="E103">
        <v>169.76</v>
      </c>
      <c r="F103">
        <v>71.52</v>
      </c>
      <c r="G103">
        <v>4</v>
      </c>
      <c r="H103" t="s">
        <v>167</v>
      </c>
      <c r="I103" t="str">
        <f>_xlfn.XLOOKUP(G103,suppliers!A:A,suppliers!B:B)</f>
        <v>Blue Ridge</v>
      </c>
      <c r="J103">
        <f>IFERROR(_xlfn.XLOOKUP(A103,inventory!B:B,inventory!D:D),0)</f>
        <v>487</v>
      </c>
      <c r="K103">
        <f>IFERROR(E103 * J103, 0)</f>
        <v>82673.119999999995</v>
      </c>
      <c r="L103">
        <f>SUMIFS(order_items!D:D,order_items!C:C,A103)</f>
        <v>40</v>
      </c>
      <c r="M103" t="str">
        <f t="shared" si="1"/>
        <v>Normal</v>
      </c>
    </row>
    <row r="104" spans="1:13">
      <c r="A104">
        <v>103</v>
      </c>
      <c r="B104" t="s">
        <v>349</v>
      </c>
      <c r="C104" t="s">
        <v>350</v>
      </c>
      <c r="D104" t="s">
        <v>103</v>
      </c>
      <c r="E104">
        <v>145.97</v>
      </c>
      <c r="F104">
        <v>241.92</v>
      </c>
      <c r="G104">
        <v>1</v>
      </c>
      <c r="H104" t="s">
        <v>167</v>
      </c>
      <c r="I104" t="str">
        <f>_xlfn.XLOOKUP(G104,suppliers!A:A,suppliers!B:B)</f>
        <v>Acme Supply</v>
      </c>
      <c r="J104">
        <f>IFERROR(_xlfn.XLOOKUP(A104,inventory!B:B,inventory!D:D),0)</f>
        <v>34</v>
      </c>
      <c r="K104">
        <f>IFERROR(E104 * J104, 0)</f>
        <v>4962.9799999999996</v>
      </c>
      <c r="L104">
        <f>SUMIFS(order_items!D:D,order_items!C:C,A104)</f>
        <v>21</v>
      </c>
      <c r="M104" t="str">
        <f t="shared" si="1"/>
        <v>Normal</v>
      </c>
    </row>
    <row r="105" spans="1:13">
      <c r="A105">
        <v>104</v>
      </c>
      <c r="B105" t="s">
        <v>351</v>
      </c>
      <c r="C105" t="s">
        <v>352</v>
      </c>
      <c r="D105" t="s">
        <v>101</v>
      </c>
      <c r="E105">
        <v>17.07</v>
      </c>
      <c r="F105">
        <v>199.55</v>
      </c>
      <c r="G105">
        <v>1</v>
      </c>
      <c r="H105" t="s">
        <v>121</v>
      </c>
      <c r="I105" t="str">
        <f>_xlfn.XLOOKUP(G105,suppliers!A:A,suppliers!B:B)</f>
        <v>Acme Supply</v>
      </c>
      <c r="J105">
        <f>IFERROR(_xlfn.XLOOKUP(A105,inventory!B:B,inventory!D:D),0)</f>
        <v>486</v>
      </c>
      <c r="K105">
        <f>IFERROR(E105 * J105, 0)</f>
        <v>8296.02</v>
      </c>
      <c r="L105">
        <f>SUMIFS(order_items!D:D,order_items!C:C,A105)</f>
        <v>27</v>
      </c>
      <c r="M105" t="str">
        <f t="shared" si="1"/>
        <v>Normal</v>
      </c>
    </row>
    <row r="106" spans="1:13">
      <c r="A106">
        <v>105</v>
      </c>
      <c r="B106" t="s">
        <v>353</v>
      </c>
      <c r="C106" t="s">
        <v>354</v>
      </c>
      <c r="D106" t="s">
        <v>101</v>
      </c>
      <c r="E106">
        <v>23.47</v>
      </c>
      <c r="F106">
        <v>288.82</v>
      </c>
      <c r="G106">
        <v>8</v>
      </c>
      <c r="H106" t="s">
        <v>164</v>
      </c>
      <c r="I106" t="str">
        <f>_xlfn.XLOOKUP(G106,suppliers!A:A,suppliers!B:B)</f>
        <v>Metro Logistics</v>
      </c>
      <c r="J106">
        <f>IFERROR(_xlfn.XLOOKUP(A106,inventory!B:B,inventory!D:D),0)</f>
        <v>390</v>
      </c>
      <c r="K106">
        <f>IFERROR(E106 * J106, 0)</f>
        <v>9153.2999999999993</v>
      </c>
      <c r="L106">
        <f>SUMIFS(order_items!D:D,order_items!C:C,A106)</f>
        <v>14</v>
      </c>
      <c r="M106" t="str">
        <f t="shared" si="1"/>
        <v>Normal</v>
      </c>
    </row>
    <row r="107" spans="1:13">
      <c r="A107">
        <v>106</v>
      </c>
      <c r="B107" t="s">
        <v>355</v>
      </c>
      <c r="C107" t="s">
        <v>356</v>
      </c>
      <c r="D107" t="s">
        <v>104</v>
      </c>
      <c r="E107" t="s">
        <v>145</v>
      </c>
      <c r="F107">
        <v>65.2</v>
      </c>
      <c r="G107">
        <v>5</v>
      </c>
      <c r="H107" t="s">
        <v>167</v>
      </c>
      <c r="I107" t="str">
        <f>_xlfn.XLOOKUP(G107,suppliers!A:A,suppliers!B:B)</f>
        <v>Utah Wholesale</v>
      </c>
      <c r="J107">
        <f>IFERROR(_xlfn.XLOOKUP(A107,inventory!B:B,inventory!D:D),0)</f>
        <v>13</v>
      </c>
      <c r="K107">
        <f>IFERROR(E107 * J107, 0)</f>
        <v>0</v>
      </c>
      <c r="L107">
        <f>SUMIFS(order_items!D:D,order_items!C:C,A107)</f>
        <v>34</v>
      </c>
      <c r="M107" t="str">
        <f t="shared" si="1"/>
        <v>Normal</v>
      </c>
    </row>
    <row r="108" spans="1:13">
      <c r="A108">
        <v>107</v>
      </c>
      <c r="B108" t="s">
        <v>89</v>
      </c>
      <c r="C108" t="s">
        <v>357</v>
      </c>
      <c r="D108" t="s">
        <v>100</v>
      </c>
      <c r="E108">
        <v>81.23</v>
      </c>
      <c r="F108">
        <v>223.34</v>
      </c>
      <c r="G108">
        <v>5</v>
      </c>
      <c r="H108" t="s">
        <v>167</v>
      </c>
      <c r="I108" t="str">
        <f>_xlfn.XLOOKUP(G108,suppliers!A:A,suppliers!B:B)</f>
        <v>Utah Wholesale</v>
      </c>
      <c r="J108">
        <f>IFERROR(_xlfn.XLOOKUP(A108,inventory!B:B,inventory!D:D),0)</f>
        <v>146</v>
      </c>
      <c r="K108">
        <f>IFERROR(E108 * J108, 0)</f>
        <v>11859.58</v>
      </c>
      <c r="L108">
        <f>SUMIFS(order_items!D:D,order_items!C:C,A108)</f>
        <v>46</v>
      </c>
      <c r="M108" t="str">
        <f t="shared" si="1"/>
        <v>Normal</v>
      </c>
    </row>
    <row r="109" spans="1:13">
      <c r="A109">
        <v>108</v>
      </c>
      <c r="B109" t="s">
        <v>358</v>
      </c>
      <c r="C109" t="s">
        <v>359</v>
      </c>
      <c r="D109" t="s">
        <v>99</v>
      </c>
      <c r="E109">
        <v>53.81</v>
      </c>
      <c r="F109">
        <v>143.47999999999999</v>
      </c>
      <c r="G109">
        <v>8</v>
      </c>
      <c r="H109" t="s">
        <v>167</v>
      </c>
      <c r="I109" t="str">
        <f>_xlfn.XLOOKUP(G109,suppliers!A:A,suppliers!B:B)</f>
        <v>Metro Logistics</v>
      </c>
      <c r="J109">
        <f>IFERROR(_xlfn.XLOOKUP(A109,inventory!B:B,inventory!D:D),0)</f>
        <v>349</v>
      </c>
      <c r="K109">
        <f>IFERROR(E109 * J109, 0)</f>
        <v>18779.690000000002</v>
      </c>
      <c r="L109">
        <f>SUMIFS(order_items!D:D,order_items!C:C,A109)</f>
        <v>37</v>
      </c>
      <c r="M109" t="str">
        <f t="shared" si="1"/>
        <v>Normal</v>
      </c>
    </row>
    <row r="110" spans="1:13">
      <c r="A110">
        <v>109</v>
      </c>
      <c r="B110" t="s">
        <v>80</v>
      </c>
      <c r="C110" t="s">
        <v>360</v>
      </c>
      <c r="D110" t="s">
        <v>101</v>
      </c>
      <c r="E110">
        <v>10.02</v>
      </c>
      <c r="F110">
        <v>257.52</v>
      </c>
      <c r="G110">
        <v>3</v>
      </c>
      <c r="H110" t="s">
        <v>164</v>
      </c>
      <c r="I110" t="str">
        <f>_xlfn.XLOOKUP(G110,suppliers!A:A,suppliers!B:B)</f>
        <v>PrimeSource</v>
      </c>
      <c r="J110">
        <f>IFERROR(_xlfn.XLOOKUP(A110,inventory!B:B,inventory!D:D),0)</f>
        <v>406</v>
      </c>
      <c r="K110">
        <f>IFERROR(E110 * J110, 0)</f>
        <v>4068.12</v>
      </c>
      <c r="L110">
        <f>SUMIFS(order_items!D:D,order_items!C:C,A110)</f>
        <v>56</v>
      </c>
      <c r="M110" t="str">
        <f t="shared" si="1"/>
        <v>Normal</v>
      </c>
    </row>
    <row r="111" spans="1:13">
      <c r="A111">
        <v>110</v>
      </c>
      <c r="B111" t="s">
        <v>361</v>
      </c>
      <c r="C111" t="s">
        <v>362</v>
      </c>
      <c r="D111" t="s">
        <v>99</v>
      </c>
      <c r="E111">
        <v>144.62</v>
      </c>
      <c r="F111">
        <v>112</v>
      </c>
      <c r="G111">
        <v>5</v>
      </c>
      <c r="H111" t="s">
        <v>167</v>
      </c>
      <c r="I111" t="str">
        <f>_xlfn.XLOOKUP(G111,suppliers!A:A,suppliers!B:B)</f>
        <v>Utah Wholesale</v>
      </c>
      <c r="J111">
        <f>IFERROR(_xlfn.XLOOKUP(A111,inventory!B:B,inventory!D:D),0)</f>
        <v>404</v>
      </c>
      <c r="K111">
        <f>IFERROR(E111 * J111, 0)</f>
        <v>58426.48</v>
      </c>
      <c r="L111">
        <f>SUMIFS(order_items!D:D,order_items!C:C,A111)</f>
        <v>38</v>
      </c>
      <c r="M111" t="str">
        <f t="shared" si="1"/>
        <v>Normal</v>
      </c>
    </row>
    <row r="112" spans="1:13">
      <c r="A112">
        <v>111</v>
      </c>
      <c r="B112" t="s">
        <v>363</v>
      </c>
      <c r="C112" t="s">
        <v>364</v>
      </c>
      <c r="D112" t="s">
        <v>102</v>
      </c>
      <c r="E112">
        <v>170.91</v>
      </c>
      <c r="F112">
        <v>39.4</v>
      </c>
      <c r="G112">
        <v>7</v>
      </c>
      <c r="H112" t="s">
        <v>164</v>
      </c>
      <c r="I112" t="str">
        <f>_xlfn.XLOOKUP(G112,suppliers!A:A,suppliers!B:B)</f>
        <v>Summit Trading</v>
      </c>
      <c r="J112">
        <f>IFERROR(_xlfn.XLOOKUP(A112,inventory!B:B,inventory!D:D),0)</f>
        <v>282</v>
      </c>
      <c r="K112">
        <f>IFERROR(E112 * J112, 0)</f>
        <v>48196.62</v>
      </c>
      <c r="L112">
        <f>SUMIFS(order_items!D:D,order_items!C:C,A112)</f>
        <v>22</v>
      </c>
      <c r="M112" t="str">
        <f t="shared" si="1"/>
        <v>Normal</v>
      </c>
    </row>
    <row r="113" spans="1:13">
      <c r="A113">
        <v>112</v>
      </c>
      <c r="B113" t="s">
        <v>365</v>
      </c>
      <c r="C113" t="s">
        <v>366</v>
      </c>
      <c r="D113" t="s">
        <v>99</v>
      </c>
      <c r="E113">
        <v>118.03</v>
      </c>
      <c r="F113">
        <v>154.88</v>
      </c>
      <c r="G113">
        <v>1</v>
      </c>
      <c r="H113" t="s">
        <v>167</v>
      </c>
      <c r="I113" t="str">
        <f>_xlfn.XLOOKUP(G113,suppliers!A:A,suppliers!B:B)</f>
        <v>Acme Supply</v>
      </c>
      <c r="J113">
        <f>IFERROR(_xlfn.XLOOKUP(A113,inventory!B:B,inventory!D:D),0)</f>
        <v>64</v>
      </c>
      <c r="K113">
        <f>IFERROR(E113 * J113, 0)</f>
        <v>7553.92</v>
      </c>
      <c r="L113">
        <f>SUMIFS(order_items!D:D,order_items!C:C,A113)</f>
        <v>41</v>
      </c>
      <c r="M113" t="str">
        <f t="shared" si="1"/>
        <v>Normal</v>
      </c>
    </row>
    <row r="114" spans="1:13">
      <c r="A114">
        <v>113</v>
      </c>
      <c r="B114" t="s">
        <v>367</v>
      </c>
      <c r="C114" t="s">
        <v>368</v>
      </c>
      <c r="D114" t="s">
        <v>103</v>
      </c>
      <c r="E114">
        <v>75.77</v>
      </c>
      <c r="F114">
        <v>84.34</v>
      </c>
      <c r="G114">
        <v>6</v>
      </c>
      <c r="H114" t="s">
        <v>164</v>
      </c>
      <c r="I114" t="str">
        <f>_xlfn.XLOOKUP(G114,suppliers!A:A,suppliers!B:B)</f>
        <v>Evergreen Imports</v>
      </c>
      <c r="J114">
        <f>IFERROR(_xlfn.XLOOKUP(A114,inventory!B:B,inventory!D:D),0)</f>
        <v>399</v>
      </c>
      <c r="K114">
        <f>IFERROR(E114 * J114, 0)</f>
        <v>30232.23</v>
      </c>
      <c r="L114">
        <f>SUMIFS(order_items!D:D,order_items!C:C,A114)</f>
        <v>21</v>
      </c>
      <c r="M114" t="str">
        <f t="shared" si="1"/>
        <v>Normal</v>
      </c>
    </row>
    <row r="115" spans="1:13">
      <c r="A115">
        <v>114</v>
      </c>
      <c r="B115" t="s">
        <v>369</v>
      </c>
      <c r="C115" t="s">
        <v>370</v>
      </c>
      <c r="D115" t="s">
        <v>105</v>
      </c>
      <c r="E115">
        <v>179.41</v>
      </c>
      <c r="F115">
        <v>171.86</v>
      </c>
      <c r="G115">
        <v>6</v>
      </c>
      <c r="H115" t="s">
        <v>164</v>
      </c>
      <c r="I115" t="str">
        <f>_xlfn.XLOOKUP(G115,suppliers!A:A,suppliers!B:B)</f>
        <v>Evergreen Imports</v>
      </c>
      <c r="J115">
        <f>IFERROR(_xlfn.XLOOKUP(A115,inventory!B:B,inventory!D:D),0)</f>
        <v>265</v>
      </c>
      <c r="K115">
        <f>IFERROR(E115 * J115, 0)</f>
        <v>47543.65</v>
      </c>
      <c r="L115">
        <f>SUMIFS(order_items!D:D,order_items!C:C,A115)</f>
        <v>25</v>
      </c>
      <c r="M115" t="str">
        <f t="shared" si="1"/>
        <v>Normal</v>
      </c>
    </row>
    <row r="116" spans="1:13">
      <c r="A116">
        <v>115</v>
      </c>
      <c r="B116" t="s">
        <v>371</v>
      </c>
      <c r="C116" t="s">
        <v>372</v>
      </c>
      <c r="D116" t="s">
        <v>100</v>
      </c>
      <c r="E116">
        <v>58.66</v>
      </c>
      <c r="F116">
        <v>80.7</v>
      </c>
      <c r="G116">
        <v>4</v>
      </c>
      <c r="H116" t="s">
        <v>167</v>
      </c>
      <c r="I116" t="str">
        <f>_xlfn.XLOOKUP(G116,suppliers!A:A,suppliers!B:B)</f>
        <v>Blue Ridge</v>
      </c>
      <c r="J116">
        <f>IFERROR(_xlfn.XLOOKUP(A116,inventory!B:B,inventory!D:D),0)</f>
        <v>478</v>
      </c>
      <c r="K116">
        <f>IFERROR(E116 * J116, 0)</f>
        <v>28039.48</v>
      </c>
      <c r="L116">
        <f>SUMIFS(order_items!D:D,order_items!C:C,A116)</f>
        <v>22</v>
      </c>
      <c r="M116" t="str">
        <f t="shared" si="1"/>
        <v>Normal</v>
      </c>
    </row>
    <row r="117" spans="1:13">
      <c r="A117">
        <v>116</v>
      </c>
      <c r="B117" t="s">
        <v>373</v>
      </c>
      <c r="C117" t="s">
        <v>374</v>
      </c>
      <c r="D117" t="s">
        <v>98</v>
      </c>
      <c r="E117">
        <v>171.4</v>
      </c>
      <c r="F117">
        <v>211.7</v>
      </c>
      <c r="G117">
        <v>4</v>
      </c>
      <c r="H117" t="s">
        <v>164</v>
      </c>
      <c r="I117" t="str">
        <f>_xlfn.XLOOKUP(G117,suppliers!A:A,suppliers!B:B)</f>
        <v>Blue Ridge</v>
      </c>
      <c r="J117">
        <f>IFERROR(_xlfn.XLOOKUP(A117,inventory!B:B,inventory!D:D),0)</f>
        <v>100</v>
      </c>
      <c r="K117">
        <f>IFERROR(E117 * J117, 0)</f>
        <v>17140</v>
      </c>
      <c r="L117">
        <f>SUMIFS(order_items!D:D,order_items!C:C,A117)</f>
        <v>14</v>
      </c>
      <c r="M117" t="str">
        <f t="shared" si="1"/>
        <v>Normal</v>
      </c>
    </row>
    <row r="118" spans="1:13">
      <c r="A118">
        <v>117</v>
      </c>
      <c r="B118" t="s">
        <v>77</v>
      </c>
      <c r="C118" t="s">
        <v>375</v>
      </c>
      <c r="D118" t="s">
        <v>100</v>
      </c>
      <c r="E118">
        <v>131.80000000000001</v>
      </c>
      <c r="F118">
        <v>293.33</v>
      </c>
      <c r="G118">
        <v>5</v>
      </c>
      <c r="H118" t="s">
        <v>167</v>
      </c>
      <c r="I118" t="str">
        <f>_xlfn.XLOOKUP(G118,suppliers!A:A,suppliers!B:B)</f>
        <v>Utah Wholesale</v>
      </c>
      <c r="J118">
        <f>IFERROR(_xlfn.XLOOKUP(A118,inventory!B:B,inventory!D:D),0)</f>
        <v>337</v>
      </c>
      <c r="K118">
        <f>IFERROR(E118 * J118, 0)</f>
        <v>44416.600000000006</v>
      </c>
      <c r="L118">
        <f>SUMIFS(order_items!D:D,order_items!C:C,A118)</f>
        <v>55</v>
      </c>
      <c r="M118" t="str">
        <f t="shared" si="1"/>
        <v>Normal</v>
      </c>
    </row>
    <row r="119" spans="1:13">
      <c r="A119">
        <v>118</v>
      </c>
      <c r="B119" t="s">
        <v>376</v>
      </c>
      <c r="C119" t="s">
        <v>377</v>
      </c>
      <c r="D119" t="s">
        <v>99</v>
      </c>
      <c r="E119">
        <v>44.81</v>
      </c>
      <c r="F119">
        <v>0</v>
      </c>
      <c r="G119">
        <v>3</v>
      </c>
      <c r="H119" t="s">
        <v>167</v>
      </c>
      <c r="I119" t="str">
        <f>_xlfn.XLOOKUP(G119,suppliers!A:A,suppliers!B:B)</f>
        <v>PrimeSource</v>
      </c>
      <c r="J119">
        <f>IFERROR(_xlfn.XLOOKUP(A119,inventory!B:B,inventory!D:D),0)</f>
        <v>23</v>
      </c>
      <c r="K119">
        <f>IFERROR(E119 * J119, 0)</f>
        <v>1030.6300000000001</v>
      </c>
      <c r="L119">
        <f>SUMIFS(order_items!D:D,order_items!C:C,A119)</f>
        <v>30</v>
      </c>
      <c r="M119" t="str">
        <f t="shared" si="1"/>
        <v>Normal</v>
      </c>
    </row>
    <row r="120" spans="1:13">
      <c r="A120">
        <v>119</v>
      </c>
      <c r="B120" t="s">
        <v>378</v>
      </c>
      <c r="C120" t="s">
        <v>379</v>
      </c>
      <c r="D120" t="s">
        <v>102</v>
      </c>
      <c r="E120">
        <v>27.15</v>
      </c>
      <c r="F120">
        <v>27.97</v>
      </c>
      <c r="G120">
        <v>1</v>
      </c>
      <c r="H120" t="s">
        <v>167</v>
      </c>
      <c r="I120" t="str">
        <f>_xlfn.XLOOKUP(G120,suppliers!A:A,suppliers!B:B)</f>
        <v>Acme Supply</v>
      </c>
      <c r="J120">
        <f>IFERROR(_xlfn.XLOOKUP(A120,inventory!B:B,inventory!D:D),0)</f>
        <v>292</v>
      </c>
      <c r="K120">
        <f>IFERROR(E120 * J120, 0)</f>
        <v>7927.7999999999993</v>
      </c>
      <c r="L120">
        <f>SUMIFS(order_items!D:D,order_items!C:C,A120)</f>
        <v>51</v>
      </c>
      <c r="M120" t="str">
        <f t="shared" si="1"/>
        <v>Normal</v>
      </c>
    </row>
    <row r="121" spans="1:13">
      <c r="A121">
        <v>120</v>
      </c>
      <c r="B121" t="s">
        <v>380</v>
      </c>
      <c r="C121" t="s">
        <v>381</v>
      </c>
      <c r="D121" t="s">
        <v>103</v>
      </c>
      <c r="E121">
        <v>116.63</v>
      </c>
      <c r="F121">
        <v>229.55</v>
      </c>
      <c r="G121">
        <v>2</v>
      </c>
      <c r="H121" t="s">
        <v>121</v>
      </c>
      <c r="I121" t="str">
        <f>_xlfn.XLOOKUP(G121,suppliers!A:A,suppliers!B:B)</f>
        <v>Global Goods</v>
      </c>
      <c r="J121">
        <f>IFERROR(_xlfn.XLOOKUP(A121,inventory!B:B,inventory!D:D),0)</f>
        <v>152</v>
      </c>
      <c r="K121">
        <f>IFERROR(E121 * J121, 0)</f>
        <v>17727.759999999998</v>
      </c>
      <c r="L121">
        <f>SUMIFS(order_items!D:D,order_items!C:C,A121)</f>
        <v>30</v>
      </c>
      <c r="M121" t="str">
        <f t="shared" si="1"/>
        <v>Normal</v>
      </c>
    </row>
    <row r="122" spans="1:13">
      <c r="A122">
        <v>121</v>
      </c>
      <c r="B122" t="s">
        <v>382</v>
      </c>
      <c r="C122" t="s">
        <v>383</v>
      </c>
      <c r="D122" t="s">
        <v>102</v>
      </c>
      <c r="E122">
        <v>54.76</v>
      </c>
      <c r="F122">
        <v>151.43</v>
      </c>
      <c r="G122">
        <v>6</v>
      </c>
      <c r="H122" t="s">
        <v>164</v>
      </c>
      <c r="I122" t="str">
        <f>_xlfn.XLOOKUP(G122,suppliers!A:A,suppliers!B:B)</f>
        <v>Evergreen Imports</v>
      </c>
      <c r="J122">
        <f>IFERROR(_xlfn.XLOOKUP(A122,inventory!B:B,inventory!D:D),0)</f>
        <v>174</v>
      </c>
      <c r="K122">
        <f>IFERROR(E122 * J122, 0)</f>
        <v>9528.24</v>
      </c>
      <c r="L122">
        <f>SUMIFS(order_items!D:D,order_items!C:C,A122)</f>
        <v>25</v>
      </c>
      <c r="M122" t="str">
        <f t="shared" si="1"/>
        <v>Normal</v>
      </c>
    </row>
    <row r="123" spans="1:13">
      <c r="A123">
        <v>122</v>
      </c>
      <c r="B123" t="s">
        <v>384</v>
      </c>
      <c r="C123" t="s">
        <v>385</v>
      </c>
      <c r="D123" t="s">
        <v>102</v>
      </c>
      <c r="E123">
        <v>169.69</v>
      </c>
      <c r="F123">
        <v>151.15</v>
      </c>
      <c r="G123">
        <v>2</v>
      </c>
      <c r="H123" t="s">
        <v>164</v>
      </c>
      <c r="I123" t="str">
        <f>_xlfn.XLOOKUP(G123,suppliers!A:A,suppliers!B:B)</f>
        <v>Global Goods</v>
      </c>
      <c r="J123">
        <f>IFERROR(_xlfn.XLOOKUP(A123,inventory!B:B,inventory!D:D),0)</f>
        <v>389</v>
      </c>
      <c r="K123">
        <f>IFERROR(E123 * J123, 0)</f>
        <v>66009.41</v>
      </c>
      <c r="L123">
        <f>SUMIFS(order_items!D:D,order_items!C:C,A123)</f>
        <v>47</v>
      </c>
      <c r="M123" t="str">
        <f t="shared" si="1"/>
        <v>Normal</v>
      </c>
    </row>
    <row r="124" spans="1:13">
      <c r="A124">
        <v>123</v>
      </c>
      <c r="B124" t="s">
        <v>386</v>
      </c>
      <c r="C124" t="s">
        <v>387</v>
      </c>
      <c r="D124" t="s">
        <v>100</v>
      </c>
      <c r="E124">
        <v>105.98</v>
      </c>
      <c r="F124">
        <v>210.64</v>
      </c>
      <c r="G124">
        <v>3</v>
      </c>
      <c r="H124" t="s">
        <v>164</v>
      </c>
      <c r="I124" t="str">
        <f>_xlfn.XLOOKUP(G124,suppliers!A:A,suppliers!B:B)</f>
        <v>PrimeSource</v>
      </c>
      <c r="J124">
        <f>IFERROR(_xlfn.XLOOKUP(A124,inventory!B:B,inventory!D:D),0)</f>
        <v>230</v>
      </c>
      <c r="K124">
        <f>IFERROR(E124 * J124, 0)</f>
        <v>24375.4</v>
      </c>
      <c r="L124">
        <f>SUMIFS(order_items!D:D,order_items!C:C,A124)</f>
        <v>41</v>
      </c>
      <c r="M124" t="str">
        <f t="shared" si="1"/>
        <v>Normal</v>
      </c>
    </row>
    <row r="125" spans="1:13">
      <c r="A125">
        <v>124</v>
      </c>
      <c r="B125" t="s">
        <v>388</v>
      </c>
      <c r="C125" t="s">
        <v>389</v>
      </c>
      <c r="D125" t="s">
        <v>103</v>
      </c>
      <c r="E125">
        <v>178.94</v>
      </c>
      <c r="F125">
        <v>48.76</v>
      </c>
      <c r="G125">
        <v>7</v>
      </c>
      <c r="H125" t="s">
        <v>167</v>
      </c>
      <c r="I125" t="str">
        <f>_xlfn.XLOOKUP(G125,suppliers!A:A,suppliers!B:B)</f>
        <v>Summit Trading</v>
      </c>
      <c r="J125">
        <f>IFERROR(_xlfn.XLOOKUP(A125,inventory!B:B,inventory!D:D),0)</f>
        <v>484</v>
      </c>
      <c r="K125">
        <f>IFERROR(E125 * J125, 0)</f>
        <v>86606.959999999992</v>
      </c>
      <c r="L125">
        <f>SUMIFS(order_items!D:D,order_items!C:C,A125)</f>
        <v>38</v>
      </c>
      <c r="M125" t="str">
        <f t="shared" si="1"/>
        <v>Normal</v>
      </c>
    </row>
    <row r="126" spans="1:13">
      <c r="A126">
        <v>125</v>
      </c>
      <c r="B126" t="s">
        <v>81</v>
      </c>
      <c r="C126" t="s">
        <v>390</v>
      </c>
      <c r="D126" t="s">
        <v>99</v>
      </c>
      <c r="E126">
        <v>71.569999999999993</v>
      </c>
      <c r="F126">
        <v>273.92</v>
      </c>
      <c r="G126">
        <v>5</v>
      </c>
      <c r="H126" t="s">
        <v>121</v>
      </c>
      <c r="I126" t="str">
        <f>_xlfn.XLOOKUP(G126,suppliers!A:A,suppliers!B:B)</f>
        <v>Utah Wholesale</v>
      </c>
      <c r="J126">
        <f>IFERROR(_xlfn.XLOOKUP(A126,inventory!B:B,inventory!D:D),0)</f>
        <v>416</v>
      </c>
      <c r="K126">
        <f>IFERROR(E126 * J126, 0)</f>
        <v>29773.119999999995</v>
      </c>
      <c r="L126">
        <f>SUMIFS(order_items!D:D,order_items!C:C,A126)</f>
        <v>50</v>
      </c>
      <c r="M126" t="str">
        <f t="shared" si="1"/>
        <v>Normal</v>
      </c>
    </row>
    <row r="127" spans="1:13">
      <c r="A127">
        <v>126</v>
      </c>
      <c r="B127" t="s">
        <v>391</v>
      </c>
      <c r="C127" t="s">
        <v>392</v>
      </c>
      <c r="D127" t="s">
        <v>101</v>
      </c>
      <c r="E127">
        <v>104.51</v>
      </c>
      <c r="F127">
        <v>32.17</v>
      </c>
      <c r="G127">
        <v>2</v>
      </c>
      <c r="H127" t="s">
        <v>121</v>
      </c>
      <c r="I127" t="str">
        <f>_xlfn.XLOOKUP(G127,suppliers!A:A,suppliers!B:B)</f>
        <v>Global Goods</v>
      </c>
      <c r="J127">
        <f>IFERROR(_xlfn.XLOOKUP(A127,inventory!B:B,inventory!D:D),0)</f>
        <v>263</v>
      </c>
      <c r="K127">
        <f>IFERROR(E127 * J127, 0)</f>
        <v>27486.13</v>
      </c>
      <c r="L127">
        <f>SUMIFS(order_items!D:D,order_items!C:C,A127)</f>
        <v>49</v>
      </c>
      <c r="M127" t="str">
        <f t="shared" si="1"/>
        <v>Normal</v>
      </c>
    </row>
    <row r="128" spans="1:13">
      <c r="A128">
        <v>127</v>
      </c>
      <c r="B128" t="s">
        <v>393</v>
      </c>
      <c r="C128" t="s">
        <v>394</v>
      </c>
      <c r="D128" t="s">
        <v>99</v>
      </c>
      <c r="E128">
        <v>51.31</v>
      </c>
      <c r="F128">
        <v>38.14</v>
      </c>
      <c r="G128">
        <v>4</v>
      </c>
      <c r="H128" t="s">
        <v>164</v>
      </c>
      <c r="I128" t="str">
        <f>_xlfn.XLOOKUP(G128,suppliers!A:A,suppliers!B:B)</f>
        <v>Blue Ridge</v>
      </c>
      <c r="J128">
        <f>IFERROR(_xlfn.XLOOKUP(A128,inventory!B:B,inventory!D:D),0)</f>
        <v>46</v>
      </c>
      <c r="K128">
        <f>IFERROR(E128 * J128, 0)</f>
        <v>2360.2600000000002</v>
      </c>
      <c r="L128">
        <f>SUMIFS(order_items!D:D,order_items!C:C,A128)</f>
        <v>54</v>
      </c>
      <c r="M128" t="str">
        <f t="shared" si="1"/>
        <v>Normal</v>
      </c>
    </row>
    <row r="129" spans="1:13">
      <c r="A129">
        <v>128</v>
      </c>
      <c r="B129" t="s">
        <v>93</v>
      </c>
      <c r="C129" t="s">
        <v>395</v>
      </c>
      <c r="D129" t="s">
        <v>98</v>
      </c>
      <c r="E129">
        <v>5.47</v>
      </c>
      <c r="F129">
        <v>143.38999999999999</v>
      </c>
      <c r="G129">
        <v>8</v>
      </c>
      <c r="H129" t="s">
        <v>167</v>
      </c>
      <c r="I129" t="str">
        <f>_xlfn.XLOOKUP(G129,suppliers!A:A,suppliers!B:B)</f>
        <v>Metro Logistics</v>
      </c>
      <c r="J129">
        <f>IFERROR(_xlfn.XLOOKUP(A129,inventory!B:B,inventory!D:D),0)</f>
        <v>144</v>
      </c>
      <c r="K129">
        <f>IFERROR(E129 * J129, 0)</f>
        <v>787.68</v>
      </c>
      <c r="L129">
        <f>SUMIFS(order_items!D:D,order_items!C:C,A129)</f>
        <v>65</v>
      </c>
      <c r="M129" t="str">
        <f t="shared" si="1"/>
        <v>Normal</v>
      </c>
    </row>
    <row r="130" spans="1:13">
      <c r="A130">
        <v>129</v>
      </c>
      <c r="B130" t="s">
        <v>396</v>
      </c>
      <c r="C130" t="s">
        <v>397</v>
      </c>
      <c r="D130" t="s">
        <v>102</v>
      </c>
      <c r="E130">
        <v>55.42</v>
      </c>
      <c r="F130">
        <v>95.57</v>
      </c>
      <c r="G130">
        <v>8</v>
      </c>
      <c r="H130" t="s">
        <v>167</v>
      </c>
      <c r="I130" t="str">
        <f>_xlfn.XLOOKUP(G130,suppliers!A:A,suppliers!B:B)</f>
        <v>Metro Logistics</v>
      </c>
      <c r="J130">
        <f>IFERROR(_xlfn.XLOOKUP(A130,inventory!B:B,inventory!D:D),0)</f>
        <v>68</v>
      </c>
      <c r="K130">
        <f>IFERROR(E130 * J130, 0)</f>
        <v>3768.56</v>
      </c>
      <c r="L130">
        <f>SUMIFS(order_items!D:D,order_items!C:C,A130)</f>
        <v>23</v>
      </c>
      <c r="M130" t="str">
        <f t="shared" ref="M130:M154" si="2">IF(L130&lt;10,"Slow Moving","Normal")</f>
        <v>Normal</v>
      </c>
    </row>
    <row r="131" spans="1:13">
      <c r="A131">
        <v>130</v>
      </c>
      <c r="B131" t="s">
        <v>398</v>
      </c>
      <c r="C131" t="s">
        <v>399</v>
      </c>
      <c r="D131" t="s">
        <v>99</v>
      </c>
      <c r="E131">
        <v>142.87</v>
      </c>
      <c r="F131">
        <v>193.14</v>
      </c>
      <c r="G131">
        <v>4</v>
      </c>
      <c r="H131" t="s">
        <v>164</v>
      </c>
      <c r="I131" t="str">
        <f>_xlfn.XLOOKUP(G131,suppliers!A:A,suppliers!B:B)</f>
        <v>Blue Ridge</v>
      </c>
      <c r="J131">
        <f>IFERROR(_xlfn.XLOOKUP(A131,inventory!B:B,inventory!D:D),0)</f>
        <v>23</v>
      </c>
      <c r="K131">
        <f>IFERROR(E131 * J131, 0)</f>
        <v>3286.01</v>
      </c>
      <c r="L131">
        <f>SUMIFS(order_items!D:D,order_items!C:C,A131)</f>
        <v>34</v>
      </c>
      <c r="M131" t="str">
        <f t="shared" si="2"/>
        <v>Normal</v>
      </c>
    </row>
    <row r="132" spans="1:13">
      <c r="A132">
        <v>131</v>
      </c>
      <c r="B132" t="s">
        <v>400</v>
      </c>
      <c r="C132" t="s">
        <v>401</v>
      </c>
      <c r="D132" t="s">
        <v>98</v>
      </c>
      <c r="E132">
        <v>44.34</v>
      </c>
      <c r="F132">
        <v>57.46</v>
      </c>
      <c r="G132">
        <v>5</v>
      </c>
      <c r="H132" t="s">
        <v>121</v>
      </c>
      <c r="I132" t="str">
        <f>_xlfn.XLOOKUP(G132,suppliers!A:A,suppliers!B:B)</f>
        <v>Utah Wholesale</v>
      </c>
      <c r="J132">
        <f>IFERROR(_xlfn.XLOOKUP(A132,inventory!B:B,inventory!D:D),0)</f>
        <v>258</v>
      </c>
      <c r="K132">
        <f>IFERROR(E132 * J132, 0)</f>
        <v>11439.720000000001</v>
      </c>
      <c r="L132">
        <f>SUMIFS(order_items!D:D,order_items!C:C,A132)</f>
        <v>36</v>
      </c>
      <c r="M132" t="str">
        <f t="shared" si="2"/>
        <v>Normal</v>
      </c>
    </row>
    <row r="133" spans="1:13">
      <c r="A133">
        <v>132</v>
      </c>
      <c r="B133" t="s">
        <v>402</v>
      </c>
      <c r="C133" t="s">
        <v>403</v>
      </c>
      <c r="D133" t="s">
        <v>104</v>
      </c>
      <c r="E133">
        <v>15.44</v>
      </c>
      <c r="F133">
        <v>240.9</v>
      </c>
      <c r="G133">
        <v>5</v>
      </c>
      <c r="H133" t="s">
        <v>164</v>
      </c>
      <c r="I133" t="str">
        <f>_xlfn.XLOOKUP(G133,suppliers!A:A,suppliers!B:B)</f>
        <v>Utah Wholesale</v>
      </c>
      <c r="J133">
        <f>IFERROR(_xlfn.XLOOKUP(A133,inventory!B:B,inventory!D:D),0)</f>
        <v>201</v>
      </c>
      <c r="K133">
        <f>IFERROR(E133 * J133, 0)</f>
        <v>3103.44</v>
      </c>
      <c r="L133">
        <f>SUMIFS(order_items!D:D,order_items!C:C,A133)</f>
        <v>18</v>
      </c>
      <c r="M133" t="str">
        <f t="shared" si="2"/>
        <v>Normal</v>
      </c>
    </row>
    <row r="134" spans="1:13">
      <c r="A134">
        <v>133</v>
      </c>
      <c r="B134" t="s">
        <v>404</v>
      </c>
      <c r="C134" t="s">
        <v>405</v>
      </c>
      <c r="D134" t="s">
        <v>98</v>
      </c>
      <c r="E134">
        <v>125.52</v>
      </c>
      <c r="F134">
        <v>214.42</v>
      </c>
      <c r="G134">
        <v>5</v>
      </c>
      <c r="H134" t="s">
        <v>167</v>
      </c>
      <c r="I134" t="str">
        <f>_xlfn.XLOOKUP(G134,suppliers!A:A,suppliers!B:B)</f>
        <v>Utah Wholesale</v>
      </c>
      <c r="J134">
        <f>IFERROR(_xlfn.XLOOKUP(A134,inventory!B:B,inventory!D:D),0)</f>
        <v>23</v>
      </c>
      <c r="K134">
        <f>IFERROR(E134 * J134, 0)</f>
        <v>2886.96</v>
      </c>
      <c r="L134">
        <f>SUMIFS(order_items!D:D,order_items!C:C,A134)</f>
        <v>28</v>
      </c>
      <c r="M134" t="str">
        <f t="shared" si="2"/>
        <v>Normal</v>
      </c>
    </row>
    <row r="135" spans="1:13">
      <c r="A135">
        <v>134</v>
      </c>
      <c r="B135" t="s">
        <v>406</v>
      </c>
      <c r="C135" t="s">
        <v>407</v>
      </c>
      <c r="D135" t="s">
        <v>100</v>
      </c>
      <c r="E135">
        <v>19.079999999999998</v>
      </c>
      <c r="F135">
        <v>26.36</v>
      </c>
      <c r="G135">
        <v>7</v>
      </c>
      <c r="H135" t="s">
        <v>164</v>
      </c>
      <c r="I135" t="str">
        <f>_xlfn.XLOOKUP(G135,suppliers!A:A,suppliers!B:B)</f>
        <v>Summit Trading</v>
      </c>
      <c r="J135">
        <f>IFERROR(_xlfn.XLOOKUP(A135,inventory!B:B,inventory!D:D),0)</f>
        <v>167</v>
      </c>
      <c r="K135">
        <f>IFERROR(E135 * J135, 0)</f>
        <v>3186.3599999999997</v>
      </c>
      <c r="L135">
        <f>SUMIFS(order_items!D:D,order_items!C:C,A135)</f>
        <v>68</v>
      </c>
      <c r="M135" t="str">
        <f t="shared" si="2"/>
        <v>Normal</v>
      </c>
    </row>
    <row r="136" spans="1:13">
      <c r="A136">
        <v>135</v>
      </c>
      <c r="B136" t="s">
        <v>408</v>
      </c>
      <c r="C136" t="s">
        <v>409</v>
      </c>
      <c r="D136" t="s">
        <v>105</v>
      </c>
      <c r="E136">
        <v>48.81</v>
      </c>
      <c r="F136">
        <v>41.03</v>
      </c>
      <c r="G136">
        <v>1</v>
      </c>
      <c r="H136" t="s">
        <v>121</v>
      </c>
      <c r="I136" t="str">
        <f>_xlfn.XLOOKUP(G136,suppliers!A:A,suppliers!B:B)</f>
        <v>Acme Supply</v>
      </c>
      <c r="J136">
        <f>IFERROR(_xlfn.XLOOKUP(A136,inventory!B:B,inventory!D:D),0)</f>
        <v>424</v>
      </c>
      <c r="K136">
        <f>IFERROR(E136 * J136, 0)</f>
        <v>20695.440000000002</v>
      </c>
      <c r="L136">
        <f>SUMIFS(order_items!D:D,order_items!C:C,A136)</f>
        <v>33</v>
      </c>
      <c r="M136" t="str">
        <f t="shared" si="2"/>
        <v>Normal</v>
      </c>
    </row>
    <row r="137" spans="1:13">
      <c r="A137">
        <v>136</v>
      </c>
      <c r="B137" t="s">
        <v>410</v>
      </c>
      <c r="C137" t="s">
        <v>411</v>
      </c>
      <c r="D137" t="s">
        <v>103</v>
      </c>
      <c r="E137">
        <v>12.04</v>
      </c>
      <c r="F137">
        <v>230.54</v>
      </c>
      <c r="G137">
        <v>8</v>
      </c>
      <c r="H137" t="s">
        <v>167</v>
      </c>
      <c r="I137" t="str">
        <f>_xlfn.XLOOKUP(G137,suppliers!A:A,suppliers!B:B)</f>
        <v>Metro Logistics</v>
      </c>
      <c r="J137">
        <f>IFERROR(_xlfn.XLOOKUP(A137,inventory!B:B,inventory!D:D),0)</f>
        <v>298</v>
      </c>
      <c r="K137">
        <f>IFERROR(E137 * J137, 0)</f>
        <v>3587.9199999999996</v>
      </c>
      <c r="L137">
        <f>SUMIFS(order_items!D:D,order_items!C:C,A137)</f>
        <v>27</v>
      </c>
      <c r="M137" t="str">
        <f t="shared" si="2"/>
        <v>Normal</v>
      </c>
    </row>
    <row r="138" spans="1:13">
      <c r="A138">
        <v>137</v>
      </c>
      <c r="B138" t="s">
        <v>412</v>
      </c>
      <c r="C138" t="s">
        <v>413</v>
      </c>
      <c r="D138" t="s">
        <v>100</v>
      </c>
      <c r="E138">
        <v>36.76</v>
      </c>
      <c r="F138">
        <v>181.82</v>
      </c>
      <c r="G138">
        <v>8</v>
      </c>
      <c r="H138" t="s">
        <v>167</v>
      </c>
      <c r="I138" t="str">
        <f>_xlfn.XLOOKUP(G138,suppliers!A:A,suppliers!B:B)</f>
        <v>Metro Logistics</v>
      </c>
      <c r="J138">
        <f>IFERROR(_xlfn.XLOOKUP(A138,inventory!B:B,inventory!D:D),0)</f>
        <v>495</v>
      </c>
      <c r="K138">
        <f>IFERROR(E138 * J138, 0)</f>
        <v>18196.2</v>
      </c>
      <c r="L138">
        <f>SUMIFS(order_items!D:D,order_items!C:C,A138)</f>
        <v>36</v>
      </c>
      <c r="M138" t="str">
        <f t="shared" si="2"/>
        <v>Normal</v>
      </c>
    </row>
    <row r="139" spans="1:13">
      <c r="A139">
        <v>138</v>
      </c>
      <c r="B139" t="s">
        <v>414</v>
      </c>
      <c r="C139" t="s">
        <v>415</v>
      </c>
      <c r="D139" t="s">
        <v>100</v>
      </c>
      <c r="E139">
        <v>76.459999999999994</v>
      </c>
      <c r="F139">
        <v>106.5</v>
      </c>
      <c r="G139">
        <v>2</v>
      </c>
      <c r="H139" t="s">
        <v>121</v>
      </c>
      <c r="I139" t="str">
        <f>_xlfn.XLOOKUP(G139,suppliers!A:A,suppliers!B:B)</f>
        <v>Global Goods</v>
      </c>
      <c r="J139">
        <f>IFERROR(_xlfn.XLOOKUP(A139,inventory!B:B,inventory!D:D),0)</f>
        <v>348</v>
      </c>
      <c r="K139">
        <f>IFERROR(E139 * J139, 0)</f>
        <v>26608.079999999998</v>
      </c>
      <c r="L139">
        <f>SUMIFS(order_items!D:D,order_items!C:C,A139)</f>
        <v>32</v>
      </c>
      <c r="M139" t="str">
        <f t="shared" si="2"/>
        <v>Normal</v>
      </c>
    </row>
    <row r="140" spans="1:13">
      <c r="A140">
        <v>139</v>
      </c>
      <c r="B140" t="s">
        <v>416</v>
      </c>
      <c r="C140" t="s">
        <v>417</v>
      </c>
      <c r="D140" t="s">
        <v>104</v>
      </c>
      <c r="E140">
        <v>77.040000000000006</v>
      </c>
      <c r="F140">
        <v>156.21</v>
      </c>
      <c r="G140">
        <v>7</v>
      </c>
      <c r="H140" t="s">
        <v>121</v>
      </c>
      <c r="I140" t="str">
        <f>_xlfn.XLOOKUP(G140,suppliers!A:A,suppliers!B:B)</f>
        <v>Summit Trading</v>
      </c>
      <c r="J140">
        <f>IFERROR(_xlfn.XLOOKUP(A140,inventory!B:B,inventory!D:D),0)</f>
        <v>353</v>
      </c>
      <c r="K140">
        <f>IFERROR(E140 * J140, 0)</f>
        <v>27195.120000000003</v>
      </c>
      <c r="L140">
        <f>SUMIFS(order_items!D:D,order_items!C:C,A140)</f>
        <v>17</v>
      </c>
      <c r="M140" t="str">
        <f t="shared" si="2"/>
        <v>Normal</v>
      </c>
    </row>
    <row r="141" spans="1:13">
      <c r="A141">
        <v>140</v>
      </c>
      <c r="B141" t="s">
        <v>418</v>
      </c>
      <c r="C141" t="s">
        <v>419</v>
      </c>
      <c r="D141" t="s">
        <v>102</v>
      </c>
      <c r="E141">
        <v>20.41</v>
      </c>
      <c r="F141">
        <v>86.93</v>
      </c>
      <c r="G141">
        <v>2</v>
      </c>
      <c r="H141" t="s">
        <v>121</v>
      </c>
      <c r="I141" t="str">
        <f>_xlfn.XLOOKUP(G141,suppliers!A:A,suppliers!B:B)</f>
        <v>Global Goods</v>
      </c>
      <c r="J141">
        <f>IFERROR(_xlfn.XLOOKUP(A141,inventory!B:B,inventory!D:D),0)</f>
        <v>70</v>
      </c>
      <c r="K141">
        <f>IFERROR(E141 * J141, 0)</f>
        <v>1428.7</v>
      </c>
      <c r="L141">
        <f>SUMIFS(order_items!D:D,order_items!C:C,A141)</f>
        <v>36</v>
      </c>
      <c r="M141" t="str">
        <f t="shared" si="2"/>
        <v>Normal</v>
      </c>
    </row>
    <row r="142" spans="1:13">
      <c r="A142">
        <v>141</v>
      </c>
      <c r="B142" t="s">
        <v>420</v>
      </c>
      <c r="C142" t="s">
        <v>421</v>
      </c>
      <c r="D142" t="s">
        <v>101</v>
      </c>
      <c r="E142">
        <v>149.36000000000001</v>
      </c>
      <c r="F142">
        <v>15.33</v>
      </c>
      <c r="G142">
        <v>8</v>
      </c>
      <c r="H142" t="s">
        <v>164</v>
      </c>
      <c r="I142" t="str">
        <f>_xlfn.XLOOKUP(G142,suppliers!A:A,suppliers!B:B)</f>
        <v>Metro Logistics</v>
      </c>
      <c r="J142">
        <f>IFERROR(_xlfn.XLOOKUP(A142,inventory!B:B,inventory!D:D),0)</f>
        <v>279</v>
      </c>
      <c r="K142">
        <f>IFERROR(E142 * J142, 0)</f>
        <v>41671.440000000002</v>
      </c>
      <c r="L142">
        <f>SUMIFS(order_items!D:D,order_items!C:C,A142)</f>
        <v>55</v>
      </c>
      <c r="M142" t="str">
        <f t="shared" si="2"/>
        <v>Normal</v>
      </c>
    </row>
    <row r="143" spans="1:13">
      <c r="A143">
        <v>142</v>
      </c>
      <c r="B143" t="s">
        <v>422</v>
      </c>
      <c r="C143" t="s">
        <v>423</v>
      </c>
      <c r="D143" t="s">
        <v>102</v>
      </c>
      <c r="E143">
        <v>95.73</v>
      </c>
      <c r="F143">
        <v>192.45</v>
      </c>
      <c r="G143">
        <v>8</v>
      </c>
      <c r="H143" t="s">
        <v>164</v>
      </c>
      <c r="I143" t="str">
        <f>_xlfn.XLOOKUP(G143,suppliers!A:A,suppliers!B:B)</f>
        <v>Metro Logistics</v>
      </c>
      <c r="J143">
        <f>IFERROR(_xlfn.XLOOKUP(A143,inventory!B:B,inventory!D:D),0)</f>
        <v>490</v>
      </c>
      <c r="K143">
        <f>IFERROR(E143 * J143, 0)</f>
        <v>46907.700000000004</v>
      </c>
      <c r="L143">
        <f>SUMIFS(order_items!D:D,order_items!C:C,A143)</f>
        <v>27</v>
      </c>
      <c r="M143" t="str">
        <f t="shared" si="2"/>
        <v>Normal</v>
      </c>
    </row>
    <row r="144" spans="1:13">
      <c r="A144">
        <v>143</v>
      </c>
      <c r="B144" t="s">
        <v>424</v>
      </c>
      <c r="C144" t="s">
        <v>425</v>
      </c>
      <c r="D144" t="s">
        <v>100</v>
      </c>
      <c r="E144">
        <v>40.619999999999997</v>
      </c>
      <c r="F144">
        <v>171.53</v>
      </c>
      <c r="G144">
        <v>5</v>
      </c>
      <c r="H144" t="s">
        <v>164</v>
      </c>
      <c r="I144" t="str">
        <f>_xlfn.XLOOKUP(G144,suppliers!A:A,suppliers!B:B)</f>
        <v>Utah Wholesale</v>
      </c>
      <c r="J144">
        <f>IFERROR(_xlfn.XLOOKUP(A144,inventory!B:B,inventory!D:D),0)</f>
        <v>178</v>
      </c>
      <c r="K144">
        <f>IFERROR(E144 * J144, 0)</f>
        <v>7230.36</v>
      </c>
      <c r="L144">
        <f>SUMIFS(order_items!D:D,order_items!C:C,A144)</f>
        <v>22</v>
      </c>
      <c r="M144" t="str">
        <f t="shared" si="2"/>
        <v>Normal</v>
      </c>
    </row>
    <row r="145" spans="1:13">
      <c r="A145">
        <v>144</v>
      </c>
      <c r="B145" t="s">
        <v>426</v>
      </c>
      <c r="C145" t="s">
        <v>427</v>
      </c>
      <c r="D145" t="s">
        <v>100</v>
      </c>
      <c r="E145">
        <v>10.050000000000001</v>
      </c>
      <c r="F145">
        <v>194.56</v>
      </c>
      <c r="G145">
        <v>4</v>
      </c>
      <c r="H145" t="s">
        <v>164</v>
      </c>
      <c r="I145" t="str">
        <f>_xlfn.XLOOKUP(G145,suppliers!A:A,suppliers!B:B)</f>
        <v>Blue Ridge</v>
      </c>
      <c r="J145">
        <f>IFERROR(_xlfn.XLOOKUP(A145,inventory!B:B,inventory!D:D),0)</f>
        <v>488</v>
      </c>
      <c r="K145">
        <f>IFERROR(E145 * J145, 0)</f>
        <v>4904.4000000000005</v>
      </c>
      <c r="L145">
        <f>SUMIFS(order_items!D:D,order_items!C:C,A145)</f>
        <v>32</v>
      </c>
      <c r="M145" t="str">
        <f t="shared" si="2"/>
        <v>Normal</v>
      </c>
    </row>
    <row r="146" spans="1:13">
      <c r="A146">
        <v>145</v>
      </c>
      <c r="B146" t="s">
        <v>428</v>
      </c>
      <c r="C146" t="s">
        <v>429</v>
      </c>
      <c r="D146" t="s">
        <v>104</v>
      </c>
      <c r="E146">
        <v>101.4</v>
      </c>
      <c r="F146">
        <v>172.39</v>
      </c>
      <c r="G146">
        <v>2</v>
      </c>
      <c r="H146" t="s">
        <v>164</v>
      </c>
      <c r="I146" t="str">
        <f>_xlfn.XLOOKUP(G146,suppliers!A:A,suppliers!B:B)</f>
        <v>Global Goods</v>
      </c>
      <c r="J146">
        <f>IFERROR(_xlfn.XLOOKUP(A146,inventory!B:B,inventory!D:D),0)</f>
        <v>473</v>
      </c>
      <c r="K146">
        <f>IFERROR(E146 * J146, 0)</f>
        <v>47962.200000000004</v>
      </c>
      <c r="L146">
        <f>SUMIFS(order_items!D:D,order_items!C:C,A146)</f>
        <v>24</v>
      </c>
      <c r="M146" t="str">
        <f t="shared" si="2"/>
        <v>Normal</v>
      </c>
    </row>
    <row r="147" spans="1:13">
      <c r="A147">
        <v>146</v>
      </c>
      <c r="B147" t="s">
        <v>430</v>
      </c>
      <c r="C147" t="s">
        <v>431</v>
      </c>
      <c r="D147" t="s">
        <v>98</v>
      </c>
      <c r="E147">
        <v>170.74</v>
      </c>
      <c r="F147">
        <v>199.6</v>
      </c>
      <c r="G147">
        <v>3</v>
      </c>
      <c r="H147" t="s">
        <v>164</v>
      </c>
      <c r="I147" t="str">
        <f>_xlfn.XLOOKUP(G147,suppliers!A:A,suppliers!B:B)</f>
        <v>PrimeSource</v>
      </c>
      <c r="J147">
        <f>IFERROR(_xlfn.XLOOKUP(A147,inventory!B:B,inventory!D:D),0)</f>
        <v>423</v>
      </c>
      <c r="K147">
        <f>IFERROR(E147 * J147, 0)</f>
        <v>72223.02</v>
      </c>
      <c r="L147">
        <f>SUMIFS(order_items!D:D,order_items!C:C,A147)</f>
        <v>18</v>
      </c>
      <c r="M147" t="str">
        <f t="shared" si="2"/>
        <v>Normal</v>
      </c>
    </row>
    <row r="148" spans="1:13">
      <c r="A148">
        <v>147</v>
      </c>
      <c r="B148" t="s">
        <v>432</v>
      </c>
      <c r="C148" t="s">
        <v>433</v>
      </c>
      <c r="D148" t="s">
        <v>103</v>
      </c>
      <c r="E148">
        <v>128.44999999999999</v>
      </c>
      <c r="F148">
        <v>133.41</v>
      </c>
      <c r="G148">
        <v>8</v>
      </c>
      <c r="H148" t="s">
        <v>164</v>
      </c>
      <c r="I148" t="str">
        <f>_xlfn.XLOOKUP(G148,suppliers!A:A,suppliers!B:B)</f>
        <v>Metro Logistics</v>
      </c>
      <c r="J148">
        <f>IFERROR(_xlfn.XLOOKUP(A148,inventory!B:B,inventory!D:D),0)</f>
        <v>25</v>
      </c>
      <c r="K148">
        <f>IFERROR(E148 * J148, 0)</f>
        <v>3211.2499999999995</v>
      </c>
      <c r="L148">
        <f>SUMIFS(order_items!D:D,order_items!C:C,A148)</f>
        <v>33</v>
      </c>
      <c r="M148" t="str">
        <f t="shared" si="2"/>
        <v>Normal</v>
      </c>
    </row>
    <row r="149" spans="1:13">
      <c r="A149">
        <v>148</v>
      </c>
      <c r="B149" t="s">
        <v>434</v>
      </c>
      <c r="C149" t="s">
        <v>435</v>
      </c>
      <c r="D149" t="s">
        <v>99</v>
      </c>
      <c r="E149">
        <v>101.47</v>
      </c>
      <c r="F149">
        <v>124.32</v>
      </c>
      <c r="G149">
        <v>3</v>
      </c>
      <c r="H149" t="s">
        <v>121</v>
      </c>
      <c r="I149" t="str">
        <f>_xlfn.XLOOKUP(G149,suppliers!A:A,suppliers!B:B)</f>
        <v>PrimeSource</v>
      </c>
      <c r="J149">
        <f>IFERROR(_xlfn.XLOOKUP(A149,inventory!B:B,inventory!D:D),0)</f>
        <v>26</v>
      </c>
      <c r="K149">
        <f>IFERROR(E149 * J149, 0)</f>
        <v>2638.22</v>
      </c>
      <c r="L149">
        <f>SUMIFS(order_items!D:D,order_items!C:C,A149)</f>
        <v>47</v>
      </c>
      <c r="M149" t="str">
        <f t="shared" si="2"/>
        <v>Normal</v>
      </c>
    </row>
    <row r="150" spans="1:13">
      <c r="A150">
        <v>149</v>
      </c>
      <c r="B150" t="s">
        <v>436</v>
      </c>
      <c r="C150" t="s">
        <v>437</v>
      </c>
      <c r="D150" t="s">
        <v>98</v>
      </c>
      <c r="E150">
        <v>140.22</v>
      </c>
      <c r="F150">
        <v>258.51</v>
      </c>
      <c r="G150">
        <v>6</v>
      </c>
      <c r="H150" t="s">
        <v>121</v>
      </c>
      <c r="I150" t="str">
        <f>_xlfn.XLOOKUP(G150,suppliers!A:A,suppliers!B:B)</f>
        <v>Evergreen Imports</v>
      </c>
      <c r="J150">
        <f>IFERROR(_xlfn.XLOOKUP(A150,inventory!B:B,inventory!D:D),0)</f>
        <v>394</v>
      </c>
      <c r="K150">
        <f>IFERROR(E150 * J150, 0)</f>
        <v>55246.68</v>
      </c>
      <c r="L150">
        <f>SUMIFS(order_items!D:D,order_items!C:C,A150)</f>
        <v>22</v>
      </c>
      <c r="M150" t="str">
        <f t="shared" si="2"/>
        <v>Normal</v>
      </c>
    </row>
    <row r="151" spans="1:13">
      <c r="A151">
        <v>150</v>
      </c>
      <c r="B151" t="s">
        <v>438</v>
      </c>
      <c r="C151" t="s">
        <v>439</v>
      </c>
      <c r="D151" t="s">
        <v>103</v>
      </c>
      <c r="E151">
        <v>54.5</v>
      </c>
      <c r="F151">
        <v>100.09</v>
      </c>
      <c r="G151">
        <v>8</v>
      </c>
      <c r="H151" t="s">
        <v>121</v>
      </c>
      <c r="I151" t="str">
        <f>_xlfn.XLOOKUP(G151,suppliers!A:A,suppliers!B:B)</f>
        <v>Metro Logistics</v>
      </c>
      <c r="J151">
        <f>IFERROR(_xlfn.XLOOKUP(A151,inventory!B:B,inventory!D:D),0)</f>
        <v>387</v>
      </c>
      <c r="K151">
        <f>IFERROR(E151 * J151, 0)</f>
        <v>21091.5</v>
      </c>
      <c r="L151">
        <f>SUMIFS(order_items!D:D,order_items!C:C,A151)</f>
        <v>27</v>
      </c>
      <c r="M151" t="str">
        <f t="shared" si="2"/>
        <v>Normal</v>
      </c>
    </row>
    <row r="152" spans="1:13">
      <c r="A152">
        <v>151</v>
      </c>
      <c r="B152" t="s">
        <v>181</v>
      </c>
      <c r="C152" t="s">
        <v>440</v>
      </c>
      <c r="D152" t="s">
        <v>99</v>
      </c>
      <c r="E152">
        <v>71.52</v>
      </c>
      <c r="F152">
        <v>144.22</v>
      </c>
      <c r="G152">
        <v>6</v>
      </c>
      <c r="H152" t="s">
        <v>164</v>
      </c>
      <c r="I152" t="str">
        <f>_xlfn.XLOOKUP(G152,suppliers!A:A,suppliers!B:B)</f>
        <v>Evergreen Imports</v>
      </c>
      <c r="J152">
        <f>IFERROR(_xlfn.XLOOKUP(A152,inventory!B:B,inventory!D:D),0)</f>
        <v>0</v>
      </c>
      <c r="K152">
        <f>IFERROR(E152 * J152, 0)</f>
        <v>0</v>
      </c>
      <c r="L152">
        <f>SUMIFS(order_items!D:D,order_items!C:C,A152)</f>
        <v>0</v>
      </c>
      <c r="M152" t="str">
        <f t="shared" si="2"/>
        <v>Slow Moving</v>
      </c>
    </row>
    <row r="153" spans="1:13">
      <c r="A153">
        <v>152</v>
      </c>
      <c r="B153" t="s">
        <v>198</v>
      </c>
      <c r="C153" t="s">
        <v>441</v>
      </c>
      <c r="D153" t="s">
        <v>102</v>
      </c>
      <c r="E153">
        <v>124.3</v>
      </c>
      <c r="F153">
        <v>168.04</v>
      </c>
      <c r="G153">
        <v>5</v>
      </c>
      <c r="H153" t="s">
        <v>121</v>
      </c>
      <c r="I153" t="str">
        <f>_xlfn.XLOOKUP(G153,suppliers!A:A,suppliers!B:B)</f>
        <v>Utah Wholesale</v>
      </c>
      <c r="J153">
        <f>IFERROR(_xlfn.XLOOKUP(A153,inventory!B:B,inventory!D:D),0)</f>
        <v>0</v>
      </c>
      <c r="K153">
        <f>IFERROR(E153 * J153, 0)</f>
        <v>0</v>
      </c>
      <c r="L153">
        <f>SUMIFS(order_items!D:D,order_items!C:C,A153)</f>
        <v>0</v>
      </c>
      <c r="M153" t="str">
        <f t="shared" si="2"/>
        <v>Slow Moving</v>
      </c>
    </row>
    <row r="154" spans="1:13">
      <c r="A154">
        <v>153</v>
      </c>
      <c r="B154" t="s">
        <v>216</v>
      </c>
      <c r="C154" t="s">
        <v>442</v>
      </c>
      <c r="D154" t="s">
        <v>99</v>
      </c>
      <c r="E154">
        <v>43.54</v>
      </c>
      <c r="F154">
        <v>35.229999999999997</v>
      </c>
      <c r="G154">
        <v>1</v>
      </c>
      <c r="H154" t="s">
        <v>164</v>
      </c>
      <c r="I154" t="str">
        <f>_xlfn.XLOOKUP(G154,suppliers!A:A,suppliers!B:B)</f>
        <v>Acme Supply</v>
      </c>
      <c r="J154">
        <f>IFERROR(_xlfn.XLOOKUP(A154,inventory!B:B,inventory!D:D),0)</f>
        <v>0</v>
      </c>
      <c r="K154">
        <f>IFERROR(E154 * J154, 0)</f>
        <v>0</v>
      </c>
      <c r="L154">
        <f>SUMIFS(order_items!D:D,order_items!C:C,A154)</f>
        <v>0</v>
      </c>
      <c r="M154" t="str">
        <f t="shared" si="2"/>
        <v>Slow Moving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0F34-B10D-4075-AE93-E1980AE1172C}">
  <dimension ref="A1:R313"/>
  <sheetViews>
    <sheetView workbookViewId="0">
      <selection activeCell="D8" sqref="D8"/>
    </sheetView>
  </sheetViews>
  <sheetFormatPr defaultRowHeight="15"/>
  <cols>
    <col min="1" max="1" width="11.85546875" bestFit="1" customWidth="1"/>
    <col min="2" max="2" width="10.42578125" bestFit="1" customWidth="1"/>
    <col min="3" max="3" width="12.28515625" bestFit="1" customWidth="1"/>
    <col min="4" max="4" width="17" bestFit="1" customWidth="1"/>
    <col min="5" max="5" width="12.28515625" bestFit="1" customWidth="1"/>
    <col min="6" max="6" width="15.85546875" customWidth="1"/>
    <col min="7" max="7" width="13.7109375" style="5" customWidth="1"/>
    <col min="8" max="8" width="13.42578125" customWidth="1"/>
    <col min="9" max="9" width="9.85546875" bestFit="1" customWidth="1"/>
    <col min="10" max="10" width="15.7109375" bestFit="1" customWidth="1"/>
    <col min="11" max="11" width="12.140625" bestFit="1" customWidth="1"/>
    <col min="12" max="12" width="13.28515625" bestFit="1" customWidth="1"/>
    <col min="13" max="13" width="17.85546875" bestFit="1" customWidth="1"/>
    <col min="14" max="14" width="13.28515625" bestFit="1" customWidth="1"/>
    <col min="15" max="15" width="15" bestFit="1" customWidth="1"/>
    <col min="16" max="16" width="12.28515625" bestFit="1" customWidth="1"/>
    <col min="17" max="17" width="12.7109375" bestFit="1" customWidth="1"/>
    <col min="18" max="18" width="9.5703125" customWidth="1"/>
  </cols>
  <sheetData>
    <row r="1" spans="1:18">
      <c r="A1" t="s">
        <v>443</v>
      </c>
      <c r="B1" t="s">
        <v>125</v>
      </c>
      <c r="C1" t="s">
        <v>115</v>
      </c>
      <c r="D1" t="s">
        <v>158</v>
      </c>
      <c r="E1" t="s">
        <v>444</v>
      </c>
      <c r="F1" s="1" t="s">
        <v>445</v>
      </c>
      <c r="G1" s="5" t="s">
        <v>446</v>
      </c>
      <c r="H1" s="5" t="s">
        <v>447</v>
      </c>
      <c r="I1" t="s">
        <v>160</v>
      </c>
      <c r="J1" t="s">
        <v>448</v>
      </c>
      <c r="K1" t="s">
        <v>449</v>
      </c>
      <c r="L1" t="s">
        <v>450</v>
      </c>
      <c r="M1" s="2" t="s">
        <v>451</v>
      </c>
      <c r="N1" t="s">
        <v>152</v>
      </c>
      <c r="O1" t="s">
        <v>452</v>
      </c>
      <c r="P1" t="s">
        <v>8</v>
      </c>
      <c r="Q1" t="s">
        <v>453</v>
      </c>
      <c r="R1" t="s">
        <v>11</v>
      </c>
    </row>
    <row r="2" spans="1:18">
      <c r="A2">
        <v>1</v>
      </c>
      <c r="B2">
        <v>1</v>
      </c>
      <c r="C2" t="s">
        <v>117</v>
      </c>
      <c r="D2">
        <v>22</v>
      </c>
      <c r="E2" s="1">
        <v>46113</v>
      </c>
      <c r="F2" s="1">
        <f>_xlfn.XLOOKUP(B2,purchase_orders!C:C,purchase_orders!G:G)</f>
        <v>46092</v>
      </c>
      <c r="G2" s="5">
        <f ca="1">TODAY()-F2</f>
        <v>72</v>
      </c>
      <c r="H2" s="2" t="str">
        <f ca="1">IF(G2&lt;=30,"0-30",IF(G2&lt;=60,"31-60",IF(G2&lt;=90,"61-90","90+")))</f>
        <v>61-90</v>
      </c>
      <c r="I2">
        <f>SUMIFS(order_items!D:D,order_items!C:C,inventory!B2)</f>
        <v>16</v>
      </c>
      <c r="J2" t="str">
        <f>IF(D2&gt;I2*3,"Overstock","OK")</f>
        <v>OK</v>
      </c>
      <c r="K2">
        <f>IFERROR(_xlfn.XLOOKUP(B2,purchase_orders!C:C,purchase_orders!I:I),0)</f>
        <v>619</v>
      </c>
      <c r="L2">
        <f>(D2+K2)/2</f>
        <v>320.5</v>
      </c>
      <c r="M2">
        <f>IFERROR(ROUND(I2/L2,2),0)</f>
        <v>0.05</v>
      </c>
      <c r="N2">
        <f>IFERROR(_xlfn.XLOOKUP(B2,products!A:A,products!E:E),0)</f>
        <v>134.77000000000001</v>
      </c>
      <c r="O2">
        <f>IF(N2="NULL",0,N2*D2)</f>
        <v>2964.94</v>
      </c>
      <c r="P2" t="str">
        <f>IF(I2&lt;10,"Slow Moving","Normal")</f>
        <v>Normal</v>
      </c>
      <c r="Q2" t="str">
        <f>IFERROR(_xlfn.XLOOKUP(B2,reorder_point!B:B,reorder_point!I:I),"")</f>
        <v>OK</v>
      </c>
      <c r="R2" t="str">
        <f>_xlfn.XLOOKUP(B2,products!A:A,products!B:B)</f>
        <v>SKU-0001</v>
      </c>
    </row>
    <row r="3" spans="1:18">
      <c r="A3">
        <v>2</v>
      </c>
      <c r="B3">
        <v>2</v>
      </c>
      <c r="C3" t="s">
        <v>117</v>
      </c>
      <c r="D3">
        <v>405</v>
      </c>
      <c r="E3" s="1">
        <v>46134</v>
      </c>
      <c r="F3" s="1">
        <f>_xlfn.XLOOKUP(B3,purchase_orders!C:C,purchase_orders!G:G)</f>
        <v>46175</v>
      </c>
      <c r="G3" s="5">
        <f t="shared" ref="G3:G66" ca="1" si="0">TODAY()-F3</f>
        <v>-11</v>
      </c>
      <c r="H3" s="2" t="str">
        <f ca="1">IF(G3&lt;=30,"0-30",IF(G3&lt;=60,"31-60",IF(G3&lt;=90,"61-90","90+")))</f>
        <v>0-30</v>
      </c>
      <c r="I3">
        <f>SUMIFS(order_items!D:D,order_items!C:C,inventory!B3)</f>
        <v>37</v>
      </c>
      <c r="J3" t="str">
        <f>IF(D3&gt;I3*3,"Overstock","OK")</f>
        <v>Overstock</v>
      </c>
      <c r="K3">
        <f>IFERROR(_xlfn.XLOOKUP(B3,purchase_orders!C:C,purchase_orders!I:I),0)</f>
        <v>919</v>
      </c>
      <c r="L3">
        <f>(D3+K3)/2</f>
        <v>662</v>
      </c>
      <c r="M3">
        <f t="shared" ref="M3:M66" si="1">IFERROR(ROUND(I3/L3,2),0)</f>
        <v>0.06</v>
      </c>
      <c r="N3">
        <f>IFERROR(_xlfn.XLOOKUP(B3,products!A:A,products!E:E),0)</f>
        <v>20.21</v>
      </c>
      <c r="O3">
        <f t="shared" ref="O3:O66" si="2">IF(N3="NULL",0,N3*D3)</f>
        <v>8185.05</v>
      </c>
      <c r="P3" t="str">
        <f t="shared" ref="P3:P66" si="3">IF(I3&lt;10,"Slow Moving","Normal")</f>
        <v>Normal</v>
      </c>
      <c r="Q3" t="str">
        <f>IFERROR(_xlfn.XLOOKUP(B3,reorder_point!B:B,reorder_point!I:I),"")</f>
        <v>OK</v>
      </c>
      <c r="R3" t="str">
        <f>_xlfn.XLOOKUP(B3,products!A:A,products!B:B)</f>
        <v>SKU-0002</v>
      </c>
    </row>
    <row r="4" spans="1:18">
      <c r="A4">
        <v>3</v>
      </c>
      <c r="B4">
        <v>2</v>
      </c>
      <c r="C4" t="s">
        <v>121</v>
      </c>
      <c r="D4">
        <v>253</v>
      </c>
      <c r="E4" s="1">
        <v>46135</v>
      </c>
      <c r="F4" s="1">
        <f>_xlfn.XLOOKUP(B4,purchase_orders!C:C,purchase_orders!G:G)</f>
        <v>46175</v>
      </c>
      <c r="G4" s="5">
        <f t="shared" ca="1" si="0"/>
        <v>-11</v>
      </c>
      <c r="H4" s="2" t="str">
        <f ca="1">IF(G4&lt;=30,"0-30",IF(G4&lt;=60,"31-60",IF(G4&lt;=90,"61-90","90+")))</f>
        <v>0-30</v>
      </c>
      <c r="I4">
        <f>SUMIFS(order_items!D:D,order_items!C:C,inventory!B4)</f>
        <v>37</v>
      </c>
      <c r="J4" t="str">
        <f>IF(D4&gt;I4*3,"Overstock","OK")</f>
        <v>Overstock</v>
      </c>
      <c r="K4">
        <f>IFERROR(_xlfn.XLOOKUP(B4,purchase_orders!C:C,purchase_orders!I:I),0)</f>
        <v>919</v>
      </c>
      <c r="L4">
        <f>(D4+K4)/2</f>
        <v>586</v>
      </c>
      <c r="M4">
        <f t="shared" si="1"/>
        <v>0.06</v>
      </c>
      <c r="N4">
        <f>IFERROR(_xlfn.XLOOKUP(B4,products!A:A,products!E:E),0)</f>
        <v>20.21</v>
      </c>
      <c r="O4">
        <f t="shared" si="2"/>
        <v>5113.13</v>
      </c>
      <c r="P4" t="str">
        <f t="shared" si="3"/>
        <v>Normal</v>
      </c>
      <c r="Q4" t="str">
        <f>IFERROR(_xlfn.XLOOKUP(B4,reorder_point!B:B,reorder_point!I:I),"")</f>
        <v>OK</v>
      </c>
      <c r="R4" t="str">
        <f>_xlfn.XLOOKUP(B4,products!A:A,products!B:B)</f>
        <v>SKU-0002</v>
      </c>
    </row>
    <row r="5" spans="1:18">
      <c r="A5">
        <v>4</v>
      </c>
      <c r="B5">
        <v>2</v>
      </c>
      <c r="C5" t="s">
        <v>122</v>
      </c>
      <c r="D5">
        <v>257</v>
      </c>
      <c r="E5" s="1">
        <v>46122</v>
      </c>
      <c r="F5" s="1">
        <f>_xlfn.XLOOKUP(B5,purchase_orders!C:C,purchase_orders!G:G)</f>
        <v>46175</v>
      </c>
      <c r="G5" s="5">
        <f t="shared" ca="1" si="0"/>
        <v>-11</v>
      </c>
      <c r="H5" s="2" t="str">
        <f ca="1">IF(G5&lt;=30,"0-30",IF(G5&lt;=60,"31-60",IF(G5&lt;=90,"61-90","90+")))</f>
        <v>0-30</v>
      </c>
      <c r="I5">
        <f>SUMIFS(order_items!D:D,order_items!C:C,inventory!B5)</f>
        <v>37</v>
      </c>
      <c r="J5" t="str">
        <f>IF(D5&gt;I5*3,"Overstock","OK")</f>
        <v>Overstock</v>
      </c>
      <c r="K5">
        <f>IFERROR(_xlfn.XLOOKUP(B5,purchase_orders!C:C,purchase_orders!I:I),0)</f>
        <v>919</v>
      </c>
      <c r="L5">
        <f>(D5+K5)/2</f>
        <v>588</v>
      </c>
      <c r="M5">
        <f t="shared" si="1"/>
        <v>0.06</v>
      </c>
      <c r="N5">
        <f>IFERROR(_xlfn.XLOOKUP(B5,products!A:A,products!E:E),0)</f>
        <v>20.21</v>
      </c>
      <c r="O5">
        <f t="shared" si="2"/>
        <v>5193.97</v>
      </c>
      <c r="P5" t="str">
        <f t="shared" si="3"/>
        <v>Normal</v>
      </c>
      <c r="Q5" t="str">
        <f>IFERROR(_xlfn.XLOOKUP(B5,reorder_point!B:B,reorder_point!I:I),"")</f>
        <v>OK</v>
      </c>
      <c r="R5" t="str">
        <f>_xlfn.XLOOKUP(B5,products!A:A,products!B:B)</f>
        <v>SKU-0002</v>
      </c>
    </row>
    <row r="6" spans="1:18">
      <c r="A6">
        <v>5</v>
      </c>
      <c r="B6">
        <v>3</v>
      </c>
      <c r="C6" t="s">
        <v>117</v>
      </c>
      <c r="D6">
        <v>51</v>
      </c>
      <c r="E6" s="1">
        <v>46114</v>
      </c>
      <c r="F6" s="1">
        <f>_xlfn.XLOOKUP(B6,purchase_orders!C:C,purchase_orders!G:G)</f>
        <v>46077</v>
      </c>
      <c r="G6" s="5">
        <f t="shared" ca="1" si="0"/>
        <v>87</v>
      </c>
      <c r="H6" s="2" t="str">
        <f ca="1">IF(G6&lt;=30,"0-30",IF(G6&lt;=60,"31-60",IF(G6&lt;=90,"61-90","90+")))</f>
        <v>61-90</v>
      </c>
      <c r="I6">
        <f>SUMIFS(order_items!D:D,order_items!C:C,inventory!B6)</f>
        <v>27</v>
      </c>
      <c r="J6" t="str">
        <f>IF(D6&gt;I6*3,"Overstock","OK")</f>
        <v>OK</v>
      </c>
      <c r="K6">
        <f>IFERROR(_xlfn.XLOOKUP(B6,purchase_orders!C:C,purchase_orders!I:I),0)</f>
        <v>760</v>
      </c>
      <c r="L6">
        <f>(D6+K6)/2</f>
        <v>405.5</v>
      </c>
      <c r="M6">
        <f t="shared" si="1"/>
        <v>7.0000000000000007E-2</v>
      </c>
      <c r="N6">
        <f>IFERROR(_xlfn.XLOOKUP(B6,products!A:A,products!E:E),0)</f>
        <v>93.44</v>
      </c>
      <c r="O6">
        <f t="shared" si="2"/>
        <v>4765.4399999999996</v>
      </c>
      <c r="P6" t="str">
        <f t="shared" si="3"/>
        <v>Normal</v>
      </c>
      <c r="Q6" t="str">
        <f>IFERROR(_xlfn.XLOOKUP(B6,reorder_point!B:B,reorder_point!I:I),"")</f>
        <v>OK</v>
      </c>
      <c r="R6" t="str">
        <f>_xlfn.XLOOKUP(B6,products!A:A,products!B:B)</f>
        <v>SKU-0003</v>
      </c>
    </row>
    <row r="7" spans="1:18">
      <c r="A7">
        <v>6</v>
      </c>
      <c r="B7">
        <v>4</v>
      </c>
      <c r="C7" t="s">
        <v>118</v>
      </c>
      <c r="D7">
        <v>209</v>
      </c>
      <c r="E7" s="1">
        <v>46134</v>
      </c>
      <c r="F7" s="1">
        <f>_xlfn.XLOOKUP(B7,purchase_orders!C:C,purchase_orders!G:G)</f>
        <v>46072</v>
      </c>
      <c r="G7" s="5">
        <f t="shared" ca="1" si="0"/>
        <v>92</v>
      </c>
      <c r="H7" s="2" t="str">
        <f ca="1">IF(G7&lt;=30,"0-30",IF(G7&lt;=60,"31-60",IF(G7&lt;=90,"61-90","90+")))</f>
        <v>90+</v>
      </c>
      <c r="I7">
        <f>SUMIFS(order_items!D:D,order_items!C:C,inventory!B7)</f>
        <v>67</v>
      </c>
      <c r="J7" t="str">
        <f>IF(D7&gt;I7*3,"Overstock","OK")</f>
        <v>Overstock</v>
      </c>
      <c r="K7">
        <f>IFERROR(_xlfn.XLOOKUP(B7,purchase_orders!C:C,purchase_orders!I:I),0)</f>
        <v>382</v>
      </c>
      <c r="L7">
        <f>(D7+K7)/2</f>
        <v>295.5</v>
      </c>
      <c r="M7">
        <f t="shared" si="1"/>
        <v>0.23</v>
      </c>
      <c r="N7">
        <f>IFERROR(_xlfn.XLOOKUP(B7,products!A:A,products!E:E),0)</f>
        <v>83.61</v>
      </c>
      <c r="O7">
        <f t="shared" si="2"/>
        <v>17474.490000000002</v>
      </c>
      <c r="P7" t="str">
        <f t="shared" si="3"/>
        <v>Normal</v>
      </c>
      <c r="Q7" t="str">
        <f>IFERROR(_xlfn.XLOOKUP(B7,reorder_point!B:B,reorder_point!I:I),"")</f>
        <v>OK</v>
      </c>
      <c r="R7" t="str">
        <f>_xlfn.XLOOKUP(B7,products!A:A,products!B:B)</f>
        <v>SKU-0004</v>
      </c>
    </row>
    <row r="8" spans="1:18">
      <c r="A8">
        <v>7</v>
      </c>
      <c r="B8">
        <v>5</v>
      </c>
      <c r="C8" t="s">
        <v>117</v>
      </c>
      <c r="D8">
        <v>400</v>
      </c>
      <c r="E8" s="1">
        <v>46122</v>
      </c>
      <c r="F8" s="1">
        <f>_xlfn.XLOOKUP(B8,purchase_orders!C:C,purchase_orders!G:G)</f>
        <v>46105</v>
      </c>
      <c r="G8" s="5">
        <f t="shared" ca="1" si="0"/>
        <v>59</v>
      </c>
      <c r="H8" s="2" t="str">
        <f ca="1">IF(G8&lt;=30,"0-30",IF(G8&lt;=60,"31-60",IF(G8&lt;=90,"61-90","90+")))</f>
        <v>31-60</v>
      </c>
      <c r="I8">
        <f>SUMIFS(order_items!D:D,order_items!C:C,inventory!B8)</f>
        <v>16</v>
      </c>
      <c r="J8" t="str">
        <f>IF(D8&gt;I8*3,"Overstock","OK")</f>
        <v>Overstock</v>
      </c>
      <c r="K8">
        <f>IFERROR(_xlfn.XLOOKUP(B8,purchase_orders!C:C,purchase_orders!I:I),0)</f>
        <v>914</v>
      </c>
      <c r="L8">
        <f>(D8+K8)/2</f>
        <v>657</v>
      </c>
      <c r="M8">
        <f t="shared" si="1"/>
        <v>0.02</v>
      </c>
      <c r="N8">
        <f>IFERROR(_xlfn.XLOOKUP(B8,products!A:A,products!E:E),0)</f>
        <v>64.540000000000006</v>
      </c>
      <c r="O8">
        <f t="shared" si="2"/>
        <v>25816.000000000004</v>
      </c>
      <c r="P8" t="str">
        <f t="shared" si="3"/>
        <v>Normal</v>
      </c>
      <c r="Q8" t="str">
        <f>IFERROR(_xlfn.XLOOKUP(B8,reorder_point!B:B,reorder_point!I:I),"")</f>
        <v>OK</v>
      </c>
      <c r="R8" t="str">
        <f>_xlfn.XLOOKUP(B8,products!A:A,products!B:B)</f>
        <v>SKU-0005</v>
      </c>
    </row>
    <row r="9" spans="1:18">
      <c r="A9">
        <v>8</v>
      </c>
      <c r="B9">
        <v>6</v>
      </c>
      <c r="C9" t="s">
        <v>117</v>
      </c>
      <c r="D9">
        <v>168</v>
      </c>
      <c r="E9" s="1">
        <v>46089</v>
      </c>
      <c r="F9" s="1">
        <f>_xlfn.XLOOKUP(B9,purchase_orders!C:C,purchase_orders!G:G)</f>
        <v>46050</v>
      </c>
      <c r="G9" s="5">
        <f t="shared" ca="1" si="0"/>
        <v>114</v>
      </c>
      <c r="H9" s="2" t="str">
        <f ca="1">IF(G9&lt;=30,"0-30",IF(G9&lt;=60,"31-60",IF(G9&lt;=90,"61-90","90+")))</f>
        <v>90+</v>
      </c>
      <c r="I9">
        <f>SUMIFS(order_items!D:D,order_items!C:C,inventory!B9)</f>
        <v>51</v>
      </c>
      <c r="J9" t="str">
        <f>IF(D9&gt;I9*3,"Overstock","OK")</f>
        <v>Overstock</v>
      </c>
      <c r="K9">
        <f>IFERROR(_xlfn.XLOOKUP(B9,purchase_orders!C:C,purchase_orders!I:I),0)</f>
        <v>392</v>
      </c>
      <c r="L9">
        <f>(D9+K9)/2</f>
        <v>280</v>
      </c>
      <c r="M9">
        <f t="shared" si="1"/>
        <v>0.18</v>
      </c>
      <c r="N9">
        <f>IFERROR(_xlfn.XLOOKUP(B9,products!A:A,products!E:E),0)</f>
        <v>21.93</v>
      </c>
      <c r="O9">
        <f t="shared" si="2"/>
        <v>3684.24</v>
      </c>
      <c r="P9" t="str">
        <f t="shared" si="3"/>
        <v>Normal</v>
      </c>
      <c r="Q9" t="str">
        <f>IFERROR(_xlfn.XLOOKUP(B9,reorder_point!B:B,reorder_point!I:I),"")</f>
        <v>OK</v>
      </c>
      <c r="R9" t="str">
        <f>_xlfn.XLOOKUP(B9,products!A:A,products!B:B)</f>
        <v>SKU-0006</v>
      </c>
    </row>
    <row r="10" spans="1:18">
      <c r="A10">
        <v>9</v>
      </c>
      <c r="B10">
        <v>6</v>
      </c>
      <c r="C10" t="s">
        <v>119</v>
      </c>
      <c r="D10">
        <v>273</v>
      </c>
      <c r="E10" s="1">
        <v>46123</v>
      </c>
      <c r="F10" s="1">
        <f>_xlfn.XLOOKUP(B10,purchase_orders!C:C,purchase_orders!G:G)</f>
        <v>46050</v>
      </c>
      <c r="G10" s="5">
        <f t="shared" ca="1" si="0"/>
        <v>114</v>
      </c>
      <c r="H10" s="2" t="str">
        <f ca="1">IF(G10&lt;=30,"0-30",IF(G10&lt;=60,"31-60",IF(G10&lt;=90,"61-90","90+")))</f>
        <v>90+</v>
      </c>
      <c r="I10">
        <f>SUMIFS(order_items!D:D,order_items!C:C,inventory!B10)</f>
        <v>51</v>
      </c>
      <c r="J10" t="str">
        <f>IF(D10&gt;I10*3,"Overstock","OK")</f>
        <v>Overstock</v>
      </c>
      <c r="K10">
        <f>IFERROR(_xlfn.XLOOKUP(B10,purchase_orders!C:C,purchase_orders!I:I),0)</f>
        <v>392</v>
      </c>
      <c r="L10">
        <f>(D10+K10)/2</f>
        <v>332.5</v>
      </c>
      <c r="M10">
        <f t="shared" si="1"/>
        <v>0.15</v>
      </c>
      <c r="N10">
        <f>IFERROR(_xlfn.XLOOKUP(B10,products!A:A,products!E:E),0)</f>
        <v>21.93</v>
      </c>
      <c r="O10">
        <f t="shared" si="2"/>
        <v>5986.89</v>
      </c>
      <c r="P10" t="str">
        <f t="shared" si="3"/>
        <v>Normal</v>
      </c>
      <c r="Q10" t="str">
        <f>IFERROR(_xlfn.XLOOKUP(B10,reorder_point!B:B,reorder_point!I:I),"")</f>
        <v>OK</v>
      </c>
      <c r="R10" t="str">
        <f>_xlfn.XLOOKUP(B10,products!A:A,products!B:B)</f>
        <v>SKU-0006</v>
      </c>
    </row>
    <row r="11" spans="1:18">
      <c r="A11">
        <v>10</v>
      </c>
      <c r="B11">
        <v>6</v>
      </c>
      <c r="C11" t="s">
        <v>121</v>
      </c>
      <c r="D11">
        <v>320</v>
      </c>
      <c r="E11" s="1">
        <v>46095</v>
      </c>
      <c r="F11" s="1">
        <f>_xlfn.XLOOKUP(B11,purchase_orders!C:C,purchase_orders!G:G)</f>
        <v>46050</v>
      </c>
      <c r="G11" s="5">
        <f t="shared" ca="1" si="0"/>
        <v>114</v>
      </c>
      <c r="H11" s="2" t="str">
        <f ca="1">IF(G11&lt;=30,"0-30",IF(G11&lt;=60,"31-60",IF(G11&lt;=90,"61-90","90+")))</f>
        <v>90+</v>
      </c>
      <c r="I11">
        <f>SUMIFS(order_items!D:D,order_items!C:C,inventory!B11)</f>
        <v>51</v>
      </c>
      <c r="J11" t="str">
        <f>IF(D11&gt;I11*3,"Overstock","OK")</f>
        <v>Overstock</v>
      </c>
      <c r="K11">
        <f>IFERROR(_xlfn.XLOOKUP(B11,purchase_orders!C:C,purchase_orders!I:I),0)</f>
        <v>392</v>
      </c>
      <c r="L11">
        <f>(D11+K11)/2</f>
        <v>356</v>
      </c>
      <c r="M11">
        <f t="shared" si="1"/>
        <v>0.14000000000000001</v>
      </c>
      <c r="N11">
        <f>IFERROR(_xlfn.XLOOKUP(B11,products!A:A,products!E:E),0)</f>
        <v>21.93</v>
      </c>
      <c r="O11">
        <f t="shared" si="2"/>
        <v>7017.6</v>
      </c>
      <c r="P11" t="str">
        <f t="shared" si="3"/>
        <v>Normal</v>
      </c>
      <c r="Q11" t="str">
        <f>IFERROR(_xlfn.XLOOKUP(B11,reorder_point!B:B,reorder_point!I:I),"")</f>
        <v>OK</v>
      </c>
      <c r="R11" t="str">
        <f>_xlfn.XLOOKUP(B11,products!A:A,products!B:B)</f>
        <v>SKU-0006</v>
      </c>
    </row>
    <row r="12" spans="1:18">
      <c r="A12">
        <v>11</v>
      </c>
      <c r="B12">
        <v>7</v>
      </c>
      <c r="C12" t="s">
        <v>121</v>
      </c>
      <c r="D12">
        <v>316</v>
      </c>
      <c r="E12" s="1">
        <v>46103</v>
      </c>
      <c r="F12" s="1">
        <f>_xlfn.XLOOKUP(B12,purchase_orders!C:C,purchase_orders!G:G)</f>
        <v>46106</v>
      </c>
      <c r="G12" s="5">
        <f t="shared" ca="1" si="0"/>
        <v>58</v>
      </c>
      <c r="H12" s="2" t="str">
        <f ca="1">IF(G12&lt;=30,"0-30",IF(G12&lt;=60,"31-60",IF(G12&lt;=90,"61-90","90+")))</f>
        <v>31-60</v>
      </c>
      <c r="I12">
        <f>SUMIFS(order_items!D:D,order_items!C:C,inventory!B12)</f>
        <v>26</v>
      </c>
      <c r="J12" t="str">
        <f>IF(D12&gt;I12*3,"Overstock","OK")</f>
        <v>Overstock</v>
      </c>
      <c r="K12">
        <f>IFERROR(_xlfn.XLOOKUP(B12,purchase_orders!C:C,purchase_orders!I:I),0)</f>
        <v>962</v>
      </c>
      <c r="L12">
        <f>(D12+K12)/2</f>
        <v>639</v>
      </c>
      <c r="M12">
        <f t="shared" si="1"/>
        <v>0.04</v>
      </c>
      <c r="N12">
        <f>IFERROR(_xlfn.XLOOKUP(B12,products!A:A,products!E:E),0)</f>
        <v>98.84</v>
      </c>
      <c r="O12">
        <f t="shared" si="2"/>
        <v>31233.440000000002</v>
      </c>
      <c r="P12" t="str">
        <f t="shared" si="3"/>
        <v>Normal</v>
      </c>
      <c r="Q12" t="str">
        <f>IFERROR(_xlfn.XLOOKUP(B12,reorder_point!B:B,reorder_point!I:I),"")</f>
        <v>OK</v>
      </c>
      <c r="R12" t="str">
        <f>_xlfn.XLOOKUP(B12,products!A:A,products!B:B)</f>
        <v>SKU-0007</v>
      </c>
    </row>
    <row r="13" spans="1:18">
      <c r="A13">
        <v>12</v>
      </c>
      <c r="B13">
        <v>7</v>
      </c>
      <c r="C13" t="s">
        <v>119</v>
      </c>
      <c r="D13">
        <v>350</v>
      </c>
      <c r="E13" s="1">
        <v>46129</v>
      </c>
      <c r="F13" s="1">
        <f>_xlfn.XLOOKUP(B13,purchase_orders!C:C,purchase_orders!G:G)</f>
        <v>46106</v>
      </c>
      <c r="G13" s="5">
        <f t="shared" ca="1" si="0"/>
        <v>58</v>
      </c>
      <c r="H13" s="2" t="str">
        <f ca="1">IF(G13&lt;=30,"0-30",IF(G13&lt;=60,"31-60",IF(G13&lt;=90,"61-90","90+")))</f>
        <v>31-60</v>
      </c>
      <c r="I13">
        <f>SUMIFS(order_items!D:D,order_items!C:C,inventory!B13)</f>
        <v>26</v>
      </c>
      <c r="J13" t="str">
        <f>IF(D13&gt;I13*3,"Overstock","OK")</f>
        <v>Overstock</v>
      </c>
      <c r="K13">
        <f>IFERROR(_xlfn.XLOOKUP(B13,purchase_orders!C:C,purchase_orders!I:I),0)</f>
        <v>962</v>
      </c>
      <c r="L13">
        <f>(D13+K13)/2</f>
        <v>656</v>
      </c>
      <c r="M13">
        <f t="shared" si="1"/>
        <v>0.04</v>
      </c>
      <c r="N13">
        <f>IFERROR(_xlfn.XLOOKUP(B13,products!A:A,products!E:E),0)</f>
        <v>98.84</v>
      </c>
      <c r="O13">
        <f t="shared" si="2"/>
        <v>34594</v>
      </c>
      <c r="P13" t="str">
        <f t="shared" si="3"/>
        <v>Normal</v>
      </c>
      <c r="Q13" t="str">
        <f>IFERROR(_xlfn.XLOOKUP(B13,reorder_point!B:B,reorder_point!I:I),"")</f>
        <v>OK</v>
      </c>
      <c r="R13" t="str">
        <f>_xlfn.XLOOKUP(B13,products!A:A,products!B:B)</f>
        <v>SKU-0007</v>
      </c>
    </row>
    <row r="14" spans="1:18">
      <c r="A14">
        <v>13</v>
      </c>
      <c r="B14">
        <v>8</v>
      </c>
      <c r="C14" t="s">
        <v>119</v>
      </c>
      <c r="D14">
        <v>389</v>
      </c>
      <c r="E14" s="1">
        <v>46088</v>
      </c>
      <c r="F14" s="1">
        <f>_xlfn.XLOOKUP(B14,purchase_orders!C:C,purchase_orders!G:G)</f>
        <v>46077</v>
      </c>
      <c r="G14" s="5">
        <f t="shared" ca="1" si="0"/>
        <v>87</v>
      </c>
      <c r="H14" s="2" t="str">
        <f ca="1">IF(G14&lt;=30,"0-30",IF(G14&lt;=60,"31-60",IF(G14&lt;=90,"61-90","90+")))</f>
        <v>61-90</v>
      </c>
      <c r="I14">
        <f>SUMIFS(order_items!D:D,order_items!C:C,inventory!B14)</f>
        <v>61</v>
      </c>
      <c r="J14" t="str">
        <f>IF(D14&gt;I14*3,"Overstock","OK")</f>
        <v>Overstock</v>
      </c>
      <c r="K14">
        <f>IFERROR(_xlfn.XLOOKUP(B14,purchase_orders!C:C,purchase_orders!I:I),0)</f>
        <v>915</v>
      </c>
      <c r="L14">
        <f>(D14+K14)/2</f>
        <v>652</v>
      </c>
      <c r="M14">
        <f t="shared" si="1"/>
        <v>0.09</v>
      </c>
      <c r="N14">
        <f>IFERROR(_xlfn.XLOOKUP(B14,products!A:A,products!E:E),0)</f>
        <v>159.94999999999999</v>
      </c>
      <c r="O14">
        <f t="shared" si="2"/>
        <v>62220.549999999996</v>
      </c>
      <c r="P14" t="str">
        <f t="shared" si="3"/>
        <v>Normal</v>
      </c>
      <c r="Q14" t="str">
        <f>IFERROR(_xlfn.XLOOKUP(B14,reorder_point!B:B,reorder_point!I:I),"")</f>
        <v>OK</v>
      </c>
      <c r="R14" t="str">
        <f>_xlfn.XLOOKUP(B14,products!A:A,products!B:B)</f>
        <v>SKU-0008</v>
      </c>
    </row>
    <row r="15" spans="1:18">
      <c r="A15">
        <v>14</v>
      </c>
      <c r="B15">
        <v>8</v>
      </c>
      <c r="C15" t="s">
        <v>117</v>
      </c>
      <c r="D15">
        <v>51</v>
      </c>
      <c r="E15" s="1">
        <v>46099</v>
      </c>
      <c r="F15" s="1">
        <f>_xlfn.XLOOKUP(B15,purchase_orders!C:C,purchase_orders!G:G)</f>
        <v>46077</v>
      </c>
      <c r="G15" s="5">
        <f t="shared" ca="1" si="0"/>
        <v>87</v>
      </c>
      <c r="H15" s="2" t="str">
        <f ca="1">IF(G15&lt;=30,"0-30",IF(G15&lt;=60,"31-60",IF(G15&lt;=90,"61-90","90+")))</f>
        <v>61-90</v>
      </c>
      <c r="I15">
        <f>SUMIFS(order_items!D:D,order_items!C:C,inventory!B15)</f>
        <v>61</v>
      </c>
      <c r="J15" t="str">
        <f>IF(D15&gt;I15*3,"Overstock","OK")</f>
        <v>OK</v>
      </c>
      <c r="K15">
        <f>IFERROR(_xlfn.XLOOKUP(B15,purchase_orders!C:C,purchase_orders!I:I),0)</f>
        <v>915</v>
      </c>
      <c r="L15">
        <f>(D15+K15)/2</f>
        <v>483</v>
      </c>
      <c r="M15">
        <f t="shared" si="1"/>
        <v>0.13</v>
      </c>
      <c r="N15">
        <f>IFERROR(_xlfn.XLOOKUP(B15,products!A:A,products!E:E),0)</f>
        <v>159.94999999999999</v>
      </c>
      <c r="O15">
        <f t="shared" si="2"/>
        <v>8157.45</v>
      </c>
      <c r="P15" t="str">
        <f t="shared" si="3"/>
        <v>Normal</v>
      </c>
      <c r="Q15" t="str">
        <f>IFERROR(_xlfn.XLOOKUP(B15,reorder_point!B:B,reorder_point!I:I),"")</f>
        <v>OK</v>
      </c>
      <c r="R15" t="str">
        <f>_xlfn.XLOOKUP(B15,products!A:A,products!B:B)</f>
        <v>SKU-0008</v>
      </c>
    </row>
    <row r="16" spans="1:18">
      <c r="A16">
        <v>15</v>
      </c>
      <c r="B16">
        <v>8</v>
      </c>
      <c r="C16" t="s">
        <v>119</v>
      </c>
      <c r="D16">
        <v>153</v>
      </c>
      <c r="E16" s="1">
        <v>46141</v>
      </c>
      <c r="F16" s="1">
        <f>_xlfn.XLOOKUP(B16,purchase_orders!C:C,purchase_orders!G:G)</f>
        <v>46077</v>
      </c>
      <c r="G16" s="5">
        <f t="shared" ca="1" si="0"/>
        <v>87</v>
      </c>
      <c r="H16" s="2" t="str">
        <f ca="1">IF(G16&lt;=30,"0-30",IF(G16&lt;=60,"31-60",IF(G16&lt;=90,"61-90","90+")))</f>
        <v>61-90</v>
      </c>
      <c r="I16">
        <f>SUMIFS(order_items!D:D,order_items!C:C,inventory!B16)</f>
        <v>61</v>
      </c>
      <c r="J16" t="str">
        <f>IF(D16&gt;I16*3,"Overstock","OK")</f>
        <v>OK</v>
      </c>
      <c r="K16">
        <f>IFERROR(_xlfn.XLOOKUP(B16,purchase_orders!C:C,purchase_orders!I:I),0)</f>
        <v>915</v>
      </c>
      <c r="L16">
        <f>(D16+K16)/2</f>
        <v>534</v>
      </c>
      <c r="M16">
        <f t="shared" si="1"/>
        <v>0.11</v>
      </c>
      <c r="N16">
        <f>IFERROR(_xlfn.XLOOKUP(B16,products!A:A,products!E:E),0)</f>
        <v>159.94999999999999</v>
      </c>
      <c r="O16">
        <f t="shared" si="2"/>
        <v>24472.35</v>
      </c>
      <c r="P16" t="str">
        <f t="shared" si="3"/>
        <v>Normal</v>
      </c>
      <c r="Q16" t="str">
        <f>IFERROR(_xlfn.XLOOKUP(B16,reorder_point!B:B,reorder_point!I:I),"")</f>
        <v>OK</v>
      </c>
      <c r="R16" t="str">
        <f>_xlfn.XLOOKUP(B16,products!A:A,products!B:B)</f>
        <v>SKU-0008</v>
      </c>
    </row>
    <row r="17" spans="1:18">
      <c r="A17">
        <v>16</v>
      </c>
      <c r="B17">
        <v>9</v>
      </c>
      <c r="C17" t="s">
        <v>119</v>
      </c>
      <c r="D17">
        <v>183</v>
      </c>
      <c r="E17" s="1">
        <v>46134</v>
      </c>
      <c r="F17" s="1">
        <f>_xlfn.XLOOKUP(B17,purchase_orders!C:C,purchase_orders!G:G)</f>
        <v>46117</v>
      </c>
      <c r="G17" s="5">
        <f t="shared" ca="1" si="0"/>
        <v>47</v>
      </c>
      <c r="H17" s="2" t="str">
        <f ca="1">IF(G17&lt;=30,"0-30",IF(G17&lt;=60,"31-60",IF(G17&lt;=90,"61-90","90+")))</f>
        <v>31-60</v>
      </c>
      <c r="I17">
        <f>SUMIFS(order_items!D:D,order_items!C:C,inventory!B17)</f>
        <v>31</v>
      </c>
      <c r="J17" t="str">
        <f>IF(D17&gt;I17*3,"Overstock","OK")</f>
        <v>Overstock</v>
      </c>
      <c r="K17">
        <f>IFERROR(_xlfn.XLOOKUP(B17,purchase_orders!C:C,purchase_orders!I:I),0)</f>
        <v>705</v>
      </c>
      <c r="L17">
        <f>(D17+K17)/2</f>
        <v>444</v>
      </c>
      <c r="M17">
        <f t="shared" si="1"/>
        <v>7.0000000000000007E-2</v>
      </c>
      <c r="N17">
        <f>IFERROR(_xlfn.XLOOKUP(B17,products!A:A,products!E:E),0)</f>
        <v>120.72</v>
      </c>
      <c r="O17">
        <f t="shared" si="2"/>
        <v>22091.759999999998</v>
      </c>
      <c r="P17" t="str">
        <f t="shared" si="3"/>
        <v>Normal</v>
      </c>
      <c r="Q17" t="str">
        <f>IFERROR(_xlfn.XLOOKUP(B17,reorder_point!B:B,reorder_point!I:I),"")</f>
        <v>OK</v>
      </c>
      <c r="R17" t="str">
        <f>_xlfn.XLOOKUP(B17,products!A:A,products!B:B)</f>
        <v>SKU-0009</v>
      </c>
    </row>
    <row r="18" spans="1:18">
      <c r="A18">
        <v>17</v>
      </c>
      <c r="B18">
        <v>9</v>
      </c>
      <c r="C18" t="s">
        <v>120</v>
      </c>
      <c r="D18">
        <v>125</v>
      </c>
      <c r="E18" s="1">
        <v>46107</v>
      </c>
      <c r="F18" s="1">
        <f>_xlfn.XLOOKUP(B18,purchase_orders!C:C,purchase_orders!G:G)</f>
        <v>46117</v>
      </c>
      <c r="G18" s="5">
        <f t="shared" ca="1" si="0"/>
        <v>47</v>
      </c>
      <c r="H18" s="2" t="str">
        <f ca="1">IF(G18&lt;=30,"0-30",IF(G18&lt;=60,"31-60",IF(G18&lt;=90,"61-90","90+")))</f>
        <v>31-60</v>
      </c>
      <c r="I18">
        <f>SUMIFS(order_items!D:D,order_items!C:C,inventory!B18)</f>
        <v>31</v>
      </c>
      <c r="J18" t="str">
        <f>IF(D18&gt;I18*3,"Overstock","OK")</f>
        <v>Overstock</v>
      </c>
      <c r="K18">
        <f>IFERROR(_xlfn.XLOOKUP(B18,purchase_orders!C:C,purchase_orders!I:I),0)</f>
        <v>705</v>
      </c>
      <c r="L18">
        <f>(D18+K18)/2</f>
        <v>415</v>
      </c>
      <c r="M18">
        <f t="shared" si="1"/>
        <v>7.0000000000000007E-2</v>
      </c>
      <c r="N18">
        <f>IFERROR(_xlfn.XLOOKUP(B18,products!A:A,products!E:E),0)</f>
        <v>120.72</v>
      </c>
      <c r="O18">
        <f t="shared" si="2"/>
        <v>15090</v>
      </c>
      <c r="P18" t="str">
        <f t="shared" si="3"/>
        <v>Normal</v>
      </c>
      <c r="Q18" t="str">
        <f>IFERROR(_xlfn.XLOOKUP(B18,reorder_point!B:B,reorder_point!I:I),"")</f>
        <v>OK</v>
      </c>
      <c r="R18" t="str">
        <f>_xlfn.XLOOKUP(B18,products!A:A,products!B:B)</f>
        <v>SKU-0009</v>
      </c>
    </row>
    <row r="19" spans="1:18">
      <c r="A19">
        <v>18</v>
      </c>
      <c r="B19">
        <v>10</v>
      </c>
      <c r="C19" t="s">
        <v>118</v>
      </c>
      <c r="D19">
        <v>40</v>
      </c>
      <c r="E19" s="1">
        <v>46119</v>
      </c>
      <c r="F19" s="1">
        <f>_xlfn.XLOOKUP(B19,purchase_orders!C:C,purchase_orders!G:G)</f>
        <v>46062</v>
      </c>
      <c r="G19" s="5">
        <f t="shared" ca="1" si="0"/>
        <v>102</v>
      </c>
      <c r="H19" s="2" t="str">
        <f ca="1">IF(G19&lt;=30,"0-30",IF(G19&lt;=60,"31-60",IF(G19&lt;=90,"61-90","90+")))</f>
        <v>90+</v>
      </c>
      <c r="I19">
        <f>SUMIFS(order_items!D:D,order_items!C:C,inventory!B19)</f>
        <v>19</v>
      </c>
      <c r="J19" t="str">
        <f>IF(D19&gt;I19*3,"Overstock","OK")</f>
        <v>OK</v>
      </c>
      <c r="K19">
        <f>IFERROR(_xlfn.XLOOKUP(B19,purchase_orders!C:C,purchase_orders!I:I),0)</f>
        <v>345</v>
      </c>
      <c r="L19">
        <f>(D19+K19)/2</f>
        <v>192.5</v>
      </c>
      <c r="M19">
        <f t="shared" si="1"/>
        <v>0.1</v>
      </c>
      <c r="N19">
        <f>IFERROR(_xlfn.XLOOKUP(B19,products!A:A,products!E:E),0)</f>
        <v>71.52</v>
      </c>
      <c r="O19">
        <f t="shared" si="2"/>
        <v>2860.7999999999997</v>
      </c>
      <c r="P19" t="str">
        <f t="shared" si="3"/>
        <v>Normal</v>
      </c>
      <c r="Q19" t="str">
        <f>IFERROR(_xlfn.XLOOKUP(B19,reorder_point!B:B,reorder_point!I:I),"")</f>
        <v>OK</v>
      </c>
      <c r="R19" t="str">
        <f>_xlfn.XLOOKUP(B19,products!A:A,products!B:B)</f>
        <v>SKU-0010</v>
      </c>
    </row>
    <row r="20" spans="1:18">
      <c r="A20">
        <v>19</v>
      </c>
      <c r="B20">
        <v>10</v>
      </c>
      <c r="C20" t="s">
        <v>121</v>
      </c>
      <c r="D20">
        <v>317</v>
      </c>
      <c r="E20" s="1">
        <v>46112</v>
      </c>
      <c r="F20" s="1">
        <f>_xlfn.XLOOKUP(B20,purchase_orders!C:C,purchase_orders!G:G)</f>
        <v>46062</v>
      </c>
      <c r="G20" s="5">
        <f t="shared" ca="1" si="0"/>
        <v>102</v>
      </c>
      <c r="H20" s="2" t="str">
        <f ca="1">IF(G20&lt;=30,"0-30",IF(G20&lt;=60,"31-60",IF(G20&lt;=90,"61-90","90+")))</f>
        <v>90+</v>
      </c>
      <c r="I20">
        <f>SUMIFS(order_items!D:D,order_items!C:C,inventory!B20)</f>
        <v>19</v>
      </c>
      <c r="J20" t="str">
        <f>IF(D20&gt;I20*3,"Overstock","OK")</f>
        <v>Overstock</v>
      </c>
      <c r="K20">
        <f>IFERROR(_xlfn.XLOOKUP(B20,purchase_orders!C:C,purchase_orders!I:I),0)</f>
        <v>345</v>
      </c>
      <c r="L20">
        <f>(D20+K20)/2</f>
        <v>331</v>
      </c>
      <c r="M20">
        <f t="shared" si="1"/>
        <v>0.06</v>
      </c>
      <c r="N20">
        <f>IFERROR(_xlfn.XLOOKUP(B20,products!A:A,products!E:E),0)</f>
        <v>71.52</v>
      </c>
      <c r="O20">
        <f t="shared" si="2"/>
        <v>22671.84</v>
      </c>
      <c r="P20" t="str">
        <f t="shared" si="3"/>
        <v>Normal</v>
      </c>
      <c r="Q20" t="str">
        <f>IFERROR(_xlfn.XLOOKUP(B20,reorder_point!B:B,reorder_point!I:I),"")</f>
        <v>OK</v>
      </c>
      <c r="R20" t="str">
        <f>_xlfn.XLOOKUP(B20,products!A:A,products!B:B)</f>
        <v>SKU-0010</v>
      </c>
    </row>
    <row r="21" spans="1:18">
      <c r="A21">
        <v>20</v>
      </c>
      <c r="B21">
        <v>10</v>
      </c>
      <c r="C21" t="s">
        <v>119</v>
      </c>
      <c r="D21">
        <v>467</v>
      </c>
      <c r="E21" s="1">
        <v>46129</v>
      </c>
      <c r="F21" s="1">
        <f>_xlfn.XLOOKUP(B21,purchase_orders!C:C,purchase_orders!G:G)</f>
        <v>46062</v>
      </c>
      <c r="G21" s="5">
        <f t="shared" ca="1" si="0"/>
        <v>102</v>
      </c>
      <c r="H21" s="2" t="str">
        <f ca="1">IF(G21&lt;=30,"0-30",IF(G21&lt;=60,"31-60",IF(G21&lt;=90,"61-90","90+")))</f>
        <v>90+</v>
      </c>
      <c r="I21">
        <f>SUMIFS(order_items!D:D,order_items!C:C,inventory!B21)</f>
        <v>19</v>
      </c>
      <c r="J21" t="str">
        <f>IF(D21&gt;I21*3,"Overstock","OK")</f>
        <v>Overstock</v>
      </c>
      <c r="K21">
        <f>IFERROR(_xlfn.XLOOKUP(B21,purchase_orders!C:C,purchase_orders!I:I),0)</f>
        <v>345</v>
      </c>
      <c r="L21">
        <f>(D21+K21)/2</f>
        <v>406</v>
      </c>
      <c r="M21">
        <f t="shared" si="1"/>
        <v>0.05</v>
      </c>
      <c r="N21">
        <f>IFERROR(_xlfn.XLOOKUP(B21,products!A:A,products!E:E),0)</f>
        <v>71.52</v>
      </c>
      <c r="O21">
        <f t="shared" si="2"/>
        <v>33399.839999999997</v>
      </c>
      <c r="P21" t="str">
        <f t="shared" si="3"/>
        <v>Normal</v>
      </c>
      <c r="Q21" t="str">
        <f>IFERROR(_xlfn.XLOOKUP(B21,reorder_point!B:B,reorder_point!I:I),"")</f>
        <v>OK</v>
      </c>
      <c r="R21" t="str">
        <f>_xlfn.XLOOKUP(B21,products!A:A,products!B:B)</f>
        <v>SKU-0010</v>
      </c>
    </row>
    <row r="22" spans="1:18">
      <c r="A22">
        <v>21</v>
      </c>
      <c r="B22">
        <v>11</v>
      </c>
      <c r="C22" t="s">
        <v>120</v>
      </c>
      <c r="D22">
        <v>130</v>
      </c>
      <c r="E22" s="1">
        <v>46086</v>
      </c>
      <c r="F22" s="1">
        <f>_xlfn.XLOOKUP(B22,purchase_orders!C:C,purchase_orders!G:G)</f>
        <v>46129</v>
      </c>
      <c r="G22" s="5">
        <f t="shared" ca="1" si="0"/>
        <v>35</v>
      </c>
      <c r="H22" s="2" t="str">
        <f ca="1">IF(G22&lt;=30,"0-30",IF(G22&lt;=60,"31-60",IF(G22&lt;=90,"61-90","90+")))</f>
        <v>31-60</v>
      </c>
      <c r="I22">
        <f>SUMIFS(order_items!D:D,order_items!C:C,inventory!B22)</f>
        <v>3</v>
      </c>
      <c r="J22" t="str">
        <f>IF(D22&gt;I22*3,"Overstock","OK")</f>
        <v>Overstock</v>
      </c>
      <c r="K22">
        <f>IFERROR(_xlfn.XLOOKUP(B22,purchase_orders!C:C,purchase_orders!I:I),0)</f>
        <v>864</v>
      </c>
      <c r="L22">
        <f>(D22+K22)/2</f>
        <v>497</v>
      </c>
      <c r="M22">
        <f t="shared" si="1"/>
        <v>0.01</v>
      </c>
      <c r="N22">
        <f>IFERROR(_xlfn.XLOOKUP(B22,products!A:A,products!E:E),0)</f>
        <v>41.66</v>
      </c>
      <c r="O22">
        <f t="shared" si="2"/>
        <v>5415.7999999999993</v>
      </c>
      <c r="P22" t="str">
        <f t="shared" si="3"/>
        <v>Slow Moving</v>
      </c>
      <c r="Q22" t="str">
        <f>IFERROR(_xlfn.XLOOKUP(B22,reorder_point!B:B,reorder_point!I:I),"")</f>
        <v>OK</v>
      </c>
      <c r="R22" t="str">
        <f>_xlfn.XLOOKUP(B22,products!A:A,products!B:B)</f>
        <v>SKU-0011</v>
      </c>
    </row>
    <row r="23" spans="1:18">
      <c r="A23">
        <v>22</v>
      </c>
      <c r="B23">
        <v>11</v>
      </c>
      <c r="C23" t="s">
        <v>117</v>
      </c>
      <c r="D23">
        <v>411</v>
      </c>
      <c r="E23" s="1">
        <v>46125</v>
      </c>
      <c r="F23" s="1">
        <f>_xlfn.XLOOKUP(B23,purchase_orders!C:C,purchase_orders!G:G)</f>
        <v>46129</v>
      </c>
      <c r="G23" s="5">
        <f t="shared" ca="1" si="0"/>
        <v>35</v>
      </c>
      <c r="H23" s="2" t="str">
        <f ca="1">IF(G23&lt;=30,"0-30",IF(G23&lt;=60,"31-60",IF(G23&lt;=90,"61-90","90+")))</f>
        <v>31-60</v>
      </c>
      <c r="I23">
        <f>SUMIFS(order_items!D:D,order_items!C:C,inventory!B23)</f>
        <v>3</v>
      </c>
      <c r="J23" t="str">
        <f>IF(D23&gt;I23*3,"Overstock","OK")</f>
        <v>Overstock</v>
      </c>
      <c r="K23">
        <f>IFERROR(_xlfn.XLOOKUP(B23,purchase_orders!C:C,purchase_orders!I:I),0)</f>
        <v>864</v>
      </c>
      <c r="L23">
        <f>(D23+K23)/2</f>
        <v>637.5</v>
      </c>
      <c r="M23">
        <f t="shared" si="1"/>
        <v>0</v>
      </c>
      <c r="N23">
        <f>IFERROR(_xlfn.XLOOKUP(B23,products!A:A,products!E:E),0)</f>
        <v>41.66</v>
      </c>
      <c r="O23">
        <f t="shared" si="2"/>
        <v>17122.259999999998</v>
      </c>
      <c r="P23" t="str">
        <f t="shared" si="3"/>
        <v>Slow Moving</v>
      </c>
      <c r="Q23" t="str">
        <f>IFERROR(_xlfn.XLOOKUP(B23,reorder_point!B:B,reorder_point!I:I),"")</f>
        <v>OK</v>
      </c>
      <c r="R23" t="str">
        <f>_xlfn.XLOOKUP(B23,products!A:A,products!B:B)</f>
        <v>SKU-0011</v>
      </c>
    </row>
    <row r="24" spans="1:18">
      <c r="A24">
        <v>23</v>
      </c>
      <c r="B24">
        <v>12</v>
      </c>
      <c r="C24" t="s">
        <v>121</v>
      </c>
      <c r="D24">
        <v>226</v>
      </c>
      <c r="E24" s="1">
        <v>46106</v>
      </c>
      <c r="F24" s="1">
        <f>_xlfn.XLOOKUP(B24,purchase_orders!C:C,purchase_orders!G:G)</f>
        <v>46116</v>
      </c>
      <c r="G24" s="5">
        <f t="shared" ca="1" si="0"/>
        <v>48</v>
      </c>
      <c r="H24" s="2" t="str">
        <f ca="1">IF(G24&lt;=30,"0-30",IF(G24&lt;=60,"31-60",IF(G24&lt;=90,"61-90","90+")))</f>
        <v>31-60</v>
      </c>
      <c r="I24">
        <f>SUMIFS(order_items!D:D,order_items!C:C,inventory!B24)</f>
        <v>19</v>
      </c>
      <c r="J24" t="str">
        <f>IF(D24&gt;I24*3,"Overstock","OK")</f>
        <v>Overstock</v>
      </c>
      <c r="K24">
        <f>IFERROR(_xlfn.XLOOKUP(B24,purchase_orders!C:C,purchase_orders!I:I),0)</f>
        <v>-25</v>
      </c>
      <c r="L24">
        <f>(D24+K24)/2</f>
        <v>100.5</v>
      </c>
      <c r="M24">
        <f t="shared" si="1"/>
        <v>0.19</v>
      </c>
      <c r="N24">
        <f>IFERROR(_xlfn.XLOOKUP(B24,products!A:A,products!E:E),0)</f>
        <v>132.6</v>
      </c>
      <c r="O24">
        <f t="shared" si="2"/>
        <v>29967.599999999999</v>
      </c>
      <c r="P24" t="str">
        <f t="shared" si="3"/>
        <v>Normal</v>
      </c>
      <c r="Q24" t="str">
        <f>IFERROR(_xlfn.XLOOKUP(B24,reorder_point!B:B,reorder_point!I:I),"")</f>
        <v>OK</v>
      </c>
      <c r="R24" t="str">
        <f>_xlfn.XLOOKUP(B24,products!A:A,products!B:B)</f>
        <v>SKU-0012</v>
      </c>
    </row>
    <row r="25" spans="1:18">
      <c r="A25">
        <v>24</v>
      </c>
      <c r="B25">
        <v>12</v>
      </c>
      <c r="C25" t="s">
        <v>118</v>
      </c>
      <c r="D25">
        <v>153</v>
      </c>
      <c r="E25" s="1">
        <v>46116</v>
      </c>
      <c r="F25" s="1">
        <f>_xlfn.XLOOKUP(B25,purchase_orders!C:C,purchase_orders!G:G)</f>
        <v>46116</v>
      </c>
      <c r="G25" s="5">
        <f t="shared" ca="1" si="0"/>
        <v>48</v>
      </c>
      <c r="H25" s="2" t="str">
        <f ca="1">IF(G25&lt;=30,"0-30",IF(G25&lt;=60,"31-60",IF(G25&lt;=90,"61-90","90+")))</f>
        <v>31-60</v>
      </c>
      <c r="I25">
        <f>SUMIFS(order_items!D:D,order_items!C:C,inventory!B25)</f>
        <v>19</v>
      </c>
      <c r="J25" t="str">
        <f>IF(D25&gt;I25*3,"Overstock","OK")</f>
        <v>Overstock</v>
      </c>
      <c r="K25">
        <f>IFERROR(_xlfn.XLOOKUP(B25,purchase_orders!C:C,purchase_orders!I:I),0)</f>
        <v>-25</v>
      </c>
      <c r="L25">
        <f>(D25+K25)/2</f>
        <v>64</v>
      </c>
      <c r="M25">
        <f t="shared" si="1"/>
        <v>0.3</v>
      </c>
      <c r="N25">
        <f>IFERROR(_xlfn.XLOOKUP(B25,products!A:A,products!E:E),0)</f>
        <v>132.6</v>
      </c>
      <c r="O25">
        <f t="shared" si="2"/>
        <v>20287.8</v>
      </c>
      <c r="P25" t="str">
        <f t="shared" si="3"/>
        <v>Normal</v>
      </c>
      <c r="Q25" t="str">
        <f>IFERROR(_xlfn.XLOOKUP(B25,reorder_point!B:B,reorder_point!I:I),"")</f>
        <v>OK</v>
      </c>
      <c r="R25" t="str">
        <f>_xlfn.XLOOKUP(B25,products!A:A,products!B:B)</f>
        <v>SKU-0012</v>
      </c>
    </row>
    <row r="26" spans="1:18">
      <c r="A26">
        <v>25</v>
      </c>
      <c r="B26">
        <v>12</v>
      </c>
      <c r="C26" t="s">
        <v>119</v>
      </c>
      <c r="D26">
        <v>353</v>
      </c>
      <c r="E26" s="1">
        <v>46089</v>
      </c>
      <c r="F26" s="1">
        <f>_xlfn.XLOOKUP(B26,purchase_orders!C:C,purchase_orders!G:G)</f>
        <v>46116</v>
      </c>
      <c r="G26" s="5">
        <f t="shared" ca="1" si="0"/>
        <v>48</v>
      </c>
      <c r="H26" s="2" t="str">
        <f ca="1">IF(G26&lt;=30,"0-30",IF(G26&lt;=60,"31-60",IF(G26&lt;=90,"61-90","90+")))</f>
        <v>31-60</v>
      </c>
      <c r="I26">
        <f>SUMIFS(order_items!D:D,order_items!C:C,inventory!B26)</f>
        <v>19</v>
      </c>
      <c r="J26" t="str">
        <f>IF(D26&gt;I26*3,"Overstock","OK")</f>
        <v>Overstock</v>
      </c>
      <c r="K26">
        <f>IFERROR(_xlfn.XLOOKUP(B26,purchase_orders!C:C,purchase_orders!I:I),0)</f>
        <v>-25</v>
      </c>
      <c r="L26">
        <f>(D26+K26)/2</f>
        <v>164</v>
      </c>
      <c r="M26">
        <f t="shared" si="1"/>
        <v>0.12</v>
      </c>
      <c r="N26">
        <f>IFERROR(_xlfn.XLOOKUP(B26,products!A:A,products!E:E),0)</f>
        <v>132.6</v>
      </c>
      <c r="O26">
        <f t="shared" si="2"/>
        <v>46807.799999999996</v>
      </c>
      <c r="P26" t="str">
        <f t="shared" si="3"/>
        <v>Normal</v>
      </c>
      <c r="Q26" t="str">
        <f>IFERROR(_xlfn.XLOOKUP(B26,reorder_point!B:B,reorder_point!I:I),"")</f>
        <v>OK</v>
      </c>
      <c r="R26" t="str">
        <f>_xlfn.XLOOKUP(B26,products!A:A,products!B:B)</f>
        <v>SKU-0012</v>
      </c>
    </row>
    <row r="27" spans="1:18">
      <c r="A27">
        <v>26</v>
      </c>
      <c r="B27">
        <v>13</v>
      </c>
      <c r="C27" t="s">
        <v>118</v>
      </c>
      <c r="D27">
        <v>436</v>
      </c>
      <c r="E27" s="1">
        <v>46128</v>
      </c>
      <c r="F27" s="1">
        <f>_xlfn.XLOOKUP(B27,purchase_orders!C:C,purchase_orders!G:G)</f>
        <v>46076</v>
      </c>
      <c r="G27" s="5">
        <f t="shared" ca="1" si="0"/>
        <v>88</v>
      </c>
      <c r="H27" s="2" t="str">
        <f ca="1">IF(G27&lt;=30,"0-30",IF(G27&lt;=60,"31-60",IF(G27&lt;=90,"61-90","90+")))</f>
        <v>61-90</v>
      </c>
      <c r="I27">
        <f>SUMIFS(order_items!D:D,order_items!C:C,inventory!B27)</f>
        <v>34</v>
      </c>
      <c r="J27" t="str">
        <f>IF(D27&gt;I27*3,"Overstock","OK")</f>
        <v>Overstock</v>
      </c>
      <c r="K27">
        <f>IFERROR(_xlfn.XLOOKUP(B27,purchase_orders!C:C,purchase_orders!I:I),0)</f>
        <v>44</v>
      </c>
      <c r="L27">
        <f>(D27+K27)/2</f>
        <v>240</v>
      </c>
      <c r="M27">
        <f t="shared" si="1"/>
        <v>0.14000000000000001</v>
      </c>
      <c r="N27">
        <f>IFERROR(_xlfn.XLOOKUP(B27,products!A:A,products!E:E),0)</f>
        <v>152.5</v>
      </c>
      <c r="O27">
        <f t="shared" si="2"/>
        <v>66490</v>
      </c>
      <c r="P27" t="str">
        <f t="shared" si="3"/>
        <v>Normal</v>
      </c>
      <c r="Q27" t="str">
        <f>IFERROR(_xlfn.XLOOKUP(B27,reorder_point!B:B,reorder_point!I:I),"")</f>
        <v>OK</v>
      </c>
      <c r="R27" t="str">
        <f>_xlfn.XLOOKUP(B27,products!A:A,products!B:B)</f>
        <v>SKU-0013</v>
      </c>
    </row>
    <row r="28" spans="1:18">
      <c r="A28">
        <v>27</v>
      </c>
      <c r="B28">
        <v>13</v>
      </c>
      <c r="C28" t="s">
        <v>117</v>
      </c>
      <c r="D28">
        <v>195</v>
      </c>
      <c r="E28" s="1">
        <v>46107</v>
      </c>
      <c r="F28" s="1">
        <f>_xlfn.XLOOKUP(B28,purchase_orders!C:C,purchase_orders!G:G)</f>
        <v>46076</v>
      </c>
      <c r="G28" s="5">
        <f t="shared" ca="1" si="0"/>
        <v>88</v>
      </c>
      <c r="H28" s="2" t="str">
        <f ca="1">IF(G28&lt;=30,"0-30",IF(G28&lt;=60,"31-60",IF(G28&lt;=90,"61-90","90+")))</f>
        <v>61-90</v>
      </c>
      <c r="I28">
        <f>SUMIFS(order_items!D:D,order_items!C:C,inventory!B28)</f>
        <v>34</v>
      </c>
      <c r="J28" t="str">
        <f>IF(D28&gt;I28*3,"Overstock","OK")</f>
        <v>Overstock</v>
      </c>
      <c r="K28">
        <f>IFERROR(_xlfn.XLOOKUP(B28,purchase_orders!C:C,purchase_orders!I:I),0)</f>
        <v>44</v>
      </c>
      <c r="L28">
        <f>(D28+K28)/2</f>
        <v>119.5</v>
      </c>
      <c r="M28">
        <f t="shared" si="1"/>
        <v>0.28000000000000003</v>
      </c>
      <c r="N28">
        <f>IFERROR(_xlfn.XLOOKUP(B28,products!A:A,products!E:E),0)</f>
        <v>152.5</v>
      </c>
      <c r="O28">
        <f t="shared" si="2"/>
        <v>29737.5</v>
      </c>
      <c r="P28" t="str">
        <f t="shared" si="3"/>
        <v>Normal</v>
      </c>
      <c r="Q28" t="str">
        <f>IFERROR(_xlfn.XLOOKUP(B28,reorder_point!B:B,reorder_point!I:I),"")</f>
        <v>OK</v>
      </c>
      <c r="R28" t="str">
        <f>_xlfn.XLOOKUP(B28,products!A:A,products!B:B)</f>
        <v>SKU-0013</v>
      </c>
    </row>
    <row r="29" spans="1:18">
      <c r="A29">
        <v>28</v>
      </c>
      <c r="B29">
        <v>14</v>
      </c>
      <c r="C29" t="s">
        <v>120</v>
      </c>
      <c r="D29">
        <v>500</v>
      </c>
      <c r="E29" s="1">
        <v>46118</v>
      </c>
      <c r="F29" s="1">
        <f>_xlfn.XLOOKUP(B29,purchase_orders!C:C,purchase_orders!G:G)</f>
        <v>46125</v>
      </c>
      <c r="G29" s="5">
        <f t="shared" ca="1" si="0"/>
        <v>39</v>
      </c>
      <c r="H29" s="2" t="str">
        <f ca="1">IF(G29&lt;=30,"0-30",IF(G29&lt;=60,"31-60",IF(G29&lt;=90,"61-90","90+")))</f>
        <v>31-60</v>
      </c>
      <c r="I29">
        <f>SUMIFS(order_items!D:D,order_items!C:C,inventory!B29)</f>
        <v>33</v>
      </c>
      <c r="J29" t="str">
        <f>IF(D29&gt;I29*3,"Overstock","OK")</f>
        <v>Overstock</v>
      </c>
      <c r="K29">
        <f>IFERROR(_xlfn.XLOOKUP(B29,purchase_orders!C:C,purchase_orders!I:I),0)</f>
        <v>602</v>
      </c>
      <c r="L29">
        <f>(D29+K29)/2</f>
        <v>551</v>
      </c>
      <c r="M29">
        <f t="shared" si="1"/>
        <v>0.06</v>
      </c>
      <c r="N29">
        <f>IFERROR(_xlfn.XLOOKUP(B29,products!A:A,products!E:E),0)</f>
        <v>75.2</v>
      </c>
      <c r="O29">
        <f t="shared" si="2"/>
        <v>37600</v>
      </c>
      <c r="P29" t="str">
        <f t="shared" si="3"/>
        <v>Normal</v>
      </c>
      <c r="Q29" t="str">
        <f>IFERROR(_xlfn.XLOOKUP(B29,reorder_point!B:B,reorder_point!I:I),"")</f>
        <v>OK</v>
      </c>
      <c r="R29" t="str">
        <f>_xlfn.XLOOKUP(B29,products!A:A,products!B:B)</f>
        <v>SKU-0014</v>
      </c>
    </row>
    <row r="30" spans="1:18">
      <c r="A30">
        <v>29</v>
      </c>
      <c r="B30">
        <v>14</v>
      </c>
      <c r="C30" t="s">
        <v>119</v>
      </c>
      <c r="D30">
        <v>0</v>
      </c>
      <c r="E30" s="1">
        <v>46085</v>
      </c>
      <c r="F30" s="1">
        <f>_xlfn.XLOOKUP(B30,purchase_orders!C:C,purchase_orders!G:G)</f>
        <v>46125</v>
      </c>
      <c r="G30" s="5">
        <f t="shared" ca="1" si="0"/>
        <v>39</v>
      </c>
      <c r="H30" s="2" t="str">
        <f ca="1">IF(G30&lt;=30,"0-30",IF(G30&lt;=60,"31-60",IF(G30&lt;=90,"61-90","90+")))</f>
        <v>31-60</v>
      </c>
      <c r="I30">
        <f>SUMIFS(order_items!D:D,order_items!C:C,inventory!B30)</f>
        <v>33</v>
      </c>
      <c r="J30" t="str">
        <f>IF(D30&gt;I30*3,"Overstock","OK")</f>
        <v>OK</v>
      </c>
      <c r="K30">
        <f>IFERROR(_xlfn.XLOOKUP(B30,purchase_orders!C:C,purchase_orders!I:I),0)</f>
        <v>602</v>
      </c>
      <c r="L30">
        <f>(D30+K30)/2</f>
        <v>301</v>
      </c>
      <c r="M30">
        <f t="shared" si="1"/>
        <v>0.11</v>
      </c>
      <c r="N30">
        <f>IFERROR(_xlfn.XLOOKUP(B30,products!A:A,products!E:E),0)</f>
        <v>75.2</v>
      </c>
      <c r="O30">
        <f t="shared" si="2"/>
        <v>0</v>
      </c>
      <c r="P30" t="str">
        <f t="shared" si="3"/>
        <v>Normal</v>
      </c>
      <c r="Q30" t="str">
        <f>IFERROR(_xlfn.XLOOKUP(B30,reorder_point!B:B,reorder_point!I:I),"")</f>
        <v>OK</v>
      </c>
      <c r="R30" t="str">
        <f>_xlfn.XLOOKUP(B30,products!A:A,products!B:B)</f>
        <v>SKU-0014</v>
      </c>
    </row>
    <row r="31" spans="1:18">
      <c r="A31">
        <v>30</v>
      </c>
      <c r="B31">
        <v>15</v>
      </c>
      <c r="C31" t="s">
        <v>117</v>
      </c>
      <c r="D31">
        <v>409</v>
      </c>
      <c r="E31" s="1">
        <v>46092</v>
      </c>
      <c r="F31" s="1">
        <f>_xlfn.XLOOKUP(B31,purchase_orders!C:C,purchase_orders!G:G)</f>
        <v>46128</v>
      </c>
      <c r="G31" s="5">
        <f t="shared" ca="1" si="0"/>
        <v>36</v>
      </c>
      <c r="H31" s="2" t="str">
        <f ca="1">IF(G31&lt;=30,"0-30",IF(G31&lt;=60,"31-60",IF(G31&lt;=90,"61-90","90+")))</f>
        <v>31-60</v>
      </c>
      <c r="I31">
        <f>SUMIFS(order_items!D:D,order_items!C:C,inventory!B31)</f>
        <v>24</v>
      </c>
      <c r="J31" t="str">
        <f>IF(D31&gt;I31*3,"Overstock","OK")</f>
        <v>Overstock</v>
      </c>
      <c r="K31">
        <f>IFERROR(_xlfn.XLOOKUP(B31,purchase_orders!C:C,purchase_orders!I:I),0)</f>
        <v>263</v>
      </c>
      <c r="L31">
        <f>(D31+K31)/2</f>
        <v>336</v>
      </c>
      <c r="M31">
        <f t="shared" si="1"/>
        <v>7.0000000000000007E-2</v>
      </c>
      <c r="N31">
        <f>IFERROR(_xlfn.XLOOKUP(B31,products!A:A,products!E:E),0)</f>
        <v>159.82</v>
      </c>
      <c r="O31">
        <f t="shared" si="2"/>
        <v>65366.38</v>
      </c>
      <c r="P31" t="str">
        <f t="shared" si="3"/>
        <v>Normal</v>
      </c>
      <c r="Q31" t="str">
        <f>IFERROR(_xlfn.XLOOKUP(B31,reorder_point!B:B,reorder_point!I:I),"")</f>
        <v>OK</v>
      </c>
      <c r="R31" t="str">
        <f>_xlfn.XLOOKUP(B31,products!A:A,products!B:B)</f>
        <v>SKU-0015</v>
      </c>
    </row>
    <row r="32" spans="1:18">
      <c r="A32">
        <v>31</v>
      </c>
      <c r="B32">
        <v>15</v>
      </c>
      <c r="C32" t="s">
        <v>120</v>
      </c>
      <c r="D32">
        <v>180</v>
      </c>
      <c r="E32" s="1">
        <v>46131</v>
      </c>
      <c r="F32" s="1">
        <f>_xlfn.XLOOKUP(B32,purchase_orders!C:C,purchase_orders!G:G)</f>
        <v>46128</v>
      </c>
      <c r="G32" s="5">
        <f t="shared" ca="1" si="0"/>
        <v>36</v>
      </c>
      <c r="H32" s="2" t="str">
        <f ca="1">IF(G32&lt;=30,"0-30",IF(G32&lt;=60,"31-60",IF(G32&lt;=90,"61-90","90+")))</f>
        <v>31-60</v>
      </c>
      <c r="I32">
        <f>SUMIFS(order_items!D:D,order_items!C:C,inventory!B32)</f>
        <v>24</v>
      </c>
      <c r="J32" t="str">
        <f>IF(D32&gt;I32*3,"Overstock","OK")</f>
        <v>Overstock</v>
      </c>
      <c r="K32">
        <f>IFERROR(_xlfn.XLOOKUP(B32,purchase_orders!C:C,purchase_orders!I:I),0)</f>
        <v>263</v>
      </c>
      <c r="L32">
        <f>(D32+K32)/2</f>
        <v>221.5</v>
      </c>
      <c r="M32">
        <f t="shared" si="1"/>
        <v>0.11</v>
      </c>
      <c r="N32">
        <f>IFERROR(_xlfn.XLOOKUP(B32,products!A:A,products!E:E),0)</f>
        <v>159.82</v>
      </c>
      <c r="O32">
        <f t="shared" si="2"/>
        <v>28767.599999999999</v>
      </c>
      <c r="P32" t="str">
        <f t="shared" si="3"/>
        <v>Normal</v>
      </c>
      <c r="Q32" t="str">
        <f>IFERROR(_xlfn.XLOOKUP(B32,reorder_point!B:B,reorder_point!I:I),"")</f>
        <v>OK</v>
      </c>
      <c r="R32" t="str">
        <f>_xlfn.XLOOKUP(B32,products!A:A,products!B:B)</f>
        <v>SKU-0015</v>
      </c>
    </row>
    <row r="33" spans="1:18">
      <c r="A33">
        <v>32</v>
      </c>
      <c r="B33">
        <v>15</v>
      </c>
      <c r="C33" t="s">
        <v>117</v>
      </c>
      <c r="D33">
        <v>317</v>
      </c>
      <c r="E33" s="1">
        <v>46095</v>
      </c>
      <c r="F33" s="1">
        <f>_xlfn.XLOOKUP(B33,purchase_orders!C:C,purchase_orders!G:G)</f>
        <v>46128</v>
      </c>
      <c r="G33" s="5">
        <f t="shared" ca="1" si="0"/>
        <v>36</v>
      </c>
      <c r="H33" s="2" t="str">
        <f ca="1">IF(G33&lt;=30,"0-30",IF(G33&lt;=60,"31-60",IF(G33&lt;=90,"61-90","90+")))</f>
        <v>31-60</v>
      </c>
      <c r="I33">
        <f>SUMIFS(order_items!D:D,order_items!C:C,inventory!B33)</f>
        <v>24</v>
      </c>
      <c r="J33" t="str">
        <f>IF(D33&gt;I33*3,"Overstock","OK")</f>
        <v>Overstock</v>
      </c>
      <c r="K33">
        <f>IFERROR(_xlfn.XLOOKUP(B33,purchase_orders!C:C,purchase_orders!I:I),0)</f>
        <v>263</v>
      </c>
      <c r="L33">
        <f>(D33+K33)/2</f>
        <v>290</v>
      </c>
      <c r="M33">
        <f t="shared" si="1"/>
        <v>0.08</v>
      </c>
      <c r="N33">
        <f>IFERROR(_xlfn.XLOOKUP(B33,products!A:A,products!E:E),0)</f>
        <v>159.82</v>
      </c>
      <c r="O33">
        <f t="shared" si="2"/>
        <v>50662.939999999995</v>
      </c>
      <c r="P33" t="str">
        <f t="shared" si="3"/>
        <v>Normal</v>
      </c>
      <c r="Q33" t="str">
        <f>IFERROR(_xlfn.XLOOKUP(B33,reorder_point!B:B,reorder_point!I:I),"")</f>
        <v>OK</v>
      </c>
      <c r="R33" t="str">
        <f>_xlfn.XLOOKUP(B33,products!A:A,products!B:B)</f>
        <v>SKU-0015</v>
      </c>
    </row>
    <row r="34" spans="1:18">
      <c r="A34">
        <v>33</v>
      </c>
      <c r="B34">
        <v>16</v>
      </c>
      <c r="C34" t="s">
        <v>118</v>
      </c>
      <c r="D34">
        <v>330</v>
      </c>
      <c r="E34" s="1">
        <v>46093</v>
      </c>
      <c r="F34" s="1">
        <f>_xlfn.XLOOKUP(B34,purchase_orders!C:C,purchase_orders!G:G)</f>
        <v>46121</v>
      </c>
      <c r="G34" s="5">
        <f t="shared" ca="1" si="0"/>
        <v>43</v>
      </c>
      <c r="H34" s="2" t="str">
        <f ca="1">IF(G34&lt;=30,"0-30",IF(G34&lt;=60,"31-60",IF(G34&lt;=90,"61-90","90+")))</f>
        <v>31-60</v>
      </c>
      <c r="I34">
        <f>SUMIFS(order_items!D:D,order_items!C:C,inventory!B34)</f>
        <v>38</v>
      </c>
      <c r="J34" t="str">
        <f>IF(D34&gt;I34*3,"Overstock","OK")</f>
        <v>Overstock</v>
      </c>
      <c r="K34">
        <f>IFERROR(_xlfn.XLOOKUP(B34,purchase_orders!C:C,purchase_orders!I:I),0)</f>
        <v>191</v>
      </c>
      <c r="L34">
        <f>(D34+K34)/2</f>
        <v>260.5</v>
      </c>
      <c r="M34">
        <f t="shared" si="1"/>
        <v>0.15</v>
      </c>
      <c r="N34">
        <f>IFERROR(_xlfn.XLOOKUP(B34,products!A:A,products!E:E),0)</f>
        <v>135.37</v>
      </c>
      <c r="O34">
        <f t="shared" si="2"/>
        <v>44672.1</v>
      </c>
      <c r="P34" t="str">
        <f t="shared" si="3"/>
        <v>Normal</v>
      </c>
      <c r="Q34" t="str">
        <f>IFERROR(_xlfn.XLOOKUP(B34,reorder_point!B:B,reorder_point!I:I),"")</f>
        <v>OK</v>
      </c>
      <c r="R34" t="str">
        <f>_xlfn.XLOOKUP(B34,products!A:A,products!B:B)</f>
        <v>SKU-0016</v>
      </c>
    </row>
    <row r="35" spans="1:18">
      <c r="A35">
        <v>34</v>
      </c>
      <c r="B35">
        <v>16</v>
      </c>
      <c r="C35" t="s">
        <v>119</v>
      </c>
      <c r="D35">
        <v>225</v>
      </c>
      <c r="E35" s="1">
        <v>46120</v>
      </c>
      <c r="F35" s="1">
        <f>_xlfn.XLOOKUP(B35,purchase_orders!C:C,purchase_orders!G:G)</f>
        <v>46121</v>
      </c>
      <c r="G35" s="5">
        <f t="shared" ca="1" si="0"/>
        <v>43</v>
      </c>
      <c r="H35" s="2" t="str">
        <f ca="1">IF(G35&lt;=30,"0-30",IF(G35&lt;=60,"31-60",IF(G35&lt;=90,"61-90","90+")))</f>
        <v>31-60</v>
      </c>
      <c r="I35">
        <f>SUMIFS(order_items!D:D,order_items!C:C,inventory!B35)</f>
        <v>38</v>
      </c>
      <c r="J35" t="str">
        <f>IF(D35&gt;I35*3,"Overstock","OK")</f>
        <v>Overstock</v>
      </c>
      <c r="K35">
        <f>IFERROR(_xlfn.XLOOKUP(B35,purchase_orders!C:C,purchase_orders!I:I),0)</f>
        <v>191</v>
      </c>
      <c r="L35">
        <f>(D35+K35)/2</f>
        <v>208</v>
      </c>
      <c r="M35">
        <f t="shared" si="1"/>
        <v>0.18</v>
      </c>
      <c r="N35">
        <f>IFERROR(_xlfn.XLOOKUP(B35,products!A:A,products!E:E),0)</f>
        <v>135.37</v>
      </c>
      <c r="O35">
        <f t="shared" si="2"/>
        <v>30458.25</v>
      </c>
      <c r="P35" t="str">
        <f t="shared" si="3"/>
        <v>Normal</v>
      </c>
      <c r="Q35" t="str">
        <f>IFERROR(_xlfn.XLOOKUP(B35,reorder_point!B:B,reorder_point!I:I),"")</f>
        <v>OK</v>
      </c>
      <c r="R35" t="str">
        <f>_xlfn.XLOOKUP(B35,products!A:A,products!B:B)</f>
        <v>SKU-0016</v>
      </c>
    </row>
    <row r="36" spans="1:18">
      <c r="A36">
        <v>35</v>
      </c>
      <c r="B36">
        <v>16</v>
      </c>
      <c r="C36" t="s">
        <v>122</v>
      </c>
      <c r="D36">
        <v>374</v>
      </c>
      <c r="E36" s="1">
        <v>46085</v>
      </c>
      <c r="F36" s="1">
        <f>_xlfn.XLOOKUP(B36,purchase_orders!C:C,purchase_orders!G:G)</f>
        <v>46121</v>
      </c>
      <c r="G36" s="5">
        <f t="shared" ca="1" si="0"/>
        <v>43</v>
      </c>
      <c r="H36" s="2" t="str">
        <f ca="1">IF(G36&lt;=30,"0-30",IF(G36&lt;=60,"31-60",IF(G36&lt;=90,"61-90","90+")))</f>
        <v>31-60</v>
      </c>
      <c r="I36">
        <f>SUMIFS(order_items!D:D,order_items!C:C,inventory!B36)</f>
        <v>38</v>
      </c>
      <c r="J36" t="str">
        <f>IF(D36&gt;I36*3,"Overstock","OK")</f>
        <v>Overstock</v>
      </c>
      <c r="K36">
        <f>IFERROR(_xlfn.XLOOKUP(B36,purchase_orders!C:C,purchase_orders!I:I),0)</f>
        <v>191</v>
      </c>
      <c r="L36">
        <f>(D36+K36)/2</f>
        <v>282.5</v>
      </c>
      <c r="M36">
        <f t="shared" si="1"/>
        <v>0.13</v>
      </c>
      <c r="N36">
        <f>IFERROR(_xlfn.XLOOKUP(B36,products!A:A,products!E:E),0)</f>
        <v>135.37</v>
      </c>
      <c r="O36">
        <f t="shared" si="2"/>
        <v>50628.380000000005</v>
      </c>
      <c r="P36" t="str">
        <f t="shared" si="3"/>
        <v>Normal</v>
      </c>
      <c r="Q36" t="str">
        <f>IFERROR(_xlfn.XLOOKUP(B36,reorder_point!B:B,reorder_point!I:I),"")</f>
        <v>OK</v>
      </c>
      <c r="R36" t="str">
        <f>_xlfn.XLOOKUP(B36,products!A:A,products!B:B)</f>
        <v>SKU-0016</v>
      </c>
    </row>
    <row r="37" spans="1:18">
      <c r="A37">
        <v>36</v>
      </c>
      <c r="B37">
        <v>17</v>
      </c>
      <c r="C37" t="s">
        <v>122</v>
      </c>
      <c r="D37">
        <v>89</v>
      </c>
      <c r="E37" s="1">
        <v>46093</v>
      </c>
      <c r="F37" s="1">
        <f>_xlfn.XLOOKUP(B37,purchase_orders!C:C,purchase_orders!G:G)</f>
        <v>46067</v>
      </c>
      <c r="G37" s="5">
        <f t="shared" ca="1" si="0"/>
        <v>97</v>
      </c>
      <c r="H37" s="2" t="str">
        <f ca="1">IF(G37&lt;=30,"0-30",IF(G37&lt;=60,"31-60",IF(G37&lt;=90,"61-90","90+")))</f>
        <v>90+</v>
      </c>
      <c r="I37">
        <f>SUMIFS(order_items!D:D,order_items!C:C,inventory!B37)</f>
        <v>42</v>
      </c>
      <c r="J37" t="str">
        <f>IF(D37&gt;I37*3,"Overstock","OK")</f>
        <v>OK</v>
      </c>
      <c r="K37">
        <f>IFERROR(_xlfn.XLOOKUP(B37,purchase_orders!C:C,purchase_orders!I:I),0)</f>
        <v>224</v>
      </c>
      <c r="L37">
        <f>(D37+K37)/2</f>
        <v>156.5</v>
      </c>
      <c r="M37">
        <f t="shared" si="1"/>
        <v>0.27</v>
      </c>
      <c r="N37">
        <f>IFERROR(_xlfn.XLOOKUP(B37,products!A:A,products!E:E),0)</f>
        <v>43.38</v>
      </c>
      <c r="O37">
        <f t="shared" si="2"/>
        <v>3860.82</v>
      </c>
      <c r="P37" t="str">
        <f t="shared" si="3"/>
        <v>Normal</v>
      </c>
      <c r="Q37" t="str">
        <f>IFERROR(_xlfn.XLOOKUP(B37,reorder_point!B:B,reorder_point!I:I),"")</f>
        <v>OK</v>
      </c>
      <c r="R37" t="str">
        <f>_xlfn.XLOOKUP(B37,products!A:A,products!B:B)</f>
        <v>SKU-0017</v>
      </c>
    </row>
    <row r="38" spans="1:18">
      <c r="A38">
        <v>37</v>
      </c>
      <c r="B38">
        <v>17</v>
      </c>
      <c r="C38" t="s">
        <v>117</v>
      </c>
      <c r="D38">
        <v>276</v>
      </c>
      <c r="E38" s="1">
        <v>46120</v>
      </c>
      <c r="F38" s="1">
        <f>_xlfn.XLOOKUP(B38,purchase_orders!C:C,purchase_orders!G:G)</f>
        <v>46067</v>
      </c>
      <c r="G38" s="5">
        <f t="shared" ca="1" si="0"/>
        <v>97</v>
      </c>
      <c r="H38" s="2" t="str">
        <f ca="1">IF(G38&lt;=30,"0-30",IF(G38&lt;=60,"31-60",IF(G38&lt;=90,"61-90","90+")))</f>
        <v>90+</v>
      </c>
      <c r="I38">
        <f>SUMIFS(order_items!D:D,order_items!C:C,inventory!B38)</f>
        <v>42</v>
      </c>
      <c r="J38" t="str">
        <f>IF(D38&gt;I38*3,"Overstock","OK")</f>
        <v>Overstock</v>
      </c>
      <c r="K38">
        <f>IFERROR(_xlfn.XLOOKUP(B38,purchase_orders!C:C,purchase_orders!I:I),0)</f>
        <v>224</v>
      </c>
      <c r="L38">
        <f>(D38+K38)/2</f>
        <v>250</v>
      </c>
      <c r="M38">
        <f t="shared" si="1"/>
        <v>0.17</v>
      </c>
      <c r="N38">
        <f>IFERROR(_xlfn.XLOOKUP(B38,products!A:A,products!E:E),0)</f>
        <v>43.38</v>
      </c>
      <c r="O38">
        <f t="shared" si="2"/>
        <v>11972.880000000001</v>
      </c>
      <c r="P38" t="str">
        <f t="shared" si="3"/>
        <v>Normal</v>
      </c>
      <c r="Q38" t="str">
        <f>IFERROR(_xlfn.XLOOKUP(B38,reorder_point!B:B,reorder_point!I:I),"")</f>
        <v>OK</v>
      </c>
      <c r="R38" t="str">
        <f>_xlfn.XLOOKUP(B38,products!A:A,products!B:B)</f>
        <v>SKU-0017</v>
      </c>
    </row>
    <row r="39" spans="1:18">
      <c r="A39">
        <v>38</v>
      </c>
      <c r="B39">
        <v>18</v>
      </c>
      <c r="C39" t="s">
        <v>121</v>
      </c>
      <c r="D39">
        <v>84</v>
      </c>
      <c r="E39" s="1">
        <v>46091</v>
      </c>
      <c r="F39" s="1">
        <f>_xlfn.XLOOKUP(B39,purchase_orders!C:C,purchase_orders!G:G)</f>
        <v>46130</v>
      </c>
      <c r="G39" s="5">
        <f t="shared" ca="1" si="0"/>
        <v>34</v>
      </c>
      <c r="H39" s="2" t="str">
        <f ca="1">IF(G39&lt;=30,"0-30",IF(G39&lt;=60,"31-60",IF(G39&lt;=90,"61-90","90+")))</f>
        <v>31-60</v>
      </c>
      <c r="I39">
        <f>SUMIFS(order_items!D:D,order_items!C:C,inventory!B39)</f>
        <v>22</v>
      </c>
      <c r="J39" t="str">
        <f>IF(D39&gt;I39*3,"Overstock","OK")</f>
        <v>Overstock</v>
      </c>
      <c r="K39">
        <f>IFERROR(_xlfn.XLOOKUP(B39,purchase_orders!C:C,purchase_orders!I:I),0)</f>
        <v>646</v>
      </c>
      <c r="L39">
        <f>(D39+K39)/2</f>
        <v>365</v>
      </c>
      <c r="M39">
        <f t="shared" si="1"/>
        <v>0.06</v>
      </c>
      <c r="N39">
        <f>IFERROR(_xlfn.XLOOKUP(B39,products!A:A,products!E:E),0)</f>
        <v>31.75</v>
      </c>
      <c r="O39">
        <f t="shared" si="2"/>
        <v>2667</v>
      </c>
      <c r="P39" t="str">
        <f t="shared" si="3"/>
        <v>Normal</v>
      </c>
      <c r="Q39" t="str">
        <f>IFERROR(_xlfn.XLOOKUP(B39,reorder_point!B:B,reorder_point!I:I),"")</f>
        <v>OK</v>
      </c>
      <c r="R39" t="str">
        <f>_xlfn.XLOOKUP(B39,products!A:A,products!B:B)</f>
        <v>SKU-0018</v>
      </c>
    </row>
    <row r="40" spans="1:18">
      <c r="A40">
        <v>39</v>
      </c>
      <c r="B40">
        <v>18</v>
      </c>
      <c r="C40" t="s">
        <v>120</v>
      </c>
      <c r="D40">
        <v>483</v>
      </c>
      <c r="E40" s="1">
        <v>46092</v>
      </c>
      <c r="F40" s="1">
        <f>_xlfn.XLOOKUP(B40,purchase_orders!C:C,purchase_orders!G:G)</f>
        <v>46130</v>
      </c>
      <c r="G40" s="5">
        <f t="shared" ca="1" si="0"/>
        <v>34</v>
      </c>
      <c r="H40" s="2" t="str">
        <f ca="1">IF(G40&lt;=30,"0-30",IF(G40&lt;=60,"31-60",IF(G40&lt;=90,"61-90","90+")))</f>
        <v>31-60</v>
      </c>
      <c r="I40">
        <f>SUMIFS(order_items!D:D,order_items!C:C,inventory!B40)</f>
        <v>22</v>
      </c>
      <c r="J40" t="str">
        <f>IF(D40&gt;I40*3,"Overstock","OK")</f>
        <v>Overstock</v>
      </c>
      <c r="K40">
        <f>IFERROR(_xlfn.XLOOKUP(B40,purchase_orders!C:C,purchase_orders!I:I),0)</f>
        <v>646</v>
      </c>
      <c r="L40">
        <f>(D40+K40)/2</f>
        <v>564.5</v>
      </c>
      <c r="M40">
        <f t="shared" si="1"/>
        <v>0.04</v>
      </c>
      <c r="N40">
        <f>IFERROR(_xlfn.XLOOKUP(B40,products!A:A,products!E:E),0)</f>
        <v>31.75</v>
      </c>
      <c r="O40">
        <f t="shared" si="2"/>
        <v>15335.25</v>
      </c>
      <c r="P40" t="str">
        <f t="shared" si="3"/>
        <v>Normal</v>
      </c>
      <c r="Q40" t="str">
        <f>IFERROR(_xlfn.XLOOKUP(B40,reorder_point!B:B,reorder_point!I:I),"")</f>
        <v>OK</v>
      </c>
      <c r="R40" t="str">
        <f>_xlfn.XLOOKUP(B40,products!A:A,products!B:B)</f>
        <v>SKU-0018</v>
      </c>
    </row>
    <row r="41" spans="1:18">
      <c r="A41">
        <v>40</v>
      </c>
      <c r="B41">
        <v>18</v>
      </c>
      <c r="C41" t="s">
        <v>117</v>
      </c>
      <c r="D41">
        <v>151</v>
      </c>
      <c r="E41" s="1">
        <v>46122</v>
      </c>
      <c r="F41" s="1">
        <f>_xlfn.XLOOKUP(B41,purchase_orders!C:C,purchase_orders!G:G)</f>
        <v>46130</v>
      </c>
      <c r="G41" s="5">
        <f t="shared" ca="1" si="0"/>
        <v>34</v>
      </c>
      <c r="H41" s="2" t="str">
        <f ca="1">IF(G41&lt;=30,"0-30",IF(G41&lt;=60,"31-60",IF(G41&lt;=90,"61-90","90+")))</f>
        <v>31-60</v>
      </c>
      <c r="I41">
        <f>SUMIFS(order_items!D:D,order_items!C:C,inventory!B41)</f>
        <v>22</v>
      </c>
      <c r="J41" t="str">
        <f>IF(D41&gt;I41*3,"Overstock","OK")</f>
        <v>Overstock</v>
      </c>
      <c r="K41">
        <f>IFERROR(_xlfn.XLOOKUP(B41,purchase_orders!C:C,purchase_orders!I:I),0)</f>
        <v>646</v>
      </c>
      <c r="L41">
        <f>(D41+K41)/2</f>
        <v>398.5</v>
      </c>
      <c r="M41">
        <f t="shared" si="1"/>
        <v>0.06</v>
      </c>
      <c r="N41">
        <f>IFERROR(_xlfn.XLOOKUP(B41,products!A:A,products!E:E),0)</f>
        <v>31.75</v>
      </c>
      <c r="O41">
        <f t="shared" si="2"/>
        <v>4794.25</v>
      </c>
      <c r="P41" t="str">
        <f t="shared" si="3"/>
        <v>Normal</v>
      </c>
      <c r="Q41" t="str">
        <f>IFERROR(_xlfn.XLOOKUP(B41,reorder_point!B:B,reorder_point!I:I),"")</f>
        <v>OK</v>
      </c>
      <c r="R41" t="str">
        <f>_xlfn.XLOOKUP(B41,products!A:A,products!B:B)</f>
        <v>SKU-0018</v>
      </c>
    </row>
    <row r="42" spans="1:18">
      <c r="A42">
        <v>41</v>
      </c>
      <c r="B42">
        <v>19</v>
      </c>
      <c r="C42" t="s">
        <v>117</v>
      </c>
      <c r="D42">
        <v>493</v>
      </c>
      <c r="E42" s="1">
        <v>46095</v>
      </c>
      <c r="F42" s="1">
        <f>_xlfn.XLOOKUP(B42,purchase_orders!C:C,purchase_orders!G:G)</f>
        <v>46134</v>
      </c>
      <c r="G42" s="5">
        <f t="shared" ca="1" si="0"/>
        <v>30</v>
      </c>
      <c r="H42" s="2" t="str">
        <f ca="1">IF(G42&lt;=30,"0-30",IF(G42&lt;=60,"31-60",IF(G42&lt;=90,"61-90","90+")))</f>
        <v>0-30</v>
      </c>
      <c r="I42">
        <f>SUMIFS(order_items!D:D,order_items!C:C,inventory!B42)</f>
        <v>34</v>
      </c>
      <c r="J42" t="str">
        <f>IF(D42&gt;I42*3,"Overstock","OK")</f>
        <v>Overstock</v>
      </c>
      <c r="K42">
        <f>IFERROR(_xlfn.XLOOKUP(B42,purchase_orders!C:C,purchase_orders!I:I),0)</f>
        <v>98</v>
      </c>
      <c r="L42">
        <f>(D42+K42)/2</f>
        <v>295.5</v>
      </c>
      <c r="M42">
        <f t="shared" si="1"/>
        <v>0.12</v>
      </c>
      <c r="N42">
        <f>IFERROR(_xlfn.XLOOKUP(B42,products!A:A,products!E:E),0)</f>
        <v>71.78</v>
      </c>
      <c r="O42">
        <f t="shared" si="2"/>
        <v>35387.54</v>
      </c>
      <c r="P42" t="str">
        <f t="shared" si="3"/>
        <v>Normal</v>
      </c>
      <c r="Q42" t="str">
        <f>IFERROR(_xlfn.XLOOKUP(B42,reorder_point!B:B,reorder_point!I:I),"")</f>
        <v>OK</v>
      </c>
      <c r="R42" t="str">
        <f>_xlfn.XLOOKUP(B42,products!A:A,products!B:B)</f>
        <v>SKU-0019</v>
      </c>
    </row>
    <row r="43" spans="1:18">
      <c r="A43">
        <v>42</v>
      </c>
      <c r="B43">
        <v>20</v>
      </c>
      <c r="C43" t="s">
        <v>117</v>
      </c>
      <c r="D43">
        <v>495</v>
      </c>
      <c r="E43" s="1">
        <v>46108</v>
      </c>
      <c r="F43" s="1">
        <f>_xlfn.XLOOKUP(B43,purchase_orders!C:C,purchase_orders!G:G)</f>
        <v>46048</v>
      </c>
      <c r="G43" s="5">
        <f t="shared" ca="1" si="0"/>
        <v>116</v>
      </c>
      <c r="H43" s="2" t="str">
        <f ca="1">IF(G43&lt;=30,"0-30",IF(G43&lt;=60,"31-60",IF(G43&lt;=90,"61-90","90+")))</f>
        <v>90+</v>
      </c>
      <c r="I43">
        <f>SUMIFS(order_items!D:D,order_items!C:C,inventory!B43)</f>
        <v>27</v>
      </c>
      <c r="J43" t="str">
        <f>IF(D43&gt;I43*3,"Overstock","OK")</f>
        <v>Overstock</v>
      </c>
      <c r="K43">
        <f>IFERROR(_xlfn.XLOOKUP(B43,purchase_orders!C:C,purchase_orders!I:I),0)</f>
        <v>194</v>
      </c>
      <c r="L43">
        <f>(D43+K43)/2</f>
        <v>344.5</v>
      </c>
      <c r="M43">
        <f t="shared" si="1"/>
        <v>0.08</v>
      </c>
      <c r="N43">
        <f>IFERROR(_xlfn.XLOOKUP(B43,products!A:A,products!E:E),0)</f>
        <v>124.3</v>
      </c>
      <c r="O43">
        <f t="shared" si="2"/>
        <v>61528.5</v>
      </c>
      <c r="P43" t="str">
        <f t="shared" si="3"/>
        <v>Normal</v>
      </c>
      <c r="Q43" t="str">
        <f>IFERROR(_xlfn.XLOOKUP(B43,reorder_point!B:B,reorder_point!I:I),"")</f>
        <v>OK</v>
      </c>
      <c r="R43" t="str">
        <f>_xlfn.XLOOKUP(B43,products!A:A,products!B:B)</f>
        <v>SKU-0020</v>
      </c>
    </row>
    <row r="44" spans="1:18">
      <c r="A44">
        <v>43</v>
      </c>
      <c r="B44">
        <v>21</v>
      </c>
      <c r="C44" t="s">
        <v>119</v>
      </c>
      <c r="D44">
        <v>7</v>
      </c>
      <c r="E44" s="1">
        <v>46136</v>
      </c>
      <c r="F44" s="1">
        <f>_xlfn.XLOOKUP(B44,purchase_orders!C:C,purchase_orders!G:G)</f>
        <v>46100</v>
      </c>
      <c r="G44" s="5">
        <f t="shared" ca="1" si="0"/>
        <v>64</v>
      </c>
      <c r="H44" s="2" t="str">
        <f ca="1">IF(G44&lt;=30,"0-30",IF(G44&lt;=60,"31-60",IF(G44&lt;=90,"61-90","90+")))</f>
        <v>61-90</v>
      </c>
      <c r="I44">
        <f>SUMIFS(order_items!D:D,order_items!C:C,inventory!B44)</f>
        <v>26</v>
      </c>
      <c r="J44" t="str">
        <f>IF(D44&gt;I44*3,"Overstock","OK")</f>
        <v>OK</v>
      </c>
      <c r="K44">
        <f>IFERROR(_xlfn.XLOOKUP(B44,purchase_orders!C:C,purchase_orders!I:I),0)</f>
        <v>162</v>
      </c>
      <c r="L44">
        <f>(D44+K44)/2</f>
        <v>84.5</v>
      </c>
      <c r="M44">
        <f t="shared" si="1"/>
        <v>0.31</v>
      </c>
      <c r="N44">
        <f>IFERROR(_xlfn.XLOOKUP(B44,products!A:A,products!E:E),0)</f>
        <v>56.36</v>
      </c>
      <c r="O44">
        <f t="shared" si="2"/>
        <v>394.52</v>
      </c>
      <c r="P44" t="str">
        <f t="shared" si="3"/>
        <v>Normal</v>
      </c>
      <c r="Q44" t="str">
        <f>IFERROR(_xlfn.XLOOKUP(B44,reorder_point!B:B,reorder_point!I:I),"")</f>
        <v>Reorder</v>
      </c>
      <c r="R44" t="str">
        <f>_xlfn.XLOOKUP(B44,products!A:A,products!B:B)</f>
        <v>SKU-0021</v>
      </c>
    </row>
    <row r="45" spans="1:18">
      <c r="A45">
        <v>44</v>
      </c>
      <c r="B45">
        <v>21</v>
      </c>
      <c r="C45" t="s">
        <v>117</v>
      </c>
      <c r="D45">
        <v>232</v>
      </c>
      <c r="E45" s="1">
        <v>46096</v>
      </c>
      <c r="F45" s="1">
        <f>_xlfn.XLOOKUP(B45,purchase_orders!C:C,purchase_orders!G:G)</f>
        <v>46100</v>
      </c>
      <c r="G45" s="5">
        <f t="shared" ca="1" si="0"/>
        <v>64</v>
      </c>
      <c r="H45" s="2" t="str">
        <f ca="1">IF(G45&lt;=30,"0-30",IF(G45&lt;=60,"31-60",IF(G45&lt;=90,"61-90","90+")))</f>
        <v>61-90</v>
      </c>
      <c r="I45">
        <f>SUMIFS(order_items!D:D,order_items!C:C,inventory!B45)</f>
        <v>26</v>
      </c>
      <c r="J45" t="str">
        <f>IF(D45&gt;I45*3,"Overstock","OK")</f>
        <v>Overstock</v>
      </c>
      <c r="K45">
        <f>IFERROR(_xlfn.XLOOKUP(B45,purchase_orders!C:C,purchase_orders!I:I),0)</f>
        <v>162</v>
      </c>
      <c r="L45">
        <f>(D45+K45)/2</f>
        <v>197</v>
      </c>
      <c r="M45">
        <f t="shared" si="1"/>
        <v>0.13</v>
      </c>
      <c r="N45">
        <f>IFERROR(_xlfn.XLOOKUP(B45,products!A:A,products!E:E),0)</f>
        <v>56.36</v>
      </c>
      <c r="O45">
        <f t="shared" si="2"/>
        <v>13075.52</v>
      </c>
      <c r="P45" t="str">
        <f t="shared" si="3"/>
        <v>Normal</v>
      </c>
      <c r="Q45" t="str">
        <f>IFERROR(_xlfn.XLOOKUP(B45,reorder_point!B:B,reorder_point!I:I),"")</f>
        <v>Reorder</v>
      </c>
      <c r="R45" t="str">
        <f>_xlfn.XLOOKUP(B45,products!A:A,products!B:B)</f>
        <v>SKU-0021</v>
      </c>
    </row>
    <row r="46" spans="1:18">
      <c r="A46">
        <v>45</v>
      </c>
      <c r="B46">
        <v>22</v>
      </c>
      <c r="C46" t="s">
        <v>120</v>
      </c>
      <c r="D46">
        <v>326</v>
      </c>
      <c r="E46" s="1">
        <v>46137</v>
      </c>
      <c r="F46" s="1" t="e">
        <f>_xlfn.XLOOKUP(B46,purchase_orders!C:C,purchase_orders!G:G)</f>
        <v>#N/A</v>
      </c>
      <c r="G46" s="5" t="e">
        <f t="shared" ca="1" si="0"/>
        <v>#N/A</v>
      </c>
      <c r="H46" s="2" t="e">
        <f ca="1">IF(G46&lt;=30,"0-30",IF(G46&lt;=60,"31-60",IF(G46&lt;=90,"61-90","90+")))</f>
        <v>#N/A</v>
      </c>
      <c r="I46">
        <f>SUMIFS(order_items!D:D,order_items!C:C,inventory!B46)</f>
        <v>57</v>
      </c>
      <c r="J46" t="str">
        <f>IF(D46&gt;I46*3,"Overstock","OK")</f>
        <v>Overstock</v>
      </c>
      <c r="K46">
        <f>IFERROR(_xlfn.XLOOKUP(B46,purchase_orders!C:C,purchase_orders!I:I),0)</f>
        <v>0</v>
      </c>
      <c r="L46">
        <f>(D46+K46)/2</f>
        <v>163</v>
      </c>
      <c r="M46">
        <f t="shared" si="1"/>
        <v>0.35</v>
      </c>
      <c r="N46">
        <f>IFERROR(_xlfn.XLOOKUP(B46,products!A:A,products!E:E),0)</f>
        <v>138.34</v>
      </c>
      <c r="O46">
        <f t="shared" si="2"/>
        <v>45098.840000000004</v>
      </c>
      <c r="P46" t="str">
        <f t="shared" si="3"/>
        <v>Normal</v>
      </c>
      <c r="Q46" t="str">
        <f>IFERROR(_xlfn.XLOOKUP(B46,reorder_point!B:B,reorder_point!I:I),"")</f>
        <v/>
      </c>
      <c r="R46" t="str">
        <f>_xlfn.XLOOKUP(B46,products!A:A,products!B:B)</f>
        <v>SKU-0022</v>
      </c>
    </row>
    <row r="47" spans="1:18">
      <c r="A47">
        <v>46</v>
      </c>
      <c r="B47">
        <v>22</v>
      </c>
      <c r="C47" t="s">
        <v>117</v>
      </c>
      <c r="D47">
        <v>345</v>
      </c>
      <c r="E47" s="1">
        <v>46142</v>
      </c>
      <c r="F47" s="1" t="e">
        <f>_xlfn.XLOOKUP(B47,purchase_orders!C:C,purchase_orders!G:G)</f>
        <v>#N/A</v>
      </c>
      <c r="G47" s="5" t="e">
        <f t="shared" ca="1" si="0"/>
        <v>#N/A</v>
      </c>
      <c r="H47" s="2" t="e">
        <f ca="1">IF(G47&lt;=30,"0-30",IF(G47&lt;=60,"31-60",IF(G47&lt;=90,"61-90","90+")))</f>
        <v>#N/A</v>
      </c>
      <c r="I47">
        <f>SUMIFS(order_items!D:D,order_items!C:C,inventory!B47)</f>
        <v>57</v>
      </c>
      <c r="J47" t="str">
        <f>IF(D47&gt;I47*3,"Overstock","OK")</f>
        <v>Overstock</v>
      </c>
      <c r="K47">
        <f>IFERROR(_xlfn.XLOOKUP(B47,purchase_orders!C:C,purchase_orders!I:I),0)</f>
        <v>0</v>
      </c>
      <c r="L47">
        <f>(D47+K47)/2</f>
        <v>172.5</v>
      </c>
      <c r="M47">
        <f t="shared" si="1"/>
        <v>0.33</v>
      </c>
      <c r="N47">
        <f>IFERROR(_xlfn.XLOOKUP(B47,products!A:A,products!E:E),0)</f>
        <v>138.34</v>
      </c>
      <c r="O47">
        <f t="shared" si="2"/>
        <v>47727.3</v>
      </c>
      <c r="P47" t="str">
        <f t="shared" si="3"/>
        <v>Normal</v>
      </c>
      <c r="Q47" t="str">
        <f>IFERROR(_xlfn.XLOOKUP(B47,reorder_point!B:B,reorder_point!I:I),"")</f>
        <v/>
      </c>
      <c r="R47" t="str">
        <f>_xlfn.XLOOKUP(B47,products!A:A,products!B:B)</f>
        <v>SKU-0022</v>
      </c>
    </row>
    <row r="48" spans="1:18">
      <c r="A48">
        <v>47</v>
      </c>
      <c r="B48">
        <v>22</v>
      </c>
      <c r="C48" t="s">
        <v>117</v>
      </c>
      <c r="D48">
        <v>317</v>
      </c>
      <c r="E48" s="1">
        <v>46108</v>
      </c>
      <c r="F48" s="1" t="e">
        <f>_xlfn.XLOOKUP(B48,purchase_orders!C:C,purchase_orders!G:G)</f>
        <v>#N/A</v>
      </c>
      <c r="G48" s="5" t="e">
        <f t="shared" ca="1" si="0"/>
        <v>#N/A</v>
      </c>
      <c r="H48" s="2" t="e">
        <f ca="1">IF(G48&lt;=30,"0-30",IF(G48&lt;=60,"31-60",IF(G48&lt;=90,"61-90","90+")))</f>
        <v>#N/A</v>
      </c>
      <c r="I48">
        <f>SUMIFS(order_items!D:D,order_items!C:C,inventory!B48)</f>
        <v>57</v>
      </c>
      <c r="J48" t="str">
        <f>IF(D48&gt;I48*3,"Overstock","OK")</f>
        <v>Overstock</v>
      </c>
      <c r="K48">
        <f>IFERROR(_xlfn.XLOOKUP(B48,purchase_orders!C:C,purchase_orders!I:I),0)</f>
        <v>0</v>
      </c>
      <c r="L48">
        <f>(D48+K48)/2</f>
        <v>158.5</v>
      </c>
      <c r="M48">
        <f t="shared" si="1"/>
        <v>0.36</v>
      </c>
      <c r="N48">
        <f>IFERROR(_xlfn.XLOOKUP(B48,products!A:A,products!E:E),0)</f>
        <v>138.34</v>
      </c>
      <c r="O48">
        <f t="shared" si="2"/>
        <v>43853.78</v>
      </c>
      <c r="P48" t="str">
        <f t="shared" si="3"/>
        <v>Normal</v>
      </c>
      <c r="Q48" t="str">
        <f>IFERROR(_xlfn.XLOOKUP(B48,reorder_point!B:B,reorder_point!I:I),"")</f>
        <v/>
      </c>
      <c r="R48" t="str">
        <f>_xlfn.XLOOKUP(B48,products!A:A,products!B:B)</f>
        <v>SKU-0022</v>
      </c>
    </row>
    <row r="49" spans="1:18">
      <c r="A49">
        <v>48</v>
      </c>
      <c r="B49">
        <v>23</v>
      </c>
      <c r="C49" t="s">
        <v>118</v>
      </c>
      <c r="D49">
        <v>325</v>
      </c>
      <c r="E49" s="1">
        <v>46085</v>
      </c>
      <c r="F49" s="1">
        <f>_xlfn.XLOOKUP(B49,purchase_orders!C:C,purchase_orders!G:G)</f>
        <v>46100</v>
      </c>
      <c r="G49" s="5">
        <f t="shared" ca="1" si="0"/>
        <v>64</v>
      </c>
      <c r="H49" s="2" t="str">
        <f ca="1">IF(G49&lt;=30,"0-30",IF(G49&lt;=60,"31-60",IF(G49&lt;=90,"61-90","90+")))</f>
        <v>61-90</v>
      </c>
      <c r="I49">
        <f>SUMIFS(order_items!D:D,order_items!C:C,inventory!B49)</f>
        <v>23</v>
      </c>
      <c r="J49" t="str">
        <f>IF(D49&gt;I49*3,"Overstock","OK")</f>
        <v>Overstock</v>
      </c>
      <c r="K49">
        <f>IFERROR(_xlfn.XLOOKUP(B49,purchase_orders!C:C,purchase_orders!I:I),0)</f>
        <v>954</v>
      </c>
      <c r="L49">
        <f>(D49+K49)/2</f>
        <v>639.5</v>
      </c>
      <c r="M49">
        <f t="shared" si="1"/>
        <v>0.04</v>
      </c>
      <c r="N49">
        <f>IFERROR(_xlfn.XLOOKUP(B49,products!A:A,products!E:E),0)</f>
        <v>111.57</v>
      </c>
      <c r="O49">
        <f t="shared" si="2"/>
        <v>36260.25</v>
      </c>
      <c r="P49" t="str">
        <f t="shared" si="3"/>
        <v>Normal</v>
      </c>
      <c r="Q49" t="str">
        <f>IFERROR(_xlfn.XLOOKUP(B49,reorder_point!B:B,reorder_point!I:I),"")</f>
        <v>OK</v>
      </c>
      <c r="R49" t="str">
        <f>_xlfn.XLOOKUP(B49,products!A:A,products!B:B)</f>
        <v>SKU-0023</v>
      </c>
    </row>
    <row r="50" spans="1:18">
      <c r="A50">
        <v>49</v>
      </c>
      <c r="B50">
        <v>23</v>
      </c>
      <c r="C50" t="s">
        <v>119</v>
      </c>
      <c r="D50">
        <v>358</v>
      </c>
      <c r="E50" s="1">
        <v>46117</v>
      </c>
      <c r="F50" s="1">
        <f>_xlfn.XLOOKUP(B50,purchase_orders!C:C,purchase_orders!G:G)</f>
        <v>46100</v>
      </c>
      <c r="G50" s="5">
        <f t="shared" ca="1" si="0"/>
        <v>64</v>
      </c>
      <c r="H50" s="2" t="str">
        <f ca="1">IF(G50&lt;=30,"0-30",IF(G50&lt;=60,"31-60",IF(G50&lt;=90,"61-90","90+")))</f>
        <v>61-90</v>
      </c>
      <c r="I50">
        <f>SUMIFS(order_items!D:D,order_items!C:C,inventory!B50)</f>
        <v>23</v>
      </c>
      <c r="J50" t="str">
        <f>IF(D50&gt;I50*3,"Overstock","OK")</f>
        <v>Overstock</v>
      </c>
      <c r="K50">
        <f>IFERROR(_xlfn.XLOOKUP(B50,purchase_orders!C:C,purchase_orders!I:I),0)</f>
        <v>954</v>
      </c>
      <c r="L50">
        <f>(D50+K50)/2</f>
        <v>656</v>
      </c>
      <c r="M50">
        <f t="shared" si="1"/>
        <v>0.04</v>
      </c>
      <c r="N50">
        <f>IFERROR(_xlfn.XLOOKUP(B50,products!A:A,products!E:E),0)</f>
        <v>111.57</v>
      </c>
      <c r="O50">
        <f t="shared" si="2"/>
        <v>39942.06</v>
      </c>
      <c r="P50" t="str">
        <f t="shared" si="3"/>
        <v>Normal</v>
      </c>
      <c r="Q50" t="str">
        <f>IFERROR(_xlfn.XLOOKUP(B50,reorder_point!B:B,reorder_point!I:I),"")</f>
        <v>OK</v>
      </c>
      <c r="R50" t="str">
        <f>_xlfn.XLOOKUP(B50,products!A:A,products!B:B)</f>
        <v>SKU-0023</v>
      </c>
    </row>
    <row r="51" spans="1:18">
      <c r="A51">
        <v>50</v>
      </c>
      <c r="B51">
        <v>24</v>
      </c>
      <c r="C51" t="s">
        <v>118</v>
      </c>
      <c r="D51">
        <v>23</v>
      </c>
      <c r="E51" s="1">
        <v>46124</v>
      </c>
      <c r="F51" s="1">
        <f>_xlfn.XLOOKUP(B51,purchase_orders!C:C,purchase_orders!G:G)</f>
        <v>46064</v>
      </c>
      <c r="G51" s="5">
        <f t="shared" ca="1" si="0"/>
        <v>100</v>
      </c>
      <c r="H51" s="2" t="str">
        <f ca="1">IF(G51&lt;=30,"0-30",IF(G51&lt;=60,"31-60",IF(G51&lt;=90,"61-90","90+")))</f>
        <v>90+</v>
      </c>
      <c r="I51">
        <f>SUMIFS(order_items!D:D,order_items!C:C,inventory!B51)</f>
        <v>49</v>
      </c>
      <c r="J51" t="str">
        <f>IF(D51&gt;I51*3,"Overstock","OK")</f>
        <v>OK</v>
      </c>
      <c r="K51">
        <f>IFERROR(_xlfn.XLOOKUP(B51,purchase_orders!C:C,purchase_orders!I:I),0)</f>
        <v>611</v>
      </c>
      <c r="L51">
        <f>(D51+K51)/2</f>
        <v>317</v>
      </c>
      <c r="M51">
        <f t="shared" si="1"/>
        <v>0.15</v>
      </c>
      <c r="N51">
        <f>IFERROR(_xlfn.XLOOKUP(B51,products!A:A,products!E:E),0)</f>
        <v>61.73</v>
      </c>
      <c r="O51">
        <f t="shared" si="2"/>
        <v>1419.79</v>
      </c>
      <c r="P51" t="str">
        <f t="shared" si="3"/>
        <v>Normal</v>
      </c>
      <c r="Q51" t="str">
        <f>IFERROR(_xlfn.XLOOKUP(B51,reorder_point!B:B,reorder_point!I:I),"")</f>
        <v>OK</v>
      </c>
      <c r="R51" t="str">
        <f>_xlfn.XLOOKUP(B51,products!A:A,products!B:B)</f>
        <v>SKU-0024</v>
      </c>
    </row>
    <row r="52" spans="1:18">
      <c r="A52">
        <v>51</v>
      </c>
      <c r="B52">
        <v>25</v>
      </c>
      <c r="C52" t="s">
        <v>119</v>
      </c>
      <c r="D52">
        <v>120</v>
      </c>
      <c r="E52" s="1">
        <v>46135</v>
      </c>
      <c r="F52" s="1">
        <f>_xlfn.XLOOKUP(B52,purchase_orders!C:C,purchase_orders!G:G)</f>
        <v>46166</v>
      </c>
      <c r="G52" s="5">
        <f t="shared" ca="1" si="0"/>
        <v>-2</v>
      </c>
      <c r="H52" s="2" t="str">
        <f ca="1">IF(G52&lt;=30,"0-30",IF(G52&lt;=60,"31-60",IF(G52&lt;=90,"61-90","90+")))</f>
        <v>0-30</v>
      </c>
      <c r="I52">
        <f>SUMIFS(order_items!D:D,order_items!C:C,inventory!B52)</f>
        <v>32</v>
      </c>
      <c r="J52" t="str">
        <f>IF(D52&gt;I52*3,"Overstock","OK")</f>
        <v>Overstock</v>
      </c>
      <c r="K52">
        <f>IFERROR(_xlfn.XLOOKUP(B52,purchase_orders!C:C,purchase_orders!I:I),0)</f>
        <v>212</v>
      </c>
      <c r="L52">
        <f>(D52+K52)/2</f>
        <v>166</v>
      </c>
      <c r="M52">
        <f t="shared" si="1"/>
        <v>0.19</v>
      </c>
      <c r="N52">
        <f>IFERROR(_xlfn.XLOOKUP(B52,products!A:A,products!E:E),0)</f>
        <v>15.14</v>
      </c>
      <c r="O52">
        <f t="shared" si="2"/>
        <v>1816.8000000000002</v>
      </c>
      <c r="P52" t="str">
        <f t="shared" si="3"/>
        <v>Normal</v>
      </c>
      <c r="Q52" t="str">
        <f>IFERROR(_xlfn.XLOOKUP(B52,reorder_point!B:B,reorder_point!I:I),"")</f>
        <v>OK</v>
      </c>
      <c r="R52" t="str">
        <f>_xlfn.XLOOKUP(B52,products!A:A,products!B:B)</f>
        <v>SKU-0025</v>
      </c>
    </row>
    <row r="53" spans="1:18">
      <c r="A53">
        <v>52</v>
      </c>
      <c r="B53">
        <v>25</v>
      </c>
      <c r="C53" t="s">
        <v>121</v>
      </c>
      <c r="D53">
        <v>198</v>
      </c>
      <c r="E53" s="1">
        <v>46101</v>
      </c>
      <c r="F53" s="1">
        <f>_xlfn.XLOOKUP(B53,purchase_orders!C:C,purchase_orders!G:G)</f>
        <v>46166</v>
      </c>
      <c r="G53" s="5">
        <f t="shared" ca="1" si="0"/>
        <v>-2</v>
      </c>
      <c r="H53" s="2" t="str">
        <f ca="1">IF(G53&lt;=30,"0-30",IF(G53&lt;=60,"31-60",IF(G53&lt;=90,"61-90","90+")))</f>
        <v>0-30</v>
      </c>
      <c r="I53">
        <f>SUMIFS(order_items!D:D,order_items!C:C,inventory!B53)</f>
        <v>32</v>
      </c>
      <c r="J53" t="str">
        <f>IF(D53&gt;I53*3,"Overstock","OK")</f>
        <v>Overstock</v>
      </c>
      <c r="K53">
        <f>IFERROR(_xlfn.XLOOKUP(B53,purchase_orders!C:C,purchase_orders!I:I),0)</f>
        <v>212</v>
      </c>
      <c r="L53">
        <f>(D53+K53)/2</f>
        <v>205</v>
      </c>
      <c r="M53">
        <f t="shared" si="1"/>
        <v>0.16</v>
      </c>
      <c r="N53">
        <f>IFERROR(_xlfn.XLOOKUP(B53,products!A:A,products!E:E),0)</f>
        <v>15.14</v>
      </c>
      <c r="O53">
        <f t="shared" si="2"/>
        <v>2997.7200000000003</v>
      </c>
      <c r="P53" t="str">
        <f t="shared" si="3"/>
        <v>Normal</v>
      </c>
      <c r="Q53" t="str">
        <f>IFERROR(_xlfn.XLOOKUP(B53,reorder_point!B:B,reorder_point!I:I),"")</f>
        <v>OK</v>
      </c>
      <c r="R53" t="str">
        <f>_xlfn.XLOOKUP(B53,products!A:A,products!B:B)</f>
        <v>SKU-0025</v>
      </c>
    </row>
    <row r="54" spans="1:18">
      <c r="A54">
        <v>53</v>
      </c>
      <c r="B54">
        <v>26</v>
      </c>
      <c r="C54" t="s">
        <v>121</v>
      </c>
      <c r="D54">
        <v>380</v>
      </c>
      <c r="E54" s="1">
        <v>46087</v>
      </c>
      <c r="F54" s="1">
        <f>_xlfn.XLOOKUP(B54,purchase_orders!C:C,purchase_orders!G:G)</f>
        <v>46107</v>
      </c>
      <c r="G54" s="5">
        <f t="shared" ca="1" si="0"/>
        <v>57</v>
      </c>
      <c r="H54" s="2" t="str">
        <f ca="1">IF(G54&lt;=30,"0-30",IF(G54&lt;=60,"31-60",IF(G54&lt;=90,"61-90","90+")))</f>
        <v>31-60</v>
      </c>
      <c r="I54">
        <f>SUMIFS(order_items!D:D,order_items!C:C,inventory!B54)</f>
        <v>6</v>
      </c>
      <c r="J54" t="str">
        <f>IF(D54&gt;I54*3,"Overstock","OK")</f>
        <v>Overstock</v>
      </c>
      <c r="K54">
        <f>IFERROR(_xlfn.XLOOKUP(B54,purchase_orders!C:C,purchase_orders!I:I),0)</f>
        <v>947</v>
      </c>
      <c r="L54">
        <f>(D54+K54)/2</f>
        <v>663.5</v>
      </c>
      <c r="M54">
        <f t="shared" si="1"/>
        <v>0.01</v>
      </c>
      <c r="N54">
        <f>IFERROR(_xlfn.XLOOKUP(B54,products!A:A,products!E:E),0)</f>
        <v>176.15</v>
      </c>
      <c r="O54">
        <f t="shared" si="2"/>
        <v>66937</v>
      </c>
      <c r="P54" t="str">
        <f t="shared" si="3"/>
        <v>Slow Moving</v>
      </c>
      <c r="Q54" t="str">
        <f>IFERROR(_xlfn.XLOOKUP(B54,reorder_point!B:B,reorder_point!I:I),"")</f>
        <v>OK</v>
      </c>
      <c r="R54" t="str">
        <f>_xlfn.XLOOKUP(B54,products!A:A,products!B:B)</f>
        <v>SKU-0026</v>
      </c>
    </row>
    <row r="55" spans="1:18">
      <c r="A55">
        <v>54</v>
      </c>
      <c r="B55">
        <v>26</v>
      </c>
      <c r="C55" t="s">
        <v>117</v>
      </c>
      <c r="D55">
        <v>212</v>
      </c>
      <c r="E55" s="1">
        <v>46090</v>
      </c>
      <c r="F55" s="1">
        <f>_xlfn.XLOOKUP(B55,purchase_orders!C:C,purchase_orders!G:G)</f>
        <v>46107</v>
      </c>
      <c r="G55" s="5">
        <f t="shared" ca="1" si="0"/>
        <v>57</v>
      </c>
      <c r="H55" s="2" t="str">
        <f ca="1">IF(G55&lt;=30,"0-30",IF(G55&lt;=60,"31-60",IF(G55&lt;=90,"61-90","90+")))</f>
        <v>31-60</v>
      </c>
      <c r="I55">
        <f>SUMIFS(order_items!D:D,order_items!C:C,inventory!B55)</f>
        <v>6</v>
      </c>
      <c r="J55" t="str">
        <f>IF(D55&gt;I55*3,"Overstock","OK")</f>
        <v>Overstock</v>
      </c>
      <c r="K55">
        <f>IFERROR(_xlfn.XLOOKUP(B55,purchase_orders!C:C,purchase_orders!I:I),0)</f>
        <v>947</v>
      </c>
      <c r="L55">
        <f>(D55+K55)/2</f>
        <v>579.5</v>
      </c>
      <c r="M55">
        <f t="shared" si="1"/>
        <v>0.01</v>
      </c>
      <c r="N55">
        <f>IFERROR(_xlfn.XLOOKUP(B55,products!A:A,products!E:E),0)</f>
        <v>176.15</v>
      </c>
      <c r="O55">
        <f t="shared" si="2"/>
        <v>37343.800000000003</v>
      </c>
      <c r="P55" t="str">
        <f t="shared" si="3"/>
        <v>Slow Moving</v>
      </c>
      <c r="Q55" t="str">
        <f>IFERROR(_xlfn.XLOOKUP(B55,reorder_point!B:B,reorder_point!I:I),"")</f>
        <v>OK</v>
      </c>
      <c r="R55" t="str">
        <f>_xlfn.XLOOKUP(B55,products!A:A,products!B:B)</f>
        <v>SKU-0026</v>
      </c>
    </row>
    <row r="56" spans="1:18">
      <c r="A56">
        <v>55</v>
      </c>
      <c r="B56">
        <v>26</v>
      </c>
      <c r="C56" t="s">
        <v>120</v>
      </c>
      <c r="D56">
        <v>250</v>
      </c>
      <c r="E56" s="1">
        <v>46083</v>
      </c>
      <c r="F56" s="1">
        <f>_xlfn.XLOOKUP(B56,purchase_orders!C:C,purchase_orders!G:G)</f>
        <v>46107</v>
      </c>
      <c r="G56" s="5">
        <f t="shared" ca="1" si="0"/>
        <v>57</v>
      </c>
      <c r="H56" s="2" t="str">
        <f ca="1">IF(G56&lt;=30,"0-30",IF(G56&lt;=60,"31-60",IF(G56&lt;=90,"61-90","90+")))</f>
        <v>31-60</v>
      </c>
      <c r="I56">
        <f>SUMIFS(order_items!D:D,order_items!C:C,inventory!B56)</f>
        <v>6</v>
      </c>
      <c r="J56" t="str">
        <f>IF(D56&gt;I56*3,"Overstock","OK")</f>
        <v>Overstock</v>
      </c>
      <c r="K56">
        <f>IFERROR(_xlfn.XLOOKUP(B56,purchase_orders!C:C,purchase_orders!I:I),0)</f>
        <v>947</v>
      </c>
      <c r="L56">
        <f>(D56+K56)/2</f>
        <v>598.5</v>
      </c>
      <c r="M56">
        <f t="shared" si="1"/>
        <v>0.01</v>
      </c>
      <c r="N56">
        <f>IFERROR(_xlfn.XLOOKUP(B56,products!A:A,products!E:E),0)</f>
        <v>176.15</v>
      </c>
      <c r="O56">
        <f t="shared" si="2"/>
        <v>44037.5</v>
      </c>
      <c r="P56" t="str">
        <f t="shared" si="3"/>
        <v>Slow Moving</v>
      </c>
      <c r="Q56" t="str">
        <f>IFERROR(_xlfn.XLOOKUP(B56,reorder_point!B:B,reorder_point!I:I),"")</f>
        <v>OK</v>
      </c>
      <c r="R56" t="str">
        <f>_xlfn.XLOOKUP(B56,products!A:A,products!B:B)</f>
        <v>SKU-0026</v>
      </c>
    </row>
    <row r="57" spans="1:18">
      <c r="A57">
        <v>56</v>
      </c>
      <c r="B57">
        <v>27</v>
      </c>
      <c r="C57" t="s">
        <v>119</v>
      </c>
      <c r="D57">
        <v>111</v>
      </c>
      <c r="E57" s="1">
        <v>46083</v>
      </c>
      <c r="F57" s="1">
        <f>_xlfn.XLOOKUP(B57,purchase_orders!C:C,purchase_orders!G:G)</f>
        <v>46072</v>
      </c>
      <c r="G57" s="5">
        <f t="shared" ca="1" si="0"/>
        <v>92</v>
      </c>
      <c r="H57" s="2" t="str">
        <f ca="1">IF(G57&lt;=30,"0-30",IF(G57&lt;=60,"31-60",IF(G57&lt;=90,"61-90","90+")))</f>
        <v>90+</v>
      </c>
      <c r="I57">
        <f>SUMIFS(order_items!D:D,order_items!C:C,inventory!B57)</f>
        <v>31</v>
      </c>
      <c r="J57" t="str">
        <f>IF(D57&gt;I57*3,"Overstock","OK")</f>
        <v>Overstock</v>
      </c>
      <c r="K57">
        <f>IFERROR(_xlfn.XLOOKUP(B57,purchase_orders!C:C,purchase_orders!I:I),0)</f>
        <v>65</v>
      </c>
      <c r="L57">
        <f>(D57+K57)/2</f>
        <v>88</v>
      </c>
      <c r="M57">
        <f t="shared" si="1"/>
        <v>0.35</v>
      </c>
      <c r="N57">
        <f>IFERROR(_xlfn.XLOOKUP(B57,products!A:A,products!E:E),0)</f>
        <v>33.9</v>
      </c>
      <c r="O57">
        <f t="shared" si="2"/>
        <v>3762.8999999999996</v>
      </c>
      <c r="P57" t="str">
        <f t="shared" si="3"/>
        <v>Normal</v>
      </c>
      <c r="Q57" t="str">
        <f>IFERROR(_xlfn.XLOOKUP(B57,reorder_point!B:B,reorder_point!I:I),"")</f>
        <v>OK</v>
      </c>
      <c r="R57" t="str">
        <f>_xlfn.XLOOKUP(B57,products!A:A,products!B:B)</f>
        <v>SKU-0027</v>
      </c>
    </row>
    <row r="58" spans="1:18">
      <c r="A58">
        <v>57</v>
      </c>
      <c r="B58">
        <v>27</v>
      </c>
      <c r="C58" t="s">
        <v>122</v>
      </c>
      <c r="D58">
        <v>120</v>
      </c>
      <c r="E58" s="1">
        <v>46137</v>
      </c>
      <c r="F58" s="1">
        <f>_xlfn.XLOOKUP(B58,purchase_orders!C:C,purchase_orders!G:G)</f>
        <v>46072</v>
      </c>
      <c r="G58" s="5">
        <f t="shared" ca="1" si="0"/>
        <v>92</v>
      </c>
      <c r="H58" s="2" t="str">
        <f ca="1">IF(G58&lt;=30,"0-30",IF(G58&lt;=60,"31-60",IF(G58&lt;=90,"61-90","90+")))</f>
        <v>90+</v>
      </c>
      <c r="I58">
        <f>SUMIFS(order_items!D:D,order_items!C:C,inventory!B58)</f>
        <v>31</v>
      </c>
      <c r="J58" t="str">
        <f>IF(D58&gt;I58*3,"Overstock","OK")</f>
        <v>Overstock</v>
      </c>
      <c r="K58">
        <f>IFERROR(_xlfn.XLOOKUP(B58,purchase_orders!C:C,purchase_orders!I:I),0)</f>
        <v>65</v>
      </c>
      <c r="L58">
        <f>(D58+K58)/2</f>
        <v>92.5</v>
      </c>
      <c r="M58">
        <f t="shared" si="1"/>
        <v>0.34</v>
      </c>
      <c r="N58">
        <f>IFERROR(_xlfn.XLOOKUP(B58,products!A:A,products!E:E),0)</f>
        <v>33.9</v>
      </c>
      <c r="O58">
        <f t="shared" si="2"/>
        <v>4068</v>
      </c>
      <c r="P58" t="str">
        <f t="shared" si="3"/>
        <v>Normal</v>
      </c>
      <c r="Q58" t="str">
        <f>IFERROR(_xlfn.XLOOKUP(B58,reorder_point!B:B,reorder_point!I:I),"")</f>
        <v>OK</v>
      </c>
      <c r="R58" t="str">
        <f>_xlfn.XLOOKUP(B58,products!A:A,products!B:B)</f>
        <v>SKU-0027</v>
      </c>
    </row>
    <row r="59" spans="1:18">
      <c r="A59">
        <v>58</v>
      </c>
      <c r="B59">
        <v>28</v>
      </c>
      <c r="C59" t="s">
        <v>122</v>
      </c>
      <c r="D59">
        <v>203</v>
      </c>
      <c r="E59" s="1">
        <v>46136</v>
      </c>
      <c r="F59" s="1">
        <f>_xlfn.XLOOKUP(B59,purchase_orders!C:C,purchase_orders!G:G)</f>
        <v>46120</v>
      </c>
      <c r="G59" s="5">
        <f t="shared" ca="1" si="0"/>
        <v>44</v>
      </c>
      <c r="H59" s="2" t="str">
        <f ca="1">IF(G59&lt;=30,"0-30",IF(G59&lt;=60,"31-60",IF(G59&lt;=90,"61-90","90+")))</f>
        <v>31-60</v>
      </c>
      <c r="I59">
        <f>SUMIFS(order_items!D:D,order_items!C:C,inventory!B59)</f>
        <v>36</v>
      </c>
      <c r="J59" t="str">
        <f>IF(D59&gt;I59*3,"Overstock","OK")</f>
        <v>Overstock</v>
      </c>
      <c r="K59">
        <f>IFERROR(_xlfn.XLOOKUP(B59,purchase_orders!C:C,purchase_orders!I:I),0)</f>
        <v>202</v>
      </c>
      <c r="L59">
        <f>(D59+K59)/2</f>
        <v>202.5</v>
      </c>
      <c r="M59">
        <f t="shared" si="1"/>
        <v>0.18</v>
      </c>
      <c r="N59">
        <f>IFERROR(_xlfn.XLOOKUP(B59,products!A:A,products!E:E),0)</f>
        <v>74.819999999999993</v>
      </c>
      <c r="O59">
        <f t="shared" si="2"/>
        <v>15188.46</v>
      </c>
      <c r="P59" t="str">
        <f t="shared" si="3"/>
        <v>Normal</v>
      </c>
      <c r="Q59" t="str">
        <f>IFERROR(_xlfn.XLOOKUP(B59,reorder_point!B:B,reorder_point!I:I),"")</f>
        <v>OK</v>
      </c>
      <c r="R59" t="str">
        <f>_xlfn.XLOOKUP(B59,products!A:A,products!B:B)</f>
        <v>SKU-0028</v>
      </c>
    </row>
    <row r="60" spans="1:18">
      <c r="A60">
        <v>59</v>
      </c>
      <c r="B60">
        <v>28</v>
      </c>
      <c r="C60" t="s">
        <v>121</v>
      </c>
      <c r="D60">
        <v>485</v>
      </c>
      <c r="E60" s="1">
        <v>46114</v>
      </c>
      <c r="F60" s="1">
        <f>_xlfn.XLOOKUP(B60,purchase_orders!C:C,purchase_orders!G:G)</f>
        <v>46120</v>
      </c>
      <c r="G60" s="5">
        <f t="shared" ca="1" si="0"/>
        <v>44</v>
      </c>
      <c r="H60" s="2" t="str">
        <f ca="1">IF(G60&lt;=30,"0-30",IF(G60&lt;=60,"31-60",IF(G60&lt;=90,"61-90","90+")))</f>
        <v>31-60</v>
      </c>
      <c r="I60">
        <f>SUMIFS(order_items!D:D,order_items!C:C,inventory!B60)</f>
        <v>36</v>
      </c>
      <c r="J60" t="str">
        <f>IF(D60&gt;I60*3,"Overstock","OK")</f>
        <v>Overstock</v>
      </c>
      <c r="K60">
        <f>IFERROR(_xlfn.XLOOKUP(B60,purchase_orders!C:C,purchase_orders!I:I),0)</f>
        <v>202</v>
      </c>
      <c r="L60">
        <f>(D60+K60)/2</f>
        <v>343.5</v>
      </c>
      <c r="M60">
        <f t="shared" si="1"/>
        <v>0.1</v>
      </c>
      <c r="N60">
        <f>IFERROR(_xlfn.XLOOKUP(B60,products!A:A,products!E:E),0)</f>
        <v>74.819999999999993</v>
      </c>
      <c r="O60">
        <f t="shared" si="2"/>
        <v>36287.699999999997</v>
      </c>
      <c r="P60" t="str">
        <f t="shared" si="3"/>
        <v>Normal</v>
      </c>
      <c r="Q60" t="str">
        <f>IFERROR(_xlfn.XLOOKUP(B60,reorder_point!B:B,reorder_point!I:I),"")</f>
        <v>OK</v>
      </c>
      <c r="R60" t="str">
        <f>_xlfn.XLOOKUP(B60,products!A:A,products!B:B)</f>
        <v>SKU-0028</v>
      </c>
    </row>
    <row r="61" spans="1:18">
      <c r="A61">
        <v>60</v>
      </c>
      <c r="B61">
        <v>28</v>
      </c>
      <c r="C61" t="s">
        <v>119</v>
      </c>
      <c r="D61">
        <v>46</v>
      </c>
      <c r="E61" s="1">
        <v>46102</v>
      </c>
      <c r="F61" s="1">
        <f>_xlfn.XLOOKUP(B61,purchase_orders!C:C,purchase_orders!G:G)</f>
        <v>46120</v>
      </c>
      <c r="G61" s="5">
        <f t="shared" ca="1" si="0"/>
        <v>44</v>
      </c>
      <c r="H61" s="2" t="str">
        <f ca="1">IF(G61&lt;=30,"0-30",IF(G61&lt;=60,"31-60",IF(G61&lt;=90,"61-90","90+")))</f>
        <v>31-60</v>
      </c>
      <c r="I61">
        <f>SUMIFS(order_items!D:D,order_items!C:C,inventory!B61)</f>
        <v>36</v>
      </c>
      <c r="J61" t="str">
        <f>IF(D61&gt;I61*3,"Overstock","OK")</f>
        <v>OK</v>
      </c>
      <c r="K61">
        <f>IFERROR(_xlfn.XLOOKUP(B61,purchase_orders!C:C,purchase_orders!I:I),0)</f>
        <v>202</v>
      </c>
      <c r="L61">
        <f>(D61+K61)/2</f>
        <v>124</v>
      </c>
      <c r="M61">
        <f t="shared" si="1"/>
        <v>0.28999999999999998</v>
      </c>
      <c r="N61">
        <f>IFERROR(_xlfn.XLOOKUP(B61,products!A:A,products!E:E),0)</f>
        <v>74.819999999999993</v>
      </c>
      <c r="O61">
        <f t="shared" si="2"/>
        <v>3441.72</v>
      </c>
      <c r="P61" t="str">
        <f t="shared" si="3"/>
        <v>Normal</v>
      </c>
      <c r="Q61" t="str">
        <f>IFERROR(_xlfn.XLOOKUP(B61,reorder_point!B:B,reorder_point!I:I),"")</f>
        <v>OK</v>
      </c>
      <c r="R61" t="str">
        <f>_xlfn.XLOOKUP(B61,products!A:A,products!B:B)</f>
        <v>SKU-0028</v>
      </c>
    </row>
    <row r="62" spans="1:18">
      <c r="A62">
        <v>61</v>
      </c>
      <c r="B62">
        <v>29</v>
      </c>
      <c r="C62" t="s">
        <v>119</v>
      </c>
      <c r="D62">
        <v>170</v>
      </c>
      <c r="E62" s="1">
        <v>46135</v>
      </c>
      <c r="F62" s="1">
        <f>_xlfn.XLOOKUP(B62,purchase_orders!C:C,purchase_orders!G:G)</f>
        <v>46140</v>
      </c>
      <c r="G62" s="5">
        <f t="shared" ca="1" si="0"/>
        <v>24</v>
      </c>
      <c r="H62" s="2" t="str">
        <f ca="1">IF(G62&lt;=30,"0-30",IF(G62&lt;=60,"31-60",IF(G62&lt;=90,"61-90","90+")))</f>
        <v>0-30</v>
      </c>
      <c r="I62">
        <f>SUMIFS(order_items!D:D,order_items!C:C,inventory!B62)</f>
        <v>42</v>
      </c>
      <c r="J62" t="str">
        <f>IF(D62&gt;I62*3,"Overstock","OK")</f>
        <v>Overstock</v>
      </c>
      <c r="K62">
        <f>IFERROR(_xlfn.XLOOKUP(B62,purchase_orders!C:C,purchase_orders!I:I),0)</f>
        <v>633</v>
      </c>
      <c r="L62">
        <f>(D62+K62)/2</f>
        <v>401.5</v>
      </c>
      <c r="M62">
        <f t="shared" si="1"/>
        <v>0.1</v>
      </c>
      <c r="N62">
        <f>IFERROR(_xlfn.XLOOKUP(B62,products!A:A,products!E:E),0)</f>
        <v>48.38</v>
      </c>
      <c r="O62">
        <f t="shared" si="2"/>
        <v>8224.6</v>
      </c>
      <c r="P62" t="str">
        <f t="shared" si="3"/>
        <v>Normal</v>
      </c>
      <c r="Q62" t="str">
        <f>IFERROR(_xlfn.XLOOKUP(B62,reorder_point!B:B,reorder_point!I:I),"")</f>
        <v>OK</v>
      </c>
      <c r="R62" t="str">
        <f>_xlfn.XLOOKUP(B62,products!A:A,products!B:B)</f>
        <v>SKU-0029</v>
      </c>
    </row>
    <row r="63" spans="1:18">
      <c r="A63">
        <v>62</v>
      </c>
      <c r="B63">
        <v>29</v>
      </c>
      <c r="C63" t="s">
        <v>121</v>
      </c>
      <c r="D63">
        <v>402</v>
      </c>
      <c r="E63" s="1">
        <v>46139</v>
      </c>
      <c r="F63" s="1">
        <f>_xlfn.XLOOKUP(B63,purchase_orders!C:C,purchase_orders!G:G)</f>
        <v>46140</v>
      </c>
      <c r="G63" s="5">
        <f t="shared" ca="1" si="0"/>
        <v>24</v>
      </c>
      <c r="H63" s="2" t="str">
        <f ca="1">IF(G63&lt;=30,"0-30",IF(G63&lt;=60,"31-60",IF(G63&lt;=90,"61-90","90+")))</f>
        <v>0-30</v>
      </c>
      <c r="I63">
        <f>SUMIFS(order_items!D:D,order_items!C:C,inventory!B63)</f>
        <v>42</v>
      </c>
      <c r="J63" t="str">
        <f>IF(D63&gt;I63*3,"Overstock","OK")</f>
        <v>Overstock</v>
      </c>
      <c r="K63">
        <f>IFERROR(_xlfn.XLOOKUP(B63,purchase_orders!C:C,purchase_orders!I:I),0)</f>
        <v>633</v>
      </c>
      <c r="L63">
        <f>(D63+K63)/2</f>
        <v>517.5</v>
      </c>
      <c r="M63">
        <f t="shared" si="1"/>
        <v>0.08</v>
      </c>
      <c r="N63">
        <f>IFERROR(_xlfn.XLOOKUP(B63,products!A:A,products!E:E),0)</f>
        <v>48.38</v>
      </c>
      <c r="O63">
        <f t="shared" si="2"/>
        <v>19448.760000000002</v>
      </c>
      <c r="P63" t="str">
        <f t="shared" si="3"/>
        <v>Normal</v>
      </c>
      <c r="Q63" t="str">
        <f>IFERROR(_xlfn.XLOOKUP(B63,reorder_point!B:B,reorder_point!I:I),"")</f>
        <v>OK</v>
      </c>
      <c r="R63" t="str">
        <f>_xlfn.XLOOKUP(B63,products!A:A,products!B:B)</f>
        <v>SKU-0029</v>
      </c>
    </row>
    <row r="64" spans="1:18">
      <c r="A64">
        <v>63</v>
      </c>
      <c r="B64">
        <v>29</v>
      </c>
      <c r="C64" t="s">
        <v>117</v>
      </c>
      <c r="D64">
        <v>424</v>
      </c>
      <c r="E64" s="1">
        <v>46130</v>
      </c>
      <c r="F64" s="1">
        <f>_xlfn.XLOOKUP(B64,purchase_orders!C:C,purchase_orders!G:G)</f>
        <v>46140</v>
      </c>
      <c r="G64" s="5">
        <f t="shared" ca="1" si="0"/>
        <v>24</v>
      </c>
      <c r="H64" s="2" t="str">
        <f ca="1">IF(G64&lt;=30,"0-30",IF(G64&lt;=60,"31-60",IF(G64&lt;=90,"61-90","90+")))</f>
        <v>0-30</v>
      </c>
      <c r="I64">
        <f>SUMIFS(order_items!D:D,order_items!C:C,inventory!B64)</f>
        <v>42</v>
      </c>
      <c r="J64" t="str">
        <f>IF(D64&gt;I64*3,"Overstock","OK")</f>
        <v>Overstock</v>
      </c>
      <c r="K64">
        <f>IFERROR(_xlfn.XLOOKUP(B64,purchase_orders!C:C,purchase_orders!I:I),0)</f>
        <v>633</v>
      </c>
      <c r="L64">
        <f>(D64+K64)/2</f>
        <v>528.5</v>
      </c>
      <c r="M64">
        <f t="shared" si="1"/>
        <v>0.08</v>
      </c>
      <c r="N64">
        <f>IFERROR(_xlfn.XLOOKUP(B64,products!A:A,products!E:E),0)</f>
        <v>48.38</v>
      </c>
      <c r="O64">
        <f t="shared" si="2"/>
        <v>20513.120000000003</v>
      </c>
      <c r="P64" t="str">
        <f t="shared" si="3"/>
        <v>Normal</v>
      </c>
      <c r="Q64" t="str">
        <f>IFERROR(_xlfn.XLOOKUP(B64,reorder_point!B:B,reorder_point!I:I),"")</f>
        <v>OK</v>
      </c>
      <c r="R64" t="str">
        <f>_xlfn.XLOOKUP(B64,products!A:A,products!B:B)</f>
        <v>SKU-0029</v>
      </c>
    </row>
    <row r="65" spans="1:18">
      <c r="A65">
        <v>64</v>
      </c>
      <c r="B65">
        <v>30</v>
      </c>
      <c r="C65" t="s">
        <v>118</v>
      </c>
      <c r="D65">
        <v>396</v>
      </c>
      <c r="E65" s="1">
        <v>46086</v>
      </c>
      <c r="F65" s="1">
        <f>_xlfn.XLOOKUP(B65,purchase_orders!C:C,purchase_orders!G:G)</f>
        <v>46152</v>
      </c>
      <c r="G65" s="5">
        <f t="shared" ca="1" si="0"/>
        <v>12</v>
      </c>
      <c r="H65" s="2" t="str">
        <f ca="1">IF(G65&lt;=30,"0-30",IF(G65&lt;=60,"31-60",IF(G65&lt;=90,"61-90","90+")))</f>
        <v>0-30</v>
      </c>
      <c r="I65">
        <f>SUMIFS(order_items!D:D,order_items!C:C,inventory!B65)</f>
        <v>20</v>
      </c>
      <c r="J65" t="str">
        <f>IF(D65&gt;I65*3,"Overstock","OK")</f>
        <v>Overstock</v>
      </c>
      <c r="K65">
        <f>IFERROR(_xlfn.XLOOKUP(B65,purchase_orders!C:C,purchase_orders!I:I),0)</f>
        <v>578</v>
      </c>
      <c r="L65">
        <f>(D65+K65)/2</f>
        <v>487</v>
      </c>
      <c r="M65">
        <f t="shared" si="1"/>
        <v>0.04</v>
      </c>
      <c r="N65">
        <f>IFERROR(_xlfn.XLOOKUP(B65,products!A:A,products!E:E),0)</f>
        <v>43.54</v>
      </c>
      <c r="O65">
        <f t="shared" si="2"/>
        <v>17241.84</v>
      </c>
      <c r="P65" t="str">
        <f t="shared" si="3"/>
        <v>Normal</v>
      </c>
      <c r="Q65" t="str">
        <f>IFERROR(_xlfn.XLOOKUP(B65,reorder_point!B:B,reorder_point!I:I),"")</f>
        <v>OK</v>
      </c>
      <c r="R65" t="str">
        <f>_xlfn.XLOOKUP(B65,products!A:A,products!B:B)</f>
        <v>SKU-0030</v>
      </c>
    </row>
    <row r="66" spans="1:18">
      <c r="A66">
        <v>65</v>
      </c>
      <c r="B66">
        <v>30</v>
      </c>
      <c r="C66" t="s">
        <v>121</v>
      </c>
      <c r="D66">
        <v>0</v>
      </c>
      <c r="E66" s="1">
        <v>46135</v>
      </c>
      <c r="F66" s="1">
        <f>_xlfn.XLOOKUP(B66,purchase_orders!C:C,purchase_orders!G:G)</f>
        <v>46152</v>
      </c>
      <c r="G66" s="5">
        <f t="shared" ca="1" si="0"/>
        <v>12</v>
      </c>
      <c r="H66" s="2" t="str">
        <f ca="1">IF(G66&lt;=30,"0-30",IF(G66&lt;=60,"31-60",IF(G66&lt;=90,"61-90","90+")))</f>
        <v>0-30</v>
      </c>
      <c r="I66">
        <f>SUMIFS(order_items!D:D,order_items!C:C,inventory!B66)</f>
        <v>20</v>
      </c>
      <c r="J66" t="str">
        <f>IF(D66&gt;I66*3,"Overstock","OK")</f>
        <v>OK</v>
      </c>
      <c r="K66">
        <f>IFERROR(_xlfn.XLOOKUP(B66,purchase_orders!C:C,purchase_orders!I:I),0)</f>
        <v>578</v>
      </c>
      <c r="L66">
        <f>(D66+K66)/2</f>
        <v>289</v>
      </c>
      <c r="M66">
        <f t="shared" si="1"/>
        <v>7.0000000000000007E-2</v>
      </c>
      <c r="N66">
        <f>IFERROR(_xlfn.XLOOKUP(B66,products!A:A,products!E:E),0)</f>
        <v>43.54</v>
      </c>
      <c r="O66">
        <f t="shared" si="2"/>
        <v>0</v>
      </c>
      <c r="P66" t="str">
        <f t="shared" si="3"/>
        <v>Normal</v>
      </c>
      <c r="Q66" t="str">
        <f>IFERROR(_xlfn.XLOOKUP(B66,reorder_point!B:B,reorder_point!I:I),"")</f>
        <v>OK</v>
      </c>
      <c r="R66" t="str">
        <f>_xlfn.XLOOKUP(B66,products!A:A,products!B:B)</f>
        <v>SKU-0030</v>
      </c>
    </row>
    <row r="67" spans="1:18">
      <c r="A67">
        <v>66</v>
      </c>
      <c r="B67">
        <v>30</v>
      </c>
      <c r="C67" t="s">
        <v>118</v>
      </c>
      <c r="D67">
        <v>276</v>
      </c>
      <c r="E67" s="1">
        <v>46132</v>
      </c>
      <c r="F67" s="1">
        <f>_xlfn.XLOOKUP(B67,purchase_orders!C:C,purchase_orders!G:G)</f>
        <v>46152</v>
      </c>
      <c r="G67" s="5">
        <f t="shared" ref="G67:G130" ca="1" si="4">TODAY()-F67</f>
        <v>12</v>
      </c>
      <c r="H67" s="2" t="str">
        <f ca="1">IF(G67&lt;=30,"0-30",IF(G67&lt;=60,"31-60",IF(G67&lt;=90,"61-90","90+")))</f>
        <v>0-30</v>
      </c>
      <c r="I67">
        <f>SUMIFS(order_items!D:D,order_items!C:C,inventory!B67)</f>
        <v>20</v>
      </c>
      <c r="J67" t="str">
        <f>IF(D67&gt;I67*3,"Overstock","OK")</f>
        <v>Overstock</v>
      </c>
      <c r="K67">
        <f>IFERROR(_xlfn.XLOOKUP(B67,purchase_orders!C:C,purchase_orders!I:I),0)</f>
        <v>578</v>
      </c>
      <c r="L67">
        <f>(D67+K67)/2</f>
        <v>427</v>
      </c>
      <c r="M67">
        <f t="shared" ref="M67:M130" si="5">IFERROR(ROUND(I67/L67,2),0)</f>
        <v>0.05</v>
      </c>
      <c r="N67">
        <f>IFERROR(_xlfn.XLOOKUP(B67,products!A:A,products!E:E),0)</f>
        <v>43.54</v>
      </c>
      <c r="O67">
        <f t="shared" ref="O67:O130" si="6">IF(N67="NULL",0,N67*D67)</f>
        <v>12017.039999999999</v>
      </c>
      <c r="P67" t="str">
        <f t="shared" ref="P67:P130" si="7">IF(I67&lt;10,"Slow Moving","Normal")</f>
        <v>Normal</v>
      </c>
      <c r="Q67" t="str">
        <f>IFERROR(_xlfn.XLOOKUP(B67,reorder_point!B:B,reorder_point!I:I),"")</f>
        <v>OK</v>
      </c>
      <c r="R67" t="str">
        <f>_xlfn.XLOOKUP(B67,products!A:A,products!B:B)</f>
        <v>SKU-0030</v>
      </c>
    </row>
    <row r="68" spans="1:18">
      <c r="A68">
        <v>67</v>
      </c>
      <c r="B68">
        <v>31</v>
      </c>
      <c r="C68" t="s">
        <v>119</v>
      </c>
      <c r="D68">
        <v>0</v>
      </c>
      <c r="E68" s="1">
        <v>46106</v>
      </c>
      <c r="F68" s="1" t="e">
        <f>_xlfn.XLOOKUP(B68,purchase_orders!C:C,purchase_orders!G:G)</f>
        <v>#N/A</v>
      </c>
      <c r="G68" s="5" t="e">
        <f t="shared" ca="1" si="4"/>
        <v>#N/A</v>
      </c>
      <c r="H68" s="2" t="e">
        <f ca="1">IF(G68&lt;=30,"0-30",IF(G68&lt;=60,"31-60",IF(G68&lt;=90,"61-90","90+")))</f>
        <v>#N/A</v>
      </c>
      <c r="I68">
        <f>SUMIFS(order_items!D:D,order_items!C:C,inventory!B68)</f>
        <v>15</v>
      </c>
      <c r="J68" t="str">
        <f>IF(D68&gt;I68*3,"Overstock","OK")</f>
        <v>OK</v>
      </c>
      <c r="K68">
        <f>IFERROR(_xlfn.XLOOKUP(B68,purchase_orders!C:C,purchase_orders!I:I),0)</f>
        <v>0</v>
      </c>
      <c r="L68">
        <f>(D68+K68)/2</f>
        <v>0</v>
      </c>
      <c r="M68">
        <f t="shared" si="5"/>
        <v>0</v>
      </c>
      <c r="N68">
        <f>IFERROR(_xlfn.XLOOKUP(B68,products!A:A,products!E:E),0)</f>
        <v>155.44</v>
      </c>
      <c r="O68">
        <f t="shared" si="6"/>
        <v>0</v>
      </c>
      <c r="P68" t="str">
        <f t="shared" si="7"/>
        <v>Normal</v>
      </c>
      <c r="Q68" t="str">
        <f>IFERROR(_xlfn.XLOOKUP(B68,reorder_point!B:B,reorder_point!I:I),"")</f>
        <v/>
      </c>
      <c r="R68" t="str">
        <f>_xlfn.XLOOKUP(B68,products!A:A,products!B:B)</f>
        <v>SKU-0031</v>
      </c>
    </row>
    <row r="69" spans="1:18">
      <c r="A69">
        <v>68</v>
      </c>
      <c r="B69">
        <v>32</v>
      </c>
      <c r="C69" t="s">
        <v>119</v>
      </c>
      <c r="D69">
        <v>135</v>
      </c>
      <c r="E69" s="1">
        <v>46096</v>
      </c>
      <c r="F69" s="1">
        <f>_xlfn.XLOOKUP(B69,purchase_orders!C:C,purchase_orders!G:G)</f>
        <v>46064</v>
      </c>
      <c r="G69" s="5">
        <f t="shared" ca="1" si="4"/>
        <v>100</v>
      </c>
      <c r="H69" s="2" t="str">
        <f ca="1">IF(G69&lt;=30,"0-30",IF(G69&lt;=60,"31-60",IF(G69&lt;=90,"61-90","90+")))</f>
        <v>90+</v>
      </c>
      <c r="I69">
        <f>SUMIFS(order_items!D:D,order_items!C:C,inventory!B69)</f>
        <v>23</v>
      </c>
      <c r="J69" t="str">
        <f>IF(D69&gt;I69*3,"Overstock","OK")</f>
        <v>Overstock</v>
      </c>
      <c r="K69">
        <f>IFERROR(_xlfn.XLOOKUP(B69,purchase_orders!C:C,purchase_orders!I:I),0)</f>
        <v>752</v>
      </c>
      <c r="L69">
        <f>(D69+K69)/2</f>
        <v>443.5</v>
      </c>
      <c r="M69">
        <f t="shared" si="5"/>
        <v>0.05</v>
      </c>
      <c r="N69">
        <f>IFERROR(_xlfn.XLOOKUP(B69,products!A:A,products!E:E),0)</f>
        <v>99.37</v>
      </c>
      <c r="O69">
        <f t="shared" si="6"/>
        <v>13414.95</v>
      </c>
      <c r="P69" t="str">
        <f t="shared" si="7"/>
        <v>Normal</v>
      </c>
      <c r="Q69" t="str">
        <f>IFERROR(_xlfn.XLOOKUP(B69,reorder_point!B:B,reorder_point!I:I),"")</f>
        <v>OK</v>
      </c>
      <c r="R69" t="str">
        <f>_xlfn.XLOOKUP(B69,products!A:A,products!B:B)</f>
        <v>SKU-0032</v>
      </c>
    </row>
    <row r="70" spans="1:18">
      <c r="A70">
        <v>69</v>
      </c>
      <c r="B70">
        <v>32</v>
      </c>
      <c r="C70" t="s">
        <v>118</v>
      </c>
      <c r="D70">
        <v>215</v>
      </c>
      <c r="E70" s="1">
        <v>46096</v>
      </c>
      <c r="F70" s="1">
        <f>_xlfn.XLOOKUP(B70,purchase_orders!C:C,purchase_orders!G:G)</f>
        <v>46064</v>
      </c>
      <c r="G70" s="5">
        <f t="shared" ca="1" si="4"/>
        <v>100</v>
      </c>
      <c r="H70" s="2" t="str">
        <f ca="1">IF(G70&lt;=30,"0-30",IF(G70&lt;=60,"31-60",IF(G70&lt;=90,"61-90","90+")))</f>
        <v>90+</v>
      </c>
      <c r="I70">
        <f>SUMIFS(order_items!D:D,order_items!C:C,inventory!B70)</f>
        <v>23</v>
      </c>
      <c r="J70" t="str">
        <f>IF(D70&gt;I70*3,"Overstock","OK")</f>
        <v>Overstock</v>
      </c>
      <c r="K70">
        <f>IFERROR(_xlfn.XLOOKUP(B70,purchase_orders!C:C,purchase_orders!I:I),0)</f>
        <v>752</v>
      </c>
      <c r="L70">
        <f>(D70+K70)/2</f>
        <v>483.5</v>
      </c>
      <c r="M70">
        <f t="shared" si="5"/>
        <v>0.05</v>
      </c>
      <c r="N70">
        <f>IFERROR(_xlfn.XLOOKUP(B70,products!A:A,products!E:E),0)</f>
        <v>99.37</v>
      </c>
      <c r="O70">
        <f t="shared" si="6"/>
        <v>21364.55</v>
      </c>
      <c r="P70" t="str">
        <f t="shared" si="7"/>
        <v>Normal</v>
      </c>
      <c r="Q70" t="str">
        <f>IFERROR(_xlfn.XLOOKUP(B70,reorder_point!B:B,reorder_point!I:I),"")</f>
        <v>OK</v>
      </c>
      <c r="R70" t="str">
        <f>_xlfn.XLOOKUP(B70,products!A:A,products!B:B)</f>
        <v>SKU-0032</v>
      </c>
    </row>
    <row r="71" spans="1:18">
      <c r="A71">
        <v>70</v>
      </c>
      <c r="B71">
        <v>33</v>
      </c>
      <c r="C71" t="s">
        <v>117</v>
      </c>
      <c r="D71">
        <v>229</v>
      </c>
      <c r="E71" s="1">
        <v>46111</v>
      </c>
      <c r="F71" s="1" t="str">
        <f>_xlfn.XLOOKUP(B71,purchase_orders!C:C,purchase_orders!G:G)</f>
        <v>NULL</v>
      </c>
      <c r="G71" s="5" t="e">
        <f t="shared" ca="1" si="4"/>
        <v>#VALUE!</v>
      </c>
      <c r="H71" s="2" t="e">
        <f ca="1">IF(G71&lt;=30,"0-30",IF(G71&lt;=60,"31-60",IF(G71&lt;=90,"61-90","90+")))</f>
        <v>#VALUE!</v>
      </c>
      <c r="I71">
        <f>SUMIFS(order_items!D:D,order_items!C:C,inventory!B71)</f>
        <v>22</v>
      </c>
      <c r="J71" t="str">
        <f>IF(D71&gt;I71*3,"Overstock","OK")</f>
        <v>Overstock</v>
      </c>
      <c r="K71">
        <f>IFERROR(_xlfn.XLOOKUP(B71,purchase_orders!C:C,purchase_orders!I:I),0)</f>
        <v>0</v>
      </c>
      <c r="L71">
        <f>(D71+K71)/2</f>
        <v>114.5</v>
      </c>
      <c r="M71">
        <f t="shared" si="5"/>
        <v>0.19</v>
      </c>
      <c r="N71">
        <f>IFERROR(_xlfn.XLOOKUP(B71,products!A:A,products!E:E),0)</f>
        <v>38.32</v>
      </c>
      <c r="O71">
        <f t="shared" si="6"/>
        <v>8775.2800000000007</v>
      </c>
      <c r="P71" t="str">
        <f t="shared" si="7"/>
        <v>Normal</v>
      </c>
      <c r="Q71" t="str">
        <f>IFERROR(_xlfn.XLOOKUP(B71,reorder_point!B:B,reorder_point!I:I),"")</f>
        <v/>
      </c>
      <c r="R71" t="str">
        <f>_xlfn.XLOOKUP(B71,products!A:A,products!B:B)</f>
        <v>SKU-0033</v>
      </c>
    </row>
    <row r="72" spans="1:18">
      <c r="A72">
        <v>71</v>
      </c>
      <c r="B72">
        <v>34</v>
      </c>
      <c r="C72" t="s">
        <v>119</v>
      </c>
      <c r="D72">
        <v>113</v>
      </c>
      <c r="E72" s="1">
        <v>46141</v>
      </c>
      <c r="F72" s="1">
        <f>_xlfn.XLOOKUP(B72,purchase_orders!C:C,purchase_orders!G:G)</f>
        <v>46107</v>
      </c>
      <c r="G72" s="5">
        <f t="shared" ca="1" si="4"/>
        <v>57</v>
      </c>
      <c r="H72" s="2" t="str">
        <f ca="1">IF(G72&lt;=30,"0-30",IF(G72&lt;=60,"31-60",IF(G72&lt;=90,"61-90","90+")))</f>
        <v>31-60</v>
      </c>
      <c r="I72">
        <f>SUMIFS(order_items!D:D,order_items!C:C,inventory!B72)</f>
        <v>29</v>
      </c>
      <c r="J72" t="str">
        <f>IF(D72&gt;I72*3,"Overstock","OK")</f>
        <v>Overstock</v>
      </c>
      <c r="K72">
        <f>IFERROR(_xlfn.XLOOKUP(B72,purchase_orders!C:C,purchase_orders!I:I),0)</f>
        <v>656</v>
      </c>
      <c r="L72">
        <f>(D72+K72)/2</f>
        <v>384.5</v>
      </c>
      <c r="M72">
        <f t="shared" si="5"/>
        <v>0.08</v>
      </c>
      <c r="N72">
        <f>IFERROR(_xlfn.XLOOKUP(B72,products!A:A,products!E:E),0)</f>
        <v>86.73</v>
      </c>
      <c r="O72">
        <f t="shared" si="6"/>
        <v>9800.49</v>
      </c>
      <c r="P72" t="str">
        <f t="shared" si="7"/>
        <v>Normal</v>
      </c>
      <c r="Q72" t="str">
        <f>IFERROR(_xlfn.XLOOKUP(B72,reorder_point!B:B,reorder_point!I:I),"")</f>
        <v>OK</v>
      </c>
      <c r="R72" t="str">
        <f>_xlfn.XLOOKUP(B72,products!A:A,products!B:B)</f>
        <v>SKU-0034</v>
      </c>
    </row>
    <row r="73" spans="1:18">
      <c r="A73">
        <v>72</v>
      </c>
      <c r="B73">
        <v>34</v>
      </c>
      <c r="C73" t="s">
        <v>117</v>
      </c>
      <c r="D73">
        <v>372</v>
      </c>
      <c r="E73" s="1">
        <v>46088</v>
      </c>
      <c r="F73" s="1">
        <f>_xlfn.XLOOKUP(B73,purchase_orders!C:C,purchase_orders!G:G)</f>
        <v>46107</v>
      </c>
      <c r="G73" s="5">
        <f t="shared" ca="1" si="4"/>
        <v>57</v>
      </c>
      <c r="H73" s="2" t="str">
        <f ca="1">IF(G73&lt;=30,"0-30",IF(G73&lt;=60,"31-60",IF(G73&lt;=90,"61-90","90+")))</f>
        <v>31-60</v>
      </c>
      <c r="I73">
        <f>SUMIFS(order_items!D:D,order_items!C:C,inventory!B73)</f>
        <v>29</v>
      </c>
      <c r="J73" t="str">
        <f>IF(D73&gt;I73*3,"Overstock","OK")</f>
        <v>Overstock</v>
      </c>
      <c r="K73">
        <f>IFERROR(_xlfn.XLOOKUP(B73,purchase_orders!C:C,purchase_orders!I:I),0)</f>
        <v>656</v>
      </c>
      <c r="L73">
        <f>(D73+K73)/2</f>
        <v>514</v>
      </c>
      <c r="M73">
        <f t="shared" si="5"/>
        <v>0.06</v>
      </c>
      <c r="N73">
        <f>IFERROR(_xlfn.XLOOKUP(B73,products!A:A,products!E:E),0)</f>
        <v>86.73</v>
      </c>
      <c r="O73">
        <f t="shared" si="6"/>
        <v>32263.56</v>
      </c>
      <c r="P73" t="str">
        <f t="shared" si="7"/>
        <v>Normal</v>
      </c>
      <c r="Q73" t="str">
        <f>IFERROR(_xlfn.XLOOKUP(B73,reorder_point!B:B,reorder_point!I:I),"")</f>
        <v>OK</v>
      </c>
      <c r="R73" t="str">
        <f>_xlfn.XLOOKUP(B73,products!A:A,products!B:B)</f>
        <v>SKU-0034</v>
      </c>
    </row>
    <row r="74" spans="1:18">
      <c r="A74">
        <v>73</v>
      </c>
      <c r="B74">
        <v>34</v>
      </c>
      <c r="C74" t="s">
        <v>120</v>
      </c>
      <c r="D74">
        <v>337</v>
      </c>
      <c r="E74" s="1">
        <v>46114</v>
      </c>
      <c r="F74" s="1">
        <f>_xlfn.XLOOKUP(B74,purchase_orders!C:C,purchase_orders!G:G)</f>
        <v>46107</v>
      </c>
      <c r="G74" s="5">
        <f t="shared" ca="1" si="4"/>
        <v>57</v>
      </c>
      <c r="H74" s="2" t="str">
        <f ca="1">IF(G74&lt;=30,"0-30",IF(G74&lt;=60,"31-60",IF(G74&lt;=90,"61-90","90+")))</f>
        <v>31-60</v>
      </c>
      <c r="I74">
        <f>SUMIFS(order_items!D:D,order_items!C:C,inventory!B74)</f>
        <v>29</v>
      </c>
      <c r="J74" t="str">
        <f>IF(D74&gt;I74*3,"Overstock","OK")</f>
        <v>Overstock</v>
      </c>
      <c r="K74">
        <f>IFERROR(_xlfn.XLOOKUP(B74,purchase_orders!C:C,purchase_orders!I:I),0)</f>
        <v>656</v>
      </c>
      <c r="L74">
        <f>(D74+K74)/2</f>
        <v>496.5</v>
      </c>
      <c r="M74">
        <f t="shared" si="5"/>
        <v>0.06</v>
      </c>
      <c r="N74">
        <f>IFERROR(_xlfn.XLOOKUP(B74,products!A:A,products!E:E),0)</f>
        <v>86.73</v>
      </c>
      <c r="O74">
        <f t="shared" si="6"/>
        <v>29228.010000000002</v>
      </c>
      <c r="P74" t="str">
        <f t="shared" si="7"/>
        <v>Normal</v>
      </c>
      <c r="Q74" t="str">
        <f>IFERROR(_xlfn.XLOOKUP(B74,reorder_point!B:B,reorder_point!I:I),"")</f>
        <v>OK</v>
      </c>
      <c r="R74" t="str">
        <f>_xlfn.XLOOKUP(B74,products!A:A,products!B:B)</f>
        <v>SKU-0034</v>
      </c>
    </row>
    <row r="75" spans="1:18">
      <c r="A75">
        <v>74</v>
      </c>
      <c r="B75">
        <v>35</v>
      </c>
      <c r="C75" t="s">
        <v>119</v>
      </c>
      <c r="D75">
        <v>433</v>
      </c>
      <c r="E75" s="1">
        <v>46100</v>
      </c>
      <c r="F75" s="1">
        <f>_xlfn.XLOOKUP(B75,purchase_orders!C:C,purchase_orders!G:G)</f>
        <v>46022</v>
      </c>
      <c r="G75" s="5">
        <f t="shared" ca="1" si="4"/>
        <v>142</v>
      </c>
      <c r="H75" s="2" t="str">
        <f ca="1">IF(G75&lt;=30,"0-30",IF(G75&lt;=60,"31-60",IF(G75&lt;=90,"61-90","90+")))</f>
        <v>90+</v>
      </c>
      <c r="I75">
        <f>SUMIFS(order_items!D:D,order_items!C:C,inventory!B75)</f>
        <v>61</v>
      </c>
      <c r="J75" t="str">
        <f>IF(D75&gt;I75*3,"Overstock","OK")</f>
        <v>Overstock</v>
      </c>
      <c r="K75">
        <f>IFERROR(_xlfn.XLOOKUP(B75,purchase_orders!C:C,purchase_orders!I:I),0)</f>
        <v>128</v>
      </c>
      <c r="L75">
        <f>(D75+K75)/2</f>
        <v>280.5</v>
      </c>
      <c r="M75">
        <f t="shared" si="5"/>
        <v>0.22</v>
      </c>
      <c r="N75">
        <f>IFERROR(_xlfn.XLOOKUP(B75,products!A:A,products!E:E),0)</f>
        <v>145.1</v>
      </c>
      <c r="O75">
        <f t="shared" si="6"/>
        <v>62828.299999999996</v>
      </c>
      <c r="P75" t="str">
        <f t="shared" si="7"/>
        <v>Normal</v>
      </c>
      <c r="Q75" t="str">
        <f>IFERROR(_xlfn.XLOOKUP(B75,reorder_point!B:B,reorder_point!I:I),"")</f>
        <v>OK</v>
      </c>
      <c r="R75" t="str">
        <f>_xlfn.XLOOKUP(B75,products!A:A,products!B:B)</f>
        <v>SKU-0035</v>
      </c>
    </row>
    <row r="76" spans="1:18">
      <c r="A76">
        <v>75</v>
      </c>
      <c r="B76">
        <v>35</v>
      </c>
      <c r="C76" t="s">
        <v>121</v>
      </c>
      <c r="D76">
        <v>55</v>
      </c>
      <c r="E76" s="1">
        <v>46085</v>
      </c>
      <c r="F76" s="1">
        <f>_xlfn.XLOOKUP(B76,purchase_orders!C:C,purchase_orders!G:G)</f>
        <v>46022</v>
      </c>
      <c r="G76" s="5">
        <f t="shared" ca="1" si="4"/>
        <v>142</v>
      </c>
      <c r="H76" s="2" t="str">
        <f ca="1">IF(G76&lt;=30,"0-30",IF(G76&lt;=60,"31-60",IF(G76&lt;=90,"61-90","90+")))</f>
        <v>90+</v>
      </c>
      <c r="I76">
        <f>SUMIFS(order_items!D:D,order_items!C:C,inventory!B76)</f>
        <v>61</v>
      </c>
      <c r="J76" t="str">
        <f>IF(D76&gt;I76*3,"Overstock","OK")</f>
        <v>OK</v>
      </c>
      <c r="K76">
        <f>IFERROR(_xlfn.XLOOKUP(B76,purchase_orders!C:C,purchase_orders!I:I),0)</f>
        <v>128</v>
      </c>
      <c r="L76">
        <f>(D76+K76)/2</f>
        <v>91.5</v>
      </c>
      <c r="M76">
        <f t="shared" si="5"/>
        <v>0.67</v>
      </c>
      <c r="N76">
        <f>IFERROR(_xlfn.XLOOKUP(B76,products!A:A,products!E:E),0)</f>
        <v>145.1</v>
      </c>
      <c r="O76">
        <f t="shared" si="6"/>
        <v>7980.5</v>
      </c>
      <c r="P76" t="str">
        <f t="shared" si="7"/>
        <v>Normal</v>
      </c>
      <c r="Q76" t="str">
        <f>IFERROR(_xlfn.XLOOKUP(B76,reorder_point!B:B,reorder_point!I:I),"")</f>
        <v>OK</v>
      </c>
      <c r="R76" t="str">
        <f>_xlfn.XLOOKUP(B76,products!A:A,products!B:B)</f>
        <v>SKU-0035</v>
      </c>
    </row>
    <row r="77" spans="1:18">
      <c r="A77">
        <v>76</v>
      </c>
      <c r="B77">
        <v>35</v>
      </c>
      <c r="C77" t="s">
        <v>118</v>
      </c>
      <c r="D77">
        <v>227</v>
      </c>
      <c r="E77" s="1">
        <v>46138</v>
      </c>
      <c r="F77" s="1">
        <f>_xlfn.XLOOKUP(B77,purchase_orders!C:C,purchase_orders!G:G)</f>
        <v>46022</v>
      </c>
      <c r="G77" s="5">
        <f t="shared" ca="1" si="4"/>
        <v>142</v>
      </c>
      <c r="H77" s="2" t="str">
        <f ca="1">IF(G77&lt;=30,"0-30",IF(G77&lt;=60,"31-60",IF(G77&lt;=90,"61-90","90+")))</f>
        <v>90+</v>
      </c>
      <c r="I77">
        <f>SUMIFS(order_items!D:D,order_items!C:C,inventory!B77)</f>
        <v>61</v>
      </c>
      <c r="J77" t="str">
        <f>IF(D77&gt;I77*3,"Overstock","OK")</f>
        <v>Overstock</v>
      </c>
      <c r="K77">
        <f>IFERROR(_xlfn.XLOOKUP(B77,purchase_orders!C:C,purchase_orders!I:I),0)</f>
        <v>128</v>
      </c>
      <c r="L77">
        <f>(D77+K77)/2</f>
        <v>177.5</v>
      </c>
      <c r="M77">
        <f t="shared" si="5"/>
        <v>0.34</v>
      </c>
      <c r="N77">
        <f>IFERROR(_xlfn.XLOOKUP(B77,products!A:A,products!E:E),0)</f>
        <v>145.1</v>
      </c>
      <c r="O77">
        <f t="shared" si="6"/>
        <v>32937.699999999997</v>
      </c>
      <c r="P77" t="str">
        <f t="shared" si="7"/>
        <v>Normal</v>
      </c>
      <c r="Q77" t="str">
        <f>IFERROR(_xlfn.XLOOKUP(B77,reorder_point!B:B,reorder_point!I:I),"")</f>
        <v>OK</v>
      </c>
      <c r="R77" t="str">
        <f>_xlfn.XLOOKUP(B77,products!A:A,products!B:B)</f>
        <v>SKU-0035</v>
      </c>
    </row>
    <row r="78" spans="1:18">
      <c r="A78">
        <v>77</v>
      </c>
      <c r="B78">
        <v>36</v>
      </c>
      <c r="C78" t="s">
        <v>118</v>
      </c>
      <c r="D78">
        <v>64</v>
      </c>
      <c r="E78" s="1">
        <v>46103</v>
      </c>
      <c r="F78" s="1">
        <f>_xlfn.XLOOKUP(B78,purchase_orders!C:C,purchase_orders!G:G)</f>
        <v>46050</v>
      </c>
      <c r="G78" s="5">
        <f t="shared" ca="1" si="4"/>
        <v>114</v>
      </c>
      <c r="H78" s="2" t="str">
        <f ca="1">IF(G78&lt;=30,"0-30",IF(G78&lt;=60,"31-60",IF(G78&lt;=90,"61-90","90+")))</f>
        <v>90+</v>
      </c>
      <c r="I78">
        <f>SUMIFS(order_items!D:D,order_items!C:C,inventory!B78)</f>
        <v>38</v>
      </c>
      <c r="J78" t="str">
        <f>IF(D78&gt;I78*3,"Overstock","OK")</f>
        <v>OK</v>
      </c>
      <c r="K78">
        <f>IFERROR(_xlfn.XLOOKUP(B78,purchase_orders!C:C,purchase_orders!I:I),0)</f>
        <v>90</v>
      </c>
      <c r="L78">
        <f>(D78+K78)/2</f>
        <v>77</v>
      </c>
      <c r="M78">
        <f t="shared" si="5"/>
        <v>0.49</v>
      </c>
      <c r="N78">
        <f>IFERROR(_xlfn.XLOOKUP(B78,products!A:A,products!E:E),0)</f>
        <v>78.83</v>
      </c>
      <c r="O78">
        <f t="shared" si="6"/>
        <v>5045.12</v>
      </c>
      <c r="P78" t="str">
        <f t="shared" si="7"/>
        <v>Normal</v>
      </c>
      <c r="Q78" t="str">
        <f>IFERROR(_xlfn.XLOOKUP(B78,reorder_point!B:B,reorder_point!I:I),"")</f>
        <v>OK</v>
      </c>
      <c r="R78" t="str">
        <f>_xlfn.XLOOKUP(B78,products!A:A,products!B:B)</f>
        <v>SKU-0036</v>
      </c>
    </row>
    <row r="79" spans="1:18">
      <c r="A79">
        <v>78</v>
      </c>
      <c r="B79">
        <v>36</v>
      </c>
      <c r="C79" t="s">
        <v>119</v>
      </c>
      <c r="D79">
        <v>299</v>
      </c>
      <c r="E79" s="1">
        <v>46123</v>
      </c>
      <c r="F79" s="1">
        <f>_xlfn.XLOOKUP(B79,purchase_orders!C:C,purchase_orders!G:G)</f>
        <v>46050</v>
      </c>
      <c r="G79" s="5">
        <f t="shared" ca="1" si="4"/>
        <v>114</v>
      </c>
      <c r="H79" s="2" t="str">
        <f ca="1">IF(G79&lt;=30,"0-30",IF(G79&lt;=60,"31-60",IF(G79&lt;=90,"61-90","90+")))</f>
        <v>90+</v>
      </c>
      <c r="I79">
        <f>SUMIFS(order_items!D:D,order_items!C:C,inventory!B79)</f>
        <v>38</v>
      </c>
      <c r="J79" t="str">
        <f>IF(D79&gt;I79*3,"Overstock","OK")</f>
        <v>Overstock</v>
      </c>
      <c r="K79">
        <f>IFERROR(_xlfn.XLOOKUP(B79,purchase_orders!C:C,purchase_orders!I:I),0)</f>
        <v>90</v>
      </c>
      <c r="L79">
        <f>(D79+K79)/2</f>
        <v>194.5</v>
      </c>
      <c r="M79">
        <f t="shared" si="5"/>
        <v>0.2</v>
      </c>
      <c r="N79">
        <f>IFERROR(_xlfn.XLOOKUP(B79,products!A:A,products!E:E),0)</f>
        <v>78.83</v>
      </c>
      <c r="O79">
        <f t="shared" si="6"/>
        <v>23570.17</v>
      </c>
      <c r="P79" t="str">
        <f t="shared" si="7"/>
        <v>Normal</v>
      </c>
      <c r="Q79" t="str">
        <f>IFERROR(_xlfn.XLOOKUP(B79,reorder_point!B:B,reorder_point!I:I),"")</f>
        <v>OK</v>
      </c>
      <c r="R79" t="str">
        <f>_xlfn.XLOOKUP(B79,products!A:A,products!B:B)</f>
        <v>SKU-0036</v>
      </c>
    </row>
    <row r="80" spans="1:18">
      <c r="A80">
        <v>79</v>
      </c>
      <c r="B80">
        <v>37</v>
      </c>
      <c r="C80" t="s">
        <v>121</v>
      </c>
      <c r="D80">
        <v>232</v>
      </c>
      <c r="E80" s="1">
        <v>46116</v>
      </c>
      <c r="F80" s="1">
        <f>_xlfn.XLOOKUP(B80,purchase_orders!C:C,purchase_orders!G:G)</f>
        <v>46163</v>
      </c>
      <c r="G80" s="5">
        <f t="shared" ca="1" si="4"/>
        <v>1</v>
      </c>
      <c r="H80" s="2" t="str">
        <f ca="1">IF(G80&lt;=30,"0-30",IF(G80&lt;=60,"31-60",IF(G80&lt;=90,"61-90","90+")))</f>
        <v>0-30</v>
      </c>
      <c r="I80">
        <f>SUMIFS(order_items!D:D,order_items!C:C,inventory!B80)</f>
        <v>24</v>
      </c>
      <c r="J80" t="str">
        <f>IF(D80&gt;I80*3,"Overstock","OK")</f>
        <v>Overstock</v>
      </c>
      <c r="K80">
        <f>IFERROR(_xlfn.XLOOKUP(B80,purchase_orders!C:C,purchase_orders!I:I),0)</f>
        <v>792</v>
      </c>
      <c r="L80">
        <f>(D80+K80)/2</f>
        <v>512</v>
      </c>
      <c r="M80">
        <f t="shared" si="5"/>
        <v>0.05</v>
      </c>
      <c r="N80">
        <f>IFERROR(_xlfn.XLOOKUP(B80,products!A:A,products!E:E),0)</f>
        <v>146.4</v>
      </c>
      <c r="O80">
        <f t="shared" si="6"/>
        <v>33964.800000000003</v>
      </c>
      <c r="P80" t="str">
        <f t="shared" si="7"/>
        <v>Normal</v>
      </c>
      <c r="Q80" t="str">
        <f>IFERROR(_xlfn.XLOOKUP(B80,reorder_point!B:B,reorder_point!I:I),"")</f>
        <v>OK</v>
      </c>
      <c r="R80" t="str">
        <f>_xlfn.XLOOKUP(B80,products!A:A,products!B:B)</f>
        <v>SKU0037</v>
      </c>
    </row>
    <row r="81" spans="1:18">
      <c r="A81">
        <v>80</v>
      </c>
      <c r="B81">
        <v>37</v>
      </c>
      <c r="C81" t="s">
        <v>120</v>
      </c>
      <c r="D81">
        <v>50</v>
      </c>
      <c r="E81" s="1">
        <v>46136</v>
      </c>
      <c r="F81" s="1">
        <f>_xlfn.XLOOKUP(B81,purchase_orders!C:C,purchase_orders!G:G)</f>
        <v>46163</v>
      </c>
      <c r="G81" s="5">
        <f t="shared" ca="1" si="4"/>
        <v>1</v>
      </c>
      <c r="H81" s="2" t="str">
        <f ca="1">IF(G81&lt;=30,"0-30",IF(G81&lt;=60,"31-60",IF(G81&lt;=90,"61-90","90+")))</f>
        <v>0-30</v>
      </c>
      <c r="I81">
        <f>SUMIFS(order_items!D:D,order_items!C:C,inventory!B81)</f>
        <v>24</v>
      </c>
      <c r="J81" t="str">
        <f>IF(D81&gt;I81*3,"Overstock","OK")</f>
        <v>OK</v>
      </c>
      <c r="K81">
        <f>IFERROR(_xlfn.XLOOKUP(B81,purchase_orders!C:C,purchase_orders!I:I),0)</f>
        <v>792</v>
      </c>
      <c r="L81">
        <f>(D81+K81)/2</f>
        <v>421</v>
      </c>
      <c r="M81">
        <f t="shared" si="5"/>
        <v>0.06</v>
      </c>
      <c r="N81">
        <f>IFERROR(_xlfn.XLOOKUP(B81,products!A:A,products!E:E),0)</f>
        <v>146.4</v>
      </c>
      <c r="O81">
        <f t="shared" si="6"/>
        <v>7320</v>
      </c>
      <c r="P81" t="str">
        <f t="shared" si="7"/>
        <v>Normal</v>
      </c>
      <c r="Q81" t="str">
        <f>IFERROR(_xlfn.XLOOKUP(B81,reorder_point!B:B,reorder_point!I:I),"")</f>
        <v>OK</v>
      </c>
      <c r="R81" t="str">
        <f>_xlfn.XLOOKUP(B81,products!A:A,products!B:B)</f>
        <v>SKU0037</v>
      </c>
    </row>
    <row r="82" spans="1:18">
      <c r="A82">
        <v>81</v>
      </c>
      <c r="B82">
        <v>38</v>
      </c>
      <c r="C82" t="s">
        <v>121</v>
      </c>
      <c r="D82">
        <v>231</v>
      </c>
      <c r="E82" s="1">
        <v>46117</v>
      </c>
      <c r="F82" s="1">
        <f>_xlfn.XLOOKUP(B82,purchase_orders!C:C,purchase_orders!G:G)</f>
        <v>46016</v>
      </c>
      <c r="G82" s="5">
        <f t="shared" ca="1" si="4"/>
        <v>148</v>
      </c>
      <c r="H82" s="2" t="str">
        <f ca="1">IF(G82&lt;=30,"0-30",IF(G82&lt;=60,"31-60",IF(G82&lt;=90,"61-90","90+")))</f>
        <v>90+</v>
      </c>
      <c r="I82">
        <f>SUMIFS(order_items!D:D,order_items!C:C,inventory!B82)</f>
        <v>33</v>
      </c>
      <c r="J82" t="str">
        <f>IF(D82&gt;I82*3,"Overstock","OK")</f>
        <v>Overstock</v>
      </c>
      <c r="K82">
        <f>IFERROR(_xlfn.XLOOKUP(B82,purchase_orders!C:C,purchase_orders!I:I),0)</f>
        <v>872</v>
      </c>
      <c r="L82">
        <f>(D82+K82)/2</f>
        <v>551.5</v>
      </c>
      <c r="M82">
        <f t="shared" si="5"/>
        <v>0.06</v>
      </c>
      <c r="N82">
        <f>IFERROR(_xlfn.XLOOKUP(B82,products!A:A,products!E:E),0)</f>
        <v>167.11</v>
      </c>
      <c r="O82">
        <f t="shared" si="6"/>
        <v>38602.410000000003</v>
      </c>
      <c r="P82" t="str">
        <f t="shared" si="7"/>
        <v>Normal</v>
      </c>
      <c r="Q82" t="str">
        <f>IFERROR(_xlfn.XLOOKUP(B82,reorder_point!B:B,reorder_point!I:I),"")</f>
        <v>OK</v>
      </c>
      <c r="R82" t="str">
        <f>_xlfn.XLOOKUP(B82,products!A:A,products!B:B)</f>
        <v>SKU-0038</v>
      </c>
    </row>
    <row r="83" spans="1:18">
      <c r="A83">
        <v>82</v>
      </c>
      <c r="B83">
        <v>38</v>
      </c>
      <c r="C83" t="s">
        <v>118</v>
      </c>
      <c r="D83">
        <v>173</v>
      </c>
      <c r="E83" s="1">
        <v>46118</v>
      </c>
      <c r="F83" s="1">
        <f>_xlfn.XLOOKUP(B83,purchase_orders!C:C,purchase_orders!G:G)</f>
        <v>46016</v>
      </c>
      <c r="G83" s="5">
        <f t="shared" ca="1" si="4"/>
        <v>148</v>
      </c>
      <c r="H83" s="2" t="str">
        <f ca="1">IF(G83&lt;=30,"0-30",IF(G83&lt;=60,"31-60",IF(G83&lt;=90,"61-90","90+")))</f>
        <v>90+</v>
      </c>
      <c r="I83">
        <f>SUMIFS(order_items!D:D,order_items!C:C,inventory!B83)</f>
        <v>33</v>
      </c>
      <c r="J83" t="str">
        <f>IF(D83&gt;I83*3,"Overstock","OK")</f>
        <v>Overstock</v>
      </c>
      <c r="K83">
        <f>IFERROR(_xlfn.XLOOKUP(B83,purchase_orders!C:C,purchase_orders!I:I),0)</f>
        <v>872</v>
      </c>
      <c r="L83">
        <f>(D83+K83)/2</f>
        <v>522.5</v>
      </c>
      <c r="M83">
        <f t="shared" si="5"/>
        <v>0.06</v>
      </c>
      <c r="N83">
        <f>IFERROR(_xlfn.XLOOKUP(B83,products!A:A,products!E:E),0)</f>
        <v>167.11</v>
      </c>
      <c r="O83">
        <f t="shared" si="6"/>
        <v>28910.030000000002</v>
      </c>
      <c r="P83" t="str">
        <f t="shared" si="7"/>
        <v>Normal</v>
      </c>
      <c r="Q83" t="str">
        <f>IFERROR(_xlfn.XLOOKUP(B83,reorder_point!B:B,reorder_point!I:I),"")</f>
        <v>OK</v>
      </c>
      <c r="R83" t="str">
        <f>_xlfn.XLOOKUP(B83,products!A:A,products!B:B)</f>
        <v>SKU-0038</v>
      </c>
    </row>
    <row r="84" spans="1:18">
      <c r="A84">
        <v>83</v>
      </c>
      <c r="B84">
        <v>38</v>
      </c>
      <c r="C84" t="s">
        <v>117</v>
      </c>
      <c r="D84">
        <v>212</v>
      </c>
      <c r="E84" s="1">
        <v>46123</v>
      </c>
      <c r="F84" s="1">
        <f>_xlfn.XLOOKUP(B84,purchase_orders!C:C,purchase_orders!G:G)</f>
        <v>46016</v>
      </c>
      <c r="G84" s="5">
        <f t="shared" ca="1" si="4"/>
        <v>148</v>
      </c>
      <c r="H84" s="2" t="str">
        <f ca="1">IF(G84&lt;=30,"0-30",IF(G84&lt;=60,"31-60",IF(G84&lt;=90,"61-90","90+")))</f>
        <v>90+</v>
      </c>
      <c r="I84">
        <f>SUMIFS(order_items!D:D,order_items!C:C,inventory!B84)</f>
        <v>33</v>
      </c>
      <c r="J84" t="str">
        <f>IF(D84&gt;I84*3,"Overstock","OK")</f>
        <v>Overstock</v>
      </c>
      <c r="K84">
        <f>IFERROR(_xlfn.XLOOKUP(B84,purchase_orders!C:C,purchase_orders!I:I),0)</f>
        <v>872</v>
      </c>
      <c r="L84">
        <f>(D84+K84)/2</f>
        <v>542</v>
      </c>
      <c r="M84">
        <f t="shared" si="5"/>
        <v>0.06</v>
      </c>
      <c r="N84">
        <f>IFERROR(_xlfn.XLOOKUP(B84,products!A:A,products!E:E),0)</f>
        <v>167.11</v>
      </c>
      <c r="O84">
        <f t="shared" si="6"/>
        <v>35427.32</v>
      </c>
      <c r="P84" t="str">
        <f t="shared" si="7"/>
        <v>Normal</v>
      </c>
      <c r="Q84" t="str">
        <f>IFERROR(_xlfn.XLOOKUP(B84,reorder_point!B:B,reorder_point!I:I),"")</f>
        <v>OK</v>
      </c>
      <c r="R84" t="str">
        <f>_xlfn.XLOOKUP(B84,products!A:A,products!B:B)</f>
        <v>SKU-0038</v>
      </c>
    </row>
    <row r="85" spans="1:18">
      <c r="A85">
        <v>84</v>
      </c>
      <c r="B85">
        <v>39</v>
      </c>
      <c r="C85" t="s">
        <v>122</v>
      </c>
      <c r="D85">
        <v>191</v>
      </c>
      <c r="E85" s="1">
        <v>46100</v>
      </c>
      <c r="F85" s="1">
        <f>_xlfn.XLOOKUP(B85,purchase_orders!C:C,purchase_orders!G:G)</f>
        <v>46166</v>
      </c>
      <c r="G85" s="5">
        <f t="shared" ca="1" si="4"/>
        <v>-2</v>
      </c>
      <c r="H85" s="2" t="str">
        <f ca="1">IF(G85&lt;=30,"0-30",IF(G85&lt;=60,"31-60",IF(G85&lt;=90,"61-90","90+")))</f>
        <v>0-30</v>
      </c>
      <c r="I85">
        <f>SUMIFS(order_items!D:D,order_items!C:C,inventory!B85)</f>
        <v>46</v>
      </c>
      <c r="J85" t="str">
        <f>IF(D85&gt;I85*3,"Overstock","OK")</f>
        <v>Overstock</v>
      </c>
      <c r="K85">
        <f>IFERROR(_xlfn.XLOOKUP(B85,purchase_orders!C:C,purchase_orders!I:I),0)</f>
        <v>169</v>
      </c>
      <c r="L85">
        <f>(D85+K85)/2</f>
        <v>180</v>
      </c>
      <c r="M85">
        <f t="shared" si="5"/>
        <v>0.26</v>
      </c>
      <c r="N85">
        <f>IFERROR(_xlfn.XLOOKUP(B85,products!A:A,products!E:E),0)</f>
        <v>42.41</v>
      </c>
      <c r="O85">
        <f t="shared" si="6"/>
        <v>8100.3099999999995</v>
      </c>
      <c r="P85" t="str">
        <f t="shared" si="7"/>
        <v>Normal</v>
      </c>
      <c r="Q85" t="str">
        <f>IFERROR(_xlfn.XLOOKUP(B85,reorder_point!B:B,reorder_point!I:I),"")</f>
        <v>OK</v>
      </c>
      <c r="R85" t="str">
        <f>_xlfn.XLOOKUP(B85,products!A:A,products!B:B)</f>
        <v>SKU-0039</v>
      </c>
    </row>
    <row r="86" spans="1:18">
      <c r="A86">
        <v>85</v>
      </c>
      <c r="B86">
        <v>39</v>
      </c>
      <c r="C86" t="s">
        <v>120</v>
      </c>
      <c r="D86">
        <v>472</v>
      </c>
      <c r="E86" s="1">
        <v>46138</v>
      </c>
      <c r="F86" s="1">
        <f>_xlfn.XLOOKUP(B86,purchase_orders!C:C,purchase_orders!G:G)</f>
        <v>46166</v>
      </c>
      <c r="G86" s="5">
        <f t="shared" ca="1" si="4"/>
        <v>-2</v>
      </c>
      <c r="H86" s="2" t="str">
        <f ca="1">IF(G86&lt;=30,"0-30",IF(G86&lt;=60,"31-60",IF(G86&lt;=90,"61-90","90+")))</f>
        <v>0-30</v>
      </c>
      <c r="I86">
        <f>SUMIFS(order_items!D:D,order_items!C:C,inventory!B86)</f>
        <v>46</v>
      </c>
      <c r="J86" t="str">
        <f>IF(D86&gt;I86*3,"Overstock","OK")</f>
        <v>Overstock</v>
      </c>
      <c r="K86">
        <f>IFERROR(_xlfn.XLOOKUP(B86,purchase_orders!C:C,purchase_orders!I:I),0)</f>
        <v>169</v>
      </c>
      <c r="L86">
        <f>(D86+K86)/2</f>
        <v>320.5</v>
      </c>
      <c r="M86">
        <f t="shared" si="5"/>
        <v>0.14000000000000001</v>
      </c>
      <c r="N86">
        <f>IFERROR(_xlfn.XLOOKUP(B86,products!A:A,products!E:E),0)</f>
        <v>42.41</v>
      </c>
      <c r="O86">
        <f t="shared" si="6"/>
        <v>20017.519999999997</v>
      </c>
      <c r="P86" t="str">
        <f t="shared" si="7"/>
        <v>Normal</v>
      </c>
      <c r="Q86" t="str">
        <f>IFERROR(_xlfn.XLOOKUP(B86,reorder_point!B:B,reorder_point!I:I),"")</f>
        <v>OK</v>
      </c>
      <c r="R86" t="str">
        <f>_xlfn.XLOOKUP(B86,products!A:A,products!B:B)</f>
        <v>SKU-0039</v>
      </c>
    </row>
    <row r="87" spans="1:18">
      <c r="A87">
        <v>86</v>
      </c>
      <c r="B87">
        <v>40</v>
      </c>
      <c r="C87" t="s">
        <v>119</v>
      </c>
      <c r="D87">
        <v>221</v>
      </c>
      <c r="E87" s="1">
        <v>46096</v>
      </c>
      <c r="F87" s="1">
        <f>_xlfn.XLOOKUP(B87,purchase_orders!C:C,purchase_orders!G:G)</f>
        <v>46057</v>
      </c>
      <c r="G87" s="5">
        <f t="shared" ca="1" si="4"/>
        <v>107</v>
      </c>
      <c r="H87" s="2" t="str">
        <f ca="1">IF(G87&lt;=30,"0-30",IF(G87&lt;=60,"31-60",IF(G87&lt;=90,"61-90","90+")))</f>
        <v>90+</v>
      </c>
      <c r="I87">
        <f>SUMIFS(order_items!D:D,order_items!C:C,inventory!B87)</f>
        <v>42</v>
      </c>
      <c r="J87" t="str">
        <f>IF(D87&gt;I87*3,"Overstock","OK")</f>
        <v>Overstock</v>
      </c>
      <c r="K87">
        <f>IFERROR(_xlfn.XLOOKUP(B87,purchase_orders!C:C,purchase_orders!I:I),0)</f>
        <v>74</v>
      </c>
      <c r="L87">
        <f>(D87+K87)/2</f>
        <v>147.5</v>
      </c>
      <c r="M87">
        <f t="shared" si="5"/>
        <v>0.28000000000000003</v>
      </c>
      <c r="N87">
        <f>IFERROR(_xlfn.XLOOKUP(B87,products!A:A,products!E:E),0)</f>
        <v>177.43</v>
      </c>
      <c r="O87">
        <f t="shared" si="6"/>
        <v>39212.03</v>
      </c>
      <c r="P87" t="str">
        <f t="shared" si="7"/>
        <v>Normal</v>
      </c>
      <c r="Q87" t="str">
        <f>IFERROR(_xlfn.XLOOKUP(B87,reorder_point!B:B,reorder_point!I:I),"")</f>
        <v>OK</v>
      </c>
      <c r="R87" t="str">
        <f>_xlfn.XLOOKUP(B87,products!A:A,products!B:B)</f>
        <v>SKU-0040</v>
      </c>
    </row>
    <row r="88" spans="1:18">
      <c r="A88">
        <v>87</v>
      </c>
      <c r="B88">
        <v>41</v>
      </c>
      <c r="C88" t="s">
        <v>118</v>
      </c>
      <c r="D88">
        <v>300</v>
      </c>
      <c r="E88" s="1">
        <v>46108</v>
      </c>
      <c r="F88" s="1" t="str">
        <f>_xlfn.XLOOKUP(B88,purchase_orders!C:C,purchase_orders!G:G)</f>
        <v>NULL</v>
      </c>
      <c r="G88" s="5" t="e">
        <f t="shared" ca="1" si="4"/>
        <v>#VALUE!</v>
      </c>
      <c r="H88" s="2" t="e">
        <f ca="1">IF(G88&lt;=30,"0-30",IF(G88&lt;=60,"31-60",IF(G88&lt;=90,"61-90","90+")))</f>
        <v>#VALUE!</v>
      </c>
      <c r="I88">
        <f>SUMIFS(order_items!D:D,order_items!C:C,inventory!B88)</f>
        <v>9</v>
      </c>
      <c r="J88" t="str">
        <f>IF(D88&gt;I88*3,"Overstock","OK")</f>
        <v>Overstock</v>
      </c>
      <c r="K88">
        <f>IFERROR(_xlfn.XLOOKUP(B88,purchase_orders!C:C,purchase_orders!I:I),0)</f>
        <v>0</v>
      </c>
      <c r="L88">
        <f>(D88+K88)/2</f>
        <v>150</v>
      </c>
      <c r="M88">
        <f t="shared" si="5"/>
        <v>0.06</v>
      </c>
      <c r="N88">
        <f>IFERROR(_xlfn.XLOOKUP(B88,products!A:A,products!E:E),0)</f>
        <v>120.83</v>
      </c>
      <c r="O88">
        <f t="shared" si="6"/>
        <v>36249</v>
      </c>
      <c r="P88" t="str">
        <f t="shared" si="7"/>
        <v>Slow Moving</v>
      </c>
      <c r="Q88" t="str">
        <f>IFERROR(_xlfn.XLOOKUP(B88,reorder_point!B:B,reorder_point!I:I),"")</f>
        <v/>
      </c>
      <c r="R88" t="str">
        <f>_xlfn.XLOOKUP(B88,products!A:A,products!B:B)</f>
        <v>SKU-0041</v>
      </c>
    </row>
    <row r="89" spans="1:18">
      <c r="A89">
        <v>88</v>
      </c>
      <c r="B89">
        <v>41</v>
      </c>
      <c r="C89" t="s">
        <v>119</v>
      </c>
      <c r="D89">
        <v>168</v>
      </c>
      <c r="E89" s="1">
        <v>46117</v>
      </c>
      <c r="F89" s="1" t="str">
        <f>_xlfn.XLOOKUP(B89,purchase_orders!C:C,purchase_orders!G:G)</f>
        <v>NULL</v>
      </c>
      <c r="G89" s="5" t="e">
        <f t="shared" ca="1" si="4"/>
        <v>#VALUE!</v>
      </c>
      <c r="H89" s="2" t="e">
        <f ca="1">IF(G89&lt;=30,"0-30",IF(G89&lt;=60,"31-60",IF(G89&lt;=90,"61-90","90+")))</f>
        <v>#VALUE!</v>
      </c>
      <c r="I89">
        <f>SUMIFS(order_items!D:D,order_items!C:C,inventory!B89)</f>
        <v>9</v>
      </c>
      <c r="J89" t="str">
        <f>IF(D89&gt;I89*3,"Overstock","OK")</f>
        <v>Overstock</v>
      </c>
      <c r="K89">
        <f>IFERROR(_xlfn.XLOOKUP(B89,purchase_orders!C:C,purchase_orders!I:I),0)</f>
        <v>0</v>
      </c>
      <c r="L89">
        <f>(D89+K89)/2</f>
        <v>84</v>
      </c>
      <c r="M89">
        <f t="shared" si="5"/>
        <v>0.11</v>
      </c>
      <c r="N89">
        <f>IFERROR(_xlfn.XLOOKUP(B89,products!A:A,products!E:E),0)</f>
        <v>120.83</v>
      </c>
      <c r="O89">
        <f t="shared" si="6"/>
        <v>20299.439999999999</v>
      </c>
      <c r="P89" t="str">
        <f t="shared" si="7"/>
        <v>Slow Moving</v>
      </c>
      <c r="Q89" t="str">
        <f>IFERROR(_xlfn.XLOOKUP(B89,reorder_point!B:B,reorder_point!I:I),"")</f>
        <v/>
      </c>
      <c r="R89" t="str">
        <f>_xlfn.XLOOKUP(B89,products!A:A,products!B:B)</f>
        <v>SKU-0041</v>
      </c>
    </row>
    <row r="90" spans="1:18">
      <c r="A90">
        <v>89</v>
      </c>
      <c r="B90">
        <v>42</v>
      </c>
      <c r="C90" t="s">
        <v>117</v>
      </c>
      <c r="D90">
        <v>495</v>
      </c>
      <c r="E90" s="1">
        <v>46124</v>
      </c>
      <c r="F90" s="1">
        <f>_xlfn.XLOOKUP(B90,purchase_orders!C:C,purchase_orders!G:G)</f>
        <v>46143</v>
      </c>
      <c r="G90" s="5">
        <f t="shared" ca="1" si="4"/>
        <v>21</v>
      </c>
      <c r="H90" s="2" t="str">
        <f ca="1">IF(G90&lt;=30,"0-30",IF(G90&lt;=60,"31-60",IF(G90&lt;=90,"61-90","90+")))</f>
        <v>0-30</v>
      </c>
      <c r="I90">
        <f>SUMIFS(order_items!D:D,order_items!C:C,inventory!B90)</f>
        <v>22</v>
      </c>
      <c r="J90" t="str">
        <f>IF(D90&gt;I90*3,"Overstock","OK")</f>
        <v>Overstock</v>
      </c>
      <c r="K90">
        <f>IFERROR(_xlfn.XLOOKUP(B90,purchase_orders!C:C,purchase_orders!I:I),0)</f>
        <v>804</v>
      </c>
      <c r="L90">
        <f>(D90+K90)/2</f>
        <v>649.5</v>
      </c>
      <c r="M90">
        <f t="shared" si="5"/>
        <v>0.03</v>
      </c>
      <c r="N90">
        <f>IFERROR(_xlfn.XLOOKUP(B90,products!A:A,products!E:E),0)</f>
        <v>106.36</v>
      </c>
      <c r="O90">
        <f t="shared" si="6"/>
        <v>52648.2</v>
      </c>
      <c r="P90" t="str">
        <f t="shared" si="7"/>
        <v>Normal</v>
      </c>
      <c r="Q90" t="str">
        <f>IFERROR(_xlfn.XLOOKUP(B90,reorder_point!B:B,reorder_point!I:I),"")</f>
        <v>OK</v>
      </c>
      <c r="R90" t="str">
        <f>_xlfn.XLOOKUP(B90,products!A:A,products!B:B)</f>
        <v>SKU-0042</v>
      </c>
    </row>
    <row r="91" spans="1:18">
      <c r="A91">
        <v>90</v>
      </c>
      <c r="B91">
        <v>42</v>
      </c>
      <c r="C91" t="s">
        <v>119</v>
      </c>
      <c r="D91">
        <v>180</v>
      </c>
      <c r="E91" s="1">
        <v>46111</v>
      </c>
      <c r="F91" s="1">
        <f>_xlfn.XLOOKUP(B91,purchase_orders!C:C,purchase_orders!G:G)</f>
        <v>46143</v>
      </c>
      <c r="G91" s="5">
        <f t="shared" ca="1" si="4"/>
        <v>21</v>
      </c>
      <c r="H91" s="2" t="str">
        <f ca="1">IF(G91&lt;=30,"0-30",IF(G91&lt;=60,"31-60",IF(G91&lt;=90,"61-90","90+")))</f>
        <v>0-30</v>
      </c>
      <c r="I91">
        <f>SUMIFS(order_items!D:D,order_items!C:C,inventory!B91)</f>
        <v>22</v>
      </c>
      <c r="J91" t="str">
        <f>IF(D91&gt;I91*3,"Overstock","OK")</f>
        <v>Overstock</v>
      </c>
      <c r="K91">
        <f>IFERROR(_xlfn.XLOOKUP(B91,purchase_orders!C:C,purchase_orders!I:I),0)</f>
        <v>804</v>
      </c>
      <c r="L91">
        <f>(D91+K91)/2</f>
        <v>492</v>
      </c>
      <c r="M91">
        <f t="shared" si="5"/>
        <v>0.04</v>
      </c>
      <c r="N91">
        <f>IFERROR(_xlfn.XLOOKUP(B91,products!A:A,products!E:E),0)</f>
        <v>106.36</v>
      </c>
      <c r="O91">
        <f t="shared" si="6"/>
        <v>19144.8</v>
      </c>
      <c r="P91" t="str">
        <f t="shared" si="7"/>
        <v>Normal</v>
      </c>
      <c r="Q91" t="str">
        <f>IFERROR(_xlfn.XLOOKUP(B91,reorder_point!B:B,reorder_point!I:I),"")</f>
        <v>OK</v>
      </c>
      <c r="R91" t="str">
        <f>_xlfn.XLOOKUP(B91,products!A:A,products!B:B)</f>
        <v>SKU-0042</v>
      </c>
    </row>
    <row r="92" spans="1:18">
      <c r="A92">
        <v>91</v>
      </c>
      <c r="B92">
        <v>43</v>
      </c>
      <c r="C92" t="s">
        <v>118</v>
      </c>
      <c r="D92">
        <v>336</v>
      </c>
      <c r="E92" s="1">
        <v>46089</v>
      </c>
      <c r="F92" s="1">
        <f>_xlfn.XLOOKUP(B92,purchase_orders!C:C,purchase_orders!G:G)</f>
        <v>46172</v>
      </c>
      <c r="G92" s="5">
        <f t="shared" ca="1" si="4"/>
        <v>-8</v>
      </c>
      <c r="H92" s="2" t="str">
        <f ca="1">IF(G92&lt;=30,"0-30",IF(G92&lt;=60,"31-60",IF(G92&lt;=90,"61-90","90+")))</f>
        <v>0-30</v>
      </c>
      <c r="I92">
        <f>SUMIFS(order_items!D:D,order_items!C:C,inventory!B92)</f>
        <v>54</v>
      </c>
      <c r="J92" t="str">
        <f>IF(D92&gt;I92*3,"Overstock","OK")</f>
        <v>Overstock</v>
      </c>
      <c r="K92">
        <f>IFERROR(_xlfn.XLOOKUP(B92,purchase_orders!C:C,purchase_orders!I:I),0)</f>
        <v>203</v>
      </c>
      <c r="L92">
        <f>(D92+K92)/2</f>
        <v>269.5</v>
      </c>
      <c r="M92">
        <f t="shared" si="5"/>
        <v>0.2</v>
      </c>
      <c r="N92">
        <f>IFERROR(_xlfn.XLOOKUP(B92,products!A:A,products!E:E),0)</f>
        <v>88.44</v>
      </c>
      <c r="O92">
        <f t="shared" si="6"/>
        <v>29715.84</v>
      </c>
      <c r="P92" t="str">
        <f t="shared" si="7"/>
        <v>Normal</v>
      </c>
      <c r="Q92" t="str">
        <f>IFERROR(_xlfn.XLOOKUP(B92,reorder_point!B:B,reorder_point!I:I),"")</f>
        <v>OK</v>
      </c>
      <c r="R92" t="str">
        <f>_xlfn.XLOOKUP(B92,products!A:A,products!B:B)</f>
        <v>SKU-0043</v>
      </c>
    </row>
    <row r="93" spans="1:18">
      <c r="A93">
        <v>92</v>
      </c>
      <c r="B93">
        <v>44</v>
      </c>
      <c r="C93" t="s">
        <v>122</v>
      </c>
      <c r="D93">
        <v>432</v>
      </c>
      <c r="E93" s="1">
        <v>46136</v>
      </c>
      <c r="F93" s="1">
        <f>_xlfn.XLOOKUP(B93,purchase_orders!C:C,purchase_orders!G:G)</f>
        <v>46108</v>
      </c>
      <c r="G93" s="5">
        <f t="shared" ca="1" si="4"/>
        <v>56</v>
      </c>
      <c r="H93" s="2" t="str">
        <f ca="1">IF(G93&lt;=30,"0-30",IF(G93&lt;=60,"31-60",IF(G93&lt;=90,"61-90","90+")))</f>
        <v>31-60</v>
      </c>
      <c r="I93">
        <f>SUMIFS(order_items!D:D,order_items!C:C,inventory!B93)</f>
        <v>20</v>
      </c>
      <c r="J93" t="str">
        <f>IF(D93&gt;I93*3,"Overstock","OK")</f>
        <v>Overstock</v>
      </c>
      <c r="K93">
        <f>IFERROR(_xlfn.XLOOKUP(B93,purchase_orders!C:C,purchase_orders!I:I),0)</f>
        <v>310</v>
      </c>
      <c r="L93">
        <f>(D93+K93)/2</f>
        <v>371</v>
      </c>
      <c r="M93">
        <f t="shared" si="5"/>
        <v>0.05</v>
      </c>
      <c r="N93">
        <f>IFERROR(_xlfn.XLOOKUP(B93,products!A:A,products!E:E),0)</f>
        <v>16.989999999999998</v>
      </c>
      <c r="O93">
        <f t="shared" si="6"/>
        <v>7339.6799999999994</v>
      </c>
      <c r="P93" t="str">
        <f t="shared" si="7"/>
        <v>Normal</v>
      </c>
      <c r="Q93" t="str">
        <f>IFERROR(_xlfn.XLOOKUP(B93,reorder_point!B:B,reorder_point!I:I),"")</f>
        <v>OK</v>
      </c>
      <c r="R93" t="str">
        <f>_xlfn.XLOOKUP(B93,products!A:A,products!B:B)</f>
        <v>SKU-0044</v>
      </c>
    </row>
    <row r="94" spans="1:18">
      <c r="A94">
        <v>93</v>
      </c>
      <c r="B94">
        <v>45</v>
      </c>
      <c r="C94" t="s">
        <v>118</v>
      </c>
      <c r="D94">
        <v>432</v>
      </c>
      <c r="E94" s="1">
        <v>46094</v>
      </c>
      <c r="F94" s="1">
        <f>_xlfn.XLOOKUP(B94,purchase_orders!C:C,purchase_orders!G:G)</f>
        <v>46146</v>
      </c>
      <c r="G94" s="5">
        <f t="shared" ca="1" si="4"/>
        <v>18</v>
      </c>
      <c r="H94" s="2" t="str">
        <f ca="1">IF(G94&lt;=30,"0-30",IF(G94&lt;=60,"31-60",IF(G94&lt;=90,"61-90","90+")))</f>
        <v>0-30</v>
      </c>
      <c r="I94">
        <f>SUMIFS(order_items!D:D,order_items!C:C,inventory!B94)</f>
        <v>40</v>
      </c>
      <c r="J94" t="str">
        <f>IF(D94&gt;I94*3,"Overstock","OK")</f>
        <v>Overstock</v>
      </c>
      <c r="K94">
        <f>IFERROR(_xlfn.XLOOKUP(B94,purchase_orders!C:C,purchase_orders!I:I),0)</f>
        <v>857</v>
      </c>
      <c r="L94">
        <f>(D94+K94)/2</f>
        <v>644.5</v>
      </c>
      <c r="M94">
        <f t="shared" si="5"/>
        <v>0.06</v>
      </c>
      <c r="N94">
        <f>IFERROR(_xlfn.XLOOKUP(B94,products!A:A,products!E:E),0)</f>
        <v>48.09</v>
      </c>
      <c r="O94">
        <f t="shared" si="6"/>
        <v>20774.88</v>
      </c>
      <c r="P94" t="str">
        <f t="shared" si="7"/>
        <v>Normal</v>
      </c>
      <c r="Q94" t="str">
        <f>IFERROR(_xlfn.XLOOKUP(B94,reorder_point!B:B,reorder_point!I:I),"")</f>
        <v>OK</v>
      </c>
      <c r="R94" t="str">
        <f>_xlfn.XLOOKUP(B94,products!A:A,products!B:B)</f>
        <v>SKU-0045</v>
      </c>
    </row>
    <row r="95" spans="1:18">
      <c r="A95">
        <v>94</v>
      </c>
      <c r="B95">
        <v>45</v>
      </c>
      <c r="C95" t="s">
        <v>117</v>
      </c>
      <c r="D95">
        <v>419</v>
      </c>
      <c r="E95" s="1">
        <v>46100</v>
      </c>
      <c r="F95" s="1">
        <f>_xlfn.XLOOKUP(B95,purchase_orders!C:C,purchase_orders!G:G)</f>
        <v>46146</v>
      </c>
      <c r="G95" s="5">
        <f t="shared" ca="1" si="4"/>
        <v>18</v>
      </c>
      <c r="H95" s="2" t="str">
        <f ca="1">IF(G95&lt;=30,"0-30",IF(G95&lt;=60,"31-60",IF(G95&lt;=90,"61-90","90+")))</f>
        <v>0-30</v>
      </c>
      <c r="I95">
        <f>SUMIFS(order_items!D:D,order_items!C:C,inventory!B95)</f>
        <v>40</v>
      </c>
      <c r="J95" t="str">
        <f>IF(D95&gt;I95*3,"Overstock","OK")</f>
        <v>Overstock</v>
      </c>
      <c r="K95">
        <f>IFERROR(_xlfn.XLOOKUP(B95,purchase_orders!C:C,purchase_orders!I:I),0)</f>
        <v>857</v>
      </c>
      <c r="L95">
        <f>(D95+K95)/2</f>
        <v>638</v>
      </c>
      <c r="M95">
        <f t="shared" si="5"/>
        <v>0.06</v>
      </c>
      <c r="N95">
        <f>IFERROR(_xlfn.XLOOKUP(B95,products!A:A,products!E:E),0)</f>
        <v>48.09</v>
      </c>
      <c r="O95">
        <f t="shared" si="6"/>
        <v>20149.710000000003</v>
      </c>
      <c r="P95" t="str">
        <f t="shared" si="7"/>
        <v>Normal</v>
      </c>
      <c r="Q95" t="str">
        <f>IFERROR(_xlfn.XLOOKUP(B95,reorder_point!B:B,reorder_point!I:I),"")</f>
        <v>OK</v>
      </c>
      <c r="R95" t="str">
        <f>_xlfn.XLOOKUP(B95,products!A:A,products!B:B)</f>
        <v>SKU-0045</v>
      </c>
    </row>
    <row r="96" spans="1:18">
      <c r="A96">
        <v>95</v>
      </c>
      <c r="B96">
        <v>46</v>
      </c>
      <c r="C96" t="s">
        <v>121</v>
      </c>
      <c r="D96">
        <v>475</v>
      </c>
      <c r="E96" s="1">
        <v>46099</v>
      </c>
      <c r="F96" s="1">
        <f>_xlfn.XLOOKUP(B96,purchase_orders!C:C,purchase_orders!G:G)</f>
        <v>46094</v>
      </c>
      <c r="G96" s="5">
        <f t="shared" ca="1" si="4"/>
        <v>70</v>
      </c>
      <c r="H96" s="2" t="str">
        <f ca="1">IF(G96&lt;=30,"0-30",IF(G96&lt;=60,"31-60",IF(G96&lt;=90,"61-90","90+")))</f>
        <v>61-90</v>
      </c>
      <c r="I96">
        <f>SUMIFS(order_items!D:D,order_items!C:C,inventory!B96)</f>
        <v>44</v>
      </c>
      <c r="J96" t="str">
        <f>IF(D96&gt;I96*3,"Overstock","OK")</f>
        <v>Overstock</v>
      </c>
      <c r="K96">
        <f>IFERROR(_xlfn.XLOOKUP(B96,purchase_orders!C:C,purchase_orders!I:I),0)</f>
        <v>858</v>
      </c>
      <c r="L96">
        <f>(D96+K96)/2</f>
        <v>666.5</v>
      </c>
      <c r="M96">
        <f t="shared" si="5"/>
        <v>7.0000000000000007E-2</v>
      </c>
      <c r="N96">
        <f>IFERROR(_xlfn.XLOOKUP(B96,products!A:A,products!E:E),0)</f>
        <v>40.75</v>
      </c>
      <c r="O96">
        <f t="shared" si="6"/>
        <v>19356.25</v>
      </c>
      <c r="P96" t="str">
        <f t="shared" si="7"/>
        <v>Normal</v>
      </c>
      <c r="Q96" t="str">
        <f>IFERROR(_xlfn.XLOOKUP(B96,reorder_point!B:B,reorder_point!I:I),"")</f>
        <v>OK</v>
      </c>
      <c r="R96" t="str">
        <f>_xlfn.XLOOKUP(B96,products!A:A,products!B:B)</f>
        <v>SKU-0046</v>
      </c>
    </row>
    <row r="97" spans="1:18">
      <c r="A97">
        <v>96</v>
      </c>
      <c r="B97">
        <v>46</v>
      </c>
      <c r="C97" t="s">
        <v>119</v>
      </c>
      <c r="D97">
        <v>0</v>
      </c>
      <c r="E97" s="1">
        <v>46099</v>
      </c>
      <c r="F97" s="1">
        <f>_xlfn.XLOOKUP(B97,purchase_orders!C:C,purchase_orders!G:G)</f>
        <v>46094</v>
      </c>
      <c r="G97" s="5">
        <f t="shared" ca="1" si="4"/>
        <v>70</v>
      </c>
      <c r="H97" s="2" t="str">
        <f ca="1">IF(G97&lt;=30,"0-30",IF(G97&lt;=60,"31-60",IF(G97&lt;=90,"61-90","90+")))</f>
        <v>61-90</v>
      </c>
      <c r="I97">
        <f>SUMIFS(order_items!D:D,order_items!C:C,inventory!B97)</f>
        <v>44</v>
      </c>
      <c r="J97" t="str">
        <f>IF(D97&gt;I97*3,"Overstock","OK")</f>
        <v>OK</v>
      </c>
      <c r="K97">
        <f>IFERROR(_xlfn.XLOOKUP(B97,purchase_orders!C:C,purchase_orders!I:I),0)</f>
        <v>858</v>
      </c>
      <c r="L97">
        <f>(D97+K97)/2</f>
        <v>429</v>
      </c>
      <c r="M97">
        <f t="shared" si="5"/>
        <v>0.1</v>
      </c>
      <c r="N97">
        <f>IFERROR(_xlfn.XLOOKUP(B97,products!A:A,products!E:E),0)</f>
        <v>40.75</v>
      </c>
      <c r="O97">
        <f t="shared" si="6"/>
        <v>0</v>
      </c>
      <c r="P97" t="str">
        <f t="shared" si="7"/>
        <v>Normal</v>
      </c>
      <c r="Q97" t="str">
        <f>IFERROR(_xlfn.XLOOKUP(B97,reorder_point!B:B,reorder_point!I:I),"")</f>
        <v>OK</v>
      </c>
      <c r="R97" t="str">
        <f>_xlfn.XLOOKUP(B97,products!A:A,products!B:B)</f>
        <v>SKU-0046</v>
      </c>
    </row>
    <row r="98" spans="1:18">
      <c r="A98">
        <v>97</v>
      </c>
      <c r="B98">
        <v>46</v>
      </c>
      <c r="C98" t="s">
        <v>120</v>
      </c>
      <c r="D98">
        <v>390</v>
      </c>
      <c r="E98" s="1">
        <v>46122</v>
      </c>
      <c r="F98" s="1">
        <f>_xlfn.XLOOKUP(B98,purchase_orders!C:C,purchase_orders!G:G)</f>
        <v>46094</v>
      </c>
      <c r="G98" s="5">
        <f t="shared" ca="1" si="4"/>
        <v>70</v>
      </c>
      <c r="H98" s="2" t="str">
        <f ca="1">IF(G98&lt;=30,"0-30",IF(G98&lt;=60,"31-60",IF(G98&lt;=90,"61-90","90+")))</f>
        <v>61-90</v>
      </c>
      <c r="I98">
        <f>SUMIFS(order_items!D:D,order_items!C:C,inventory!B98)</f>
        <v>44</v>
      </c>
      <c r="J98" t="str">
        <f>IF(D98&gt;I98*3,"Overstock","OK")</f>
        <v>Overstock</v>
      </c>
      <c r="K98">
        <f>IFERROR(_xlfn.XLOOKUP(B98,purchase_orders!C:C,purchase_orders!I:I),0)</f>
        <v>858</v>
      </c>
      <c r="L98">
        <f>(D98+K98)/2</f>
        <v>624</v>
      </c>
      <c r="M98">
        <f t="shared" si="5"/>
        <v>7.0000000000000007E-2</v>
      </c>
      <c r="N98">
        <f>IFERROR(_xlfn.XLOOKUP(B98,products!A:A,products!E:E),0)</f>
        <v>40.75</v>
      </c>
      <c r="O98">
        <f t="shared" si="6"/>
        <v>15892.5</v>
      </c>
      <c r="P98" t="str">
        <f t="shared" si="7"/>
        <v>Normal</v>
      </c>
      <c r="Q98" t="str">
        <f>IFERROR(_xlfn.XLOOKUP(B98,reorder_point!B:B,reorder_point!I:I),"")</f>
        <v>OK</v>
      </c>
      <c r="R98" t="str">
        <f>_xlfn.XLOOKUP(B98,products!A:A,products!B:B)</f>
        <v>SKU-0046</v>
      </c>
    </row>
    <row r="99" spans="1:18">
      <c r="A99">
        <v>98</v>
      </c>
      <c r="B99">
        <v>47</v>
      </c>
      <c r="C99" t="s">
        <v>119</v>
      </c>
      <c r="D99">
        <v>445</v>
      </c>
      <c r="E99" s="1">
        <v>46101</v>
      </c>
      <c r="F99" s="1" t="e">
        <f>_xlfn.XLOOKUP(B99,purchase_orders!C:C,purchase_orders!G:G)</f>
        <v>#N/A</v>
      </c>
      <c r="G99" s="5" t="e">
        <f t="shared" ca="1" si="4"/>
        <v>#N/A</v>
      </c>
      <c r="H99" s="2" t="e">
        <f ca="1">IF(G99&lt;=30,"0-30",IF(G99&lt;=60,"31-60",IF(G99&lt;=90,"61-90","90+")))</f>
        <v>#N/A</v>
      </c>
      <c r="I99">
        <f>SUMIFS(order_items!D:D,order_items!C:C,inventory!B99)</f>
        <v>47</v>
      </c>
      <c r="J99" t="str">
        <f>IF(D99&gt;I99*3,"Overstock","OK")</f>
        <v>Overstock</v>
      </c>
      <c r="K99">
        <f>IFERROR(_xlfn.XLOOKUP(B99,purchase_orders!C:C,purchase_orders!I:I),0)</f>
        <v>0</v>
      </c>
      <c r="L99">
        <f>(D99+K99)/2</f>
        <v>222.5</v>
      </c>
      <c r="M99">
        <f t="shared" si="5"/>
        <v>0.21</v>
      </c>
      <c r="N99">
        <f>IFERROR(_xlfn.XLOOKUP(B99,products!A:A,products!E:E),0)</f>
        <v>122.55</v>
      </c>
      <c r="O99">
        <f t="shared" si="6"/>
        <v>54534.75</v>
      </c>
      <c r="P99" t="str">
        <f t="shared" si="7"/>
        <v>Normal</v>
      </c>
      <c r="Q99" t="str">
        <f>IFERROR(_xlfn.XLOOKUP(B99,reorder_point!B:B,reorder_point!I:I),"")</f>
        <v/>
      </c>
      <c r="R99" t="str">
        <f>_xlfn.XLOOKUP(B99,products!A:A,products!B:B)</f>
        <v>SKU-0047</v>
      </c>
    </row>
    <row r="100" spans="1:18">
      <c r="A100">
        <v>99</v>
      </c>
      <c r="B100">
        <v>47</v>
      </c>
      <c r="C100" t="s">
        <v>118</v>
      </c>
      <c r="D100">
        <v>205</v>
      </c>
      <c r="E100" s="1">
        <v>46096</v>
      </c>
      <c r="F100" s="1" t="e">
        <f>_xlfn.XLOOKUP(B100,purchase_orders!C:C,purchase_orders!G:G)</f>
        <v>#N/A</v>
      </c>
      <c r="G100" s="5" t="e">
        <f t="shared" ca="1" si="4"/>
        <v>#N/A</v>
      </c>
      <c r="H100" s="2" t="e">
        <f ca="1">IF(G100&lt;=30,"0-30",IF(G100&lt;=60,"31-60",IF(G100&lt;=90,"61-90","90+")))</f>
        <v>#N/A</v>
      </c>
      <c r="I100">
        <f>SUMIFS(order_items!D:D,order_items!C:C,inventory!B100)</f>
        <v>47</v>
      </c>
      <c r="J100" t="str">
        <f>IF(D100&gt;I100*3,"Overstock","OK")</f>
        <v>Overstock</v>
      </c>
      <c r="K100">
        <f>IFERROR(_xlfn.XLOOKUP(B100,purchase_orders!C:C,purchase_orders!I:I),0)</f>
        <v>0</v>
      </c>
      <c r="L100">
        <f>(D100+K100)/2</f>
        <v>102.5</v>
      </c>
      <c r="M100">
        <f t="shared" si="5"/>
        <v>0.46</v>
      </c>
      <c r="N100">
        <f>IFERROR(_xlfn.XLOOKUP(B100,products!A:A,products!E:E),0)</f>
        <v>122.55</v>
      </c>
      <c r="O100">
        <f t="shared" si="6"/>
        <v>25122.75</v>
      </c>
      <c r="P100" t="str">
        <f t="shared" si="7"/>
        <v>Normal</v>
      </c>
      <c r="Q100" t="str">
        <f>IFERROR(_xlfn.XLOOKUP(B100,reorder_point!B:B,reorder_point!I:I),"")</f>
        <v/>
      </c>
      <c r="R100" t="str">
        <f>_xlfn.XLOOKUP(B100,products!A:A,products!B:B)</f>
        <v>SKU-0047</v>
      </c>
    </row>
    <row r="101" spans="1:18">
      <c r="A101">
        <v>100</v>
      </c>
      <c r="B101">
        <v>48</v>
      </c>
      <c r="C101" t="s">
        <v>119</v>
      </c>
      <c r="D101">
        <v>271</v>
      </c>
      <c r="E101" s="1">
        <v>46117</v>
      </c>
      <c r="F101" s="1">
        <f>_xlfn.XLOOKUP(B101,purchase_orders!C:C,purchase_orders!G:G)</f>
        <v>46122</v>
      </c>
      <c r="G101" s="5">
        <f t="shared" ca="1" si="4"/>
        <v>42</v>
      </c>
      <c r="H101" s="2" t="str">
        <f ca="1">IF(G101&lt;=30,"0-30",IF(G101&lt;=60,"31-60",IF(G101&lt;=90,"61-90","90+")))</f>
        <v>31-60</v>
      </c>
      <c r="I101">
        <f>SUMIFS(order_items!D:D,order_items!C:C,inventory!B101)</f>
        <v>43</v>
      </c>
      <c r="J101" t="str">
        <f>IF(D101&gt;I101*3,"Overstock","OK")</f>
        <v>Overstock</v>
      </c>
      <c r="K101">
        <f>IFERROR(_xlfn.XLOOKUP(B101,purchase_orders!C:C,purchase_orders!I:I),0)</f>
        <v>171</v>
      </c>
      <c r="L101">
        <f>(D101+K101)/2</f>
        <v>221</v>
      </c>
      <c r="M101">
        <f t="shared" si="5"/>
        <v>0.19</v>
      </c>
      <c r="N101">
        <f>IFERROR(_xlfn.XLOOKUP(B101,products!A:A,products!E:E),0)</f>
        <v>85.2</v>
      </c>
      <c r="O101">
        <f t="shared" si="6"/>
        <v>23089.200000000001</v>
      </c>
      <c r="P101" t="str">
        <f t="shared" si="7"/>
        <v>Normal</v>
      </c>
      <c r="Q101" t="str">
        <f>IFERROR(_xlfn.XLOOKUP(B101,reorder_point!B:B,reorder_point!I:I),"")</f>
        <v>OK</v>
      </c>
      <c r="R101" t="str">
        <f>_xlfn.XLOOKUP(B101,products!A:A,products!B:B)</f>
        <v>SKU-0048</v>
      </c>
    </row>
    <row r="102" spans="1:18">
      <c r="A102">
        <v>101</v>
      </c>
      <c r="B102">
        <v>48</v>
      </c>
      <c r="C102" t="s">
        <v>119</v>
      </c>
      <c r="D102">
        <v>232</v>
      </c>
      <c r="E102" s="1">
        <v>46120</v>
      </c>
      <c r="F102" s="1">
        <f>_xlfn.XLOOKUP(B102,purchase_orders!C:C,purchase_orders!G:G)</f>
        <v>46122</v>
      </c>
      <c r="G102" s="5">
        <f t="shared" ca="1" si="4"/>
        <v>42</v>
      </c>
      <c r="H102" s="2" t="str">
        <f ca="1">IF(G102&lt;=30,"0-30",IF(G102&lt;=60,"31-60",IF(G102&lt;=90,"61-90","90+")))</f>
        <v>31-60</v>
      </c>
      <c r="I102">
        <f>SUMIFS(order_items!D:D,order_items!C:C,inventory!B102)</f>
        <v>43</v>
      </c>
      <c r="J102" t="str">
        <f>IF(D102&gt;I102*3,"Overstock","OK")</f>
        <v>Overstock</v>
      </c>
      <c r="K102">
        <f>IFERROR(_xlfn.XLOOKUP(B102,purchase_orders!C:C,purchase_orders!I:I),0)</f>
        <v>171</v>
      </c>
      <c r="L102">
        <f>(D102+K102)/2</f>
        <v>201.5</v>
      </c>
      <c r="M102">
        <f t="shared" si="5"/>
        <v>0.21</v>
      </c>
      <c r="N102">
        <f>IFERROR(_xlfn.XLOOKUP(B102,products!A:A,products!E:E),0)</f>
        <v>85.2</v>
      </c>
      <c r="O102">
        <f t="shared" si="6"/>
        <v>19766.400000000001</v>
      </c>
      <c r="P102" t="str">
        <f t="shared" si="7"/>
        <v>Normal</v>
      </c>
      <c r="Q102" t="str">
        <f>IFERROR(_xlfn.XLOOKUP(B102,reorder_point!B:B,reorder_point!I:I),"")</f>
        <v>OK</v>
      </c>
      <c r="R102" t="str">
        <f>_xlfn.XLOOKUP(B102,products!A:A,products!B:B)</f>
        <v>SKU-0048</v>
      </c>
    </row>
    <row r="103" spans="1:18">
      <c r="A103">
        <v>102</v>
      </c>
      <c r="B103">
        <v>48</v>
      </c>
      <c r="C103" t="s">
        <v>122</v>
      </c>
      <c r="D103">
        <v>159</v>
      </c>
      <c r="E103" s="1">
        <v>46094</v>
      </c>
      <c r="F103" s="1">
        <f>_xlfn.XLOOKUP(B103,purchase_orders!C:C,purchase_orders!G:G)</f>
        <v>46122</v>
      </c>
      <c r="G103" s="5">
        <f t="shared" ca="1" si="4"/>
        <v>42</v>
      </c>
      <c r="H103" s="2" t="str">
        <f ca="1">IF(G103&lt;=30,"0-30",IF(G103&lt;=60,"31-60",IF(G103&lt;=90,"61-90","90+")))</f>
        <v>31-60</v>
      </c>
      <c r="I103">
        <f>SUMIFS(order_items!D:D,order_items!C:C,inventory!B103)</f>
        <v>43</v>
      </c>
      <c r="J103" t="str">
        <f>IF(D103&gt;I103*3,"Overstock","OK")</f>
        <v>Overstock</v>
      </c>
      <c r="K103">
        <f>IFERROR(_xlfn.XLOOKUP(B103,purchase_orders!C:C,purchase_orders!I:I),0)</f>
        <v>171</v>
      </c>
      <c r="L103">
        <f>(D103+K103)/2</f>
        <v>165</v>
      </c>
      <c r="M103">
        <f t="shared" si="5"/>
        <v>0.26</v>
      </c>
      <c r="N103">
        <f>IFERROR(_xlfn.XLOOKUP(B103,products!A:A,products!E:E),0)</f>
        <v>85.2</v>
      </c>
      <c r="O103">
        <f t="shared" si="6"/>
        <v>13546.800000000001</v>
      </c>
      <c r="P103" t="str">
        <f t="shared" si="7"/>
        <v>Normal</v>
      </c>
      <c r="Q103" t="str">
        <f>IFERROR(_xlfn.XLOOKUP(B103,reorder_point!B:B,reorder_point!I:I),"")</f>
        <v>OK</v>
      </c>
      <c r="R103" t="str">
        <f>_xlfn.XLOOKUP(B103,products!A:A,products!B:B)</f>
        <v>SKU-0048</v>
      </c>
    </row>
    <row r="104" spans="1:18">
      <c r="A104">
        <v>103</v>
      </c>
      <c r="B104">
        <v>49</v>
      </c>
      <c r="C104" t="s">
        <v>119</v>
      </c>
      <c r="D104">
        <v>80</v>
      </c>
      <c r="E104" s="1">
        <v>46140</v>
      </c>
      <c r="F104" s="1">
        <f>_xlfn.XLOOKUP(B104,purchase_orders!C:C,purchase_orders!G:G)</f>
        <v>46062</v>
      </c>
      <c r="G104" s="5">
        <f t="shared" ca="1" si="4"/>
        <v>102</v>
      </c>
      <c r="H104" s="2" t="str">
        <f ca="1">IF(G104&lt;=30,"0-30",IF(G104&lt;=60,"31-60",IF(G104&lt;=90,"61-90","90+")))</f>
        <v>90+</v>
      </c>
      <c r="I104">
        <f>SUMIFS(order_items!D:D,order_items!C:C,inventory!B104)</f>
        <v>18</v>
      </c>
      <c r="J104" t="str">
        <f>IF(D104&gt;I104*3,"Overstock","OK")</f>
        <v>Overstock</v>
      </c>
      <c r="K104">
        <f>IFERROR(_xlfn.XLOOKUP(B104,purchase_orders!C:C,purchase_orders!I:I),0)</f>
        <v>78</v>
      </c>
      <c r="L104">
        <f>(D104+K104)/2</f>
        <v>79</v>
      </c>
      <c r="M104">
        <f t="shared" si="5"/>
        <v>0.23</v>
      </c>
      <c r="N104">
        <f>IFERROR(_xlfn.XLOOKUP(B104,products!A:A,products!E:E),0)</f>
        <v>51.41</v>
      </c>
      <c r="O104">
        <f t="shared" si="6"/>
        <v>4112.7999999999993</v>
      </c>
      <c r="P104" t="str">
        <f t="shared" si="7"/>
        <v>Normal</v>
      </c>
      <c r="Q104" t="str">
        <f>IFERROR(_xlfn.XLOOKUP(B104,reorder_point!B:B,reorder_point!I:I),"")</f>
        <v>OK</v>
      </c>
      <c r="R104" t="str">
        <f>_xlfn.XLOOKUP(B104,products!A:A,products!B:B)</f>
        <v>SKU-0049</v>
      </c>
    </row>
    <row r="105" spans="1:18">
      <c r="A105">
        <v>104</v>
      </c>
      <c r="B105">
        <v>49</v>
      </c>
      <c r="C105" t="s">
        <v>119</v>
      </c>
      <c r="D105">
        <v>345</v>
      </c>
      <c r="E105" s="1">
        <v>46115</v>
      </c>
      <c r="F105" s="1">
        <f>_xlfn.XLOOKUP(B105,purchase_orders!C:C,purchase_orders!G:G)</f>
        <v>46062</v>
      </c>
      <c r="G105" s="5">
        <f t="shared" ca="1" si="4"/>
        <v>102</v>
      </c>
      <c r="H105" s="2" t="str">
        <f ca="1">IF(G105&lt;=30,"0-30",IF(G105&lt;=60,"31-60",IF(G105&lt;=90,"61-90","90+")))</f>
        <v>90+</v>
      </c>
      <c r="I105">
        <f>SUMIFS(order_items!D:D,order_items!C:C,inventory!B105)</f>
        <v>18</v>
      </c>
      <c r="J105" t="str">
        <f>IF(D105&gt;I105*3,"Overstock","OK")</f>
        <v>Overstock</v>
      </c>
      <c r="K105">
        <f>IFERROR(_xlfn.XLOOKUP(B105,purchase_orders!C:C,purchase_orders!I:I),0)</f>
        <v>78</v>
      </c>
      <c r="L105">
        <f>(D105+K105)/2</f>
        <v>211.5</v>
      </c>
      <c r="M105">
        <f t="shared" si="5"/>
        <v>0.09</v>
      </c>
      <c r="N105">
        <f>IFERROR(_xlfn.XLOOKUP(B105,products!A:A,products!E:E),0)</f>
        <v>51.41</v>
      </c>
      <c r="O105">
        <f t="shared" si="6"/>
        <v>17736.449999999997</v>
      </c>
      <c r="P105" t="str">
        <f t="shared" si="7"/>
        <v>Normal</v>
      </c>
      <c r="Q105" t="str">
        <f>IFERROR(_xlfn.XLOOKUP(B105,reorder_point!B:B,reorder_point!I:I),"")</f>
        <v>OK</v>
      </c>
      <c r="R105" t="str">
        <f>_xlfn.XLOOKUP(B105,products!A:A,products!B:B)</f>
        <v>SKU-0049</v>
      </c>
    </row>
    <row r="106" spans="1:18">
      <c r="A106">
        <v>105</v>
      </c>
      <c r="B106">
        <v>49</v>
      </c>
      <c r="C106" t="s">
        <v>121</v>
      </c>
      <c r="D106">
        <v>338</v>
      </c>
      <c r="E106" s="1">
        <v>46105</v>
      </c>
      <c r="F106" s="1">
        <f>_xlfn.XLOOKUP(B106,purchase_orders!C:C,purchase_orders!G:G)</f>
        <v>46062</v>
      </c>
      <c r="G106" s="5">
        <f t="shared" ca="1" si="4"/>
        <v>102</v>
      </c>
      <c r="H106" s="2" t="str">
        <f ca="1">IF(G106&lt;=30,"0-30",IF(G106&lt;=60,"31-60",IF(G106&lt;=90,"61-90","90+")))</f>
        <v>90+</v>
      </c>
      <c r="I106">
        <f>SUMIFS(order_items!D:D,order_items!C:C,inventory!B106)</f>
        <v>18</v>
      </c>
      <c r="J106" t="str">
        <f>IF(D106&gt;I106*3,"Overstock","OK")</f>
        <v>Overstock</v>
      </c>
      <c r="K106">
        <f>IFERROR(_xlfn.XLOOKUP(B106,purchase_orders!C:C,purchase_orders!I:I),0)</f>
        <v>78</v>
      </c>
      <c r="L106">
        <f>(D106+K106)/2</f>
        <v>208</v>
      </c>
      <c r="M106">
        <f t="shared" si="5"/>
        <v>0.09</v>
      </c>
      <c r="N106">
        <f>IFERROR(_xlfn.XLOOKUP(B106,products!A:A,products!E:E),0)</f>
        <v>51.41</v>
      </c>
      <c r="O106">
        <f t="shared" si="6"/>
        <v>17376.579999999998</v>
      </c>
      <c r="P106" t="str">
        <f t="shared" si="7"/>
        <v>Normal</v>
      </c>
      <c r="Q106" t="str">
        <f>IFERROR(_xlfn.XLOOKUP(B106,reorder_point!B:B,reorder_point!I:I),"")</f>
        <v>OK</v>
      </c>
      <c r="R106" t="str">
        <f>_xlfn.XLOOKUP(B106,products!A:A,products!B:B)</f>
        <v>SKU-0049</v>
      </c>
    </row>
    <row r="107" spans="1:18">
      <c r="A107">
        <v>106</v>
      </c>
      <c r="B107">
        <v>50</v>
      </c>
      <c r="C107" t="s">
        <v>117</v>
      </c>
      <c r="D107">
        <v>110</v>
      </c>
      <c r="E107" s="1">
        <v>46136</v>
      </c>
      <c r="F107" s="1">
        <f>_xlfn.XLOOKUP(B107,purchase_orders!C:C,purchase_orders!G:G)</f>
        <v>46101</v>
      </c>
      <c r="G107" s="5">
        <f t="shared" ca="1" si="4"/>
        <v>63</v>
      </c>
      <c r="H107" s="2" t="str">
        <f ca="1">IF(G107&lt;=30,"0-30",IF(G107&lt;=60,"31-60",IF(G107&lt;=90,"61-90","90+")))</f>
        <v>61-90</v>
      </c>
      <c r="I107">
        <f>SUMIFS(order_items!D:D,order_items!C:C,inventory!B107)</f>
        <v>26</v>
      </c>
      <c r="J107" t="str">
        <f>IF(D107&gt;I107*3,"Overstock","OK")</f>
        <v>Overstock</v>
      </c>
      <c r="K107">
        <f>IFERROR(_xlfn.XLOOKUP(B107,purchase_orders!C:C,purchase_orders!I:I),0)</f>
        <v>829</v>
      </c>
      <c r="L107">
        <f>(D107+K107)/2</f>
        <v>469.5</v>
      </c>
      <c r="M107">
        <f t="shared" si="5"/>
        <v>0.06</v>
      </c>
      <c r="N107">
        <f>IFERROR(_xlfn.XLOOKUP(B107,products!A:A,products!E:E),0)</f>
        <v>32.61</v>
      </c>
      <c r="O107">
        <f t="shared" si="6"/>
        <v>3587.1</v>
      </c>
      <c r="P107" t="str">
        <f t="shared" si="7"/>
        <v>Normal</v>
      </c>
      <c r="Q107" t="str">
        <f>IFERROR(_xlfn.XLOOKUP(B107,reorder_point!B:B,reorder_point!I:I),"")</f>
        <v>OK</v>
      </c>
      <c r="R107" t="str">
        <f>_xlfn.XLOOKUP(B107,products!A:A,products!B:B)</f>
        <v>SKU-0050</v>
      </c>
    </row>
    <row r="108" spans="1:18">
      <c r="A108">
        <v>107</v>
      </c>
      <c r="B108">
        <v>50</v>
      </c>
      <c r="C108" t="s">
        <v>120</v>
      </c>
      <c r="D108">
        <v>176</v>
      </c>
      <c r="E108" s="1">
        <v>46125</v>
      </c>
      <c r="F108" s="1">
        <f>_xlfn.XLOOKUP(B108,purchase_orders!C:C,purchase_orders!G:G)</f>
        <v>46101</v>
      </c>
      <c r="G108" s="5">
        <f t="shared" ca="1" si="4"/>
        <v>63</v>
      </c>
      <c r="H108" s="2" t="str">
        <f ca="1">IF(G108&lt;=30,"0-30",IF(G108&lt;=60,"31-60",IF(G108&lt;=90,"61-90","90+")))</f>
        <v>61-90</v>
      </c>
      <c r="I108">
        <f>SUMIFS(order_items!D:D,order_items!C:C,inventory!B108)</f>
        <v>26</v>
      </c>
      <c r="J108" t="str">
        <f>IF(D108&gt;I108*3,"Overstock","OK")</f>
        <v>Overstock</v>
      </c>
      <c r="K108">
        <f>IFERROR(_xlfn.XLOOKUP(B108,purchase_orders!C:C,purchase_orders!I:I),0)</f>
        <v>829</v>
      </c>
      <c r="L108">
        <f>(D108+K108)/2</f>
        <v>502.5</v>
      </c>
      <c r="M108">
        <f t="shared" si="5"/>
        <v>0.05</v>
      </c>
      <c r="N108">
        <f>IFERROR(_xlfn.XLOOKUP(B108,products!A:A,products!E:E),0)</f>
        <v>32.61</v>
      </c>
      <c r="O108">
        <f t="shared" si="6"/>
        <v>5739.36</v>
      </c>
      <c r="P108" t="str">
        <f t="shared" si="7"/>
        <v>Normal</v>
      </c>
      <c r="Q108" t="str">
        <f>IFERROR(_xlfn.XLOOKUP(B108,reorder_point!B:B,reorder_point!I:I),"")</f>
        <v>OK</v>
      </c>
      <c r="R108" t="str">
        <f>_xlfn.XLOOKUP(B108,products!A:A,products!B:B)</f>
        <v>SKU-0050</v>
      </c>
    </row>
    <row r="109" spans="1:18">
      <c r="A109">
        <v>108</v>
      </c>
      <c r="B109">
        <v>51</v>
      </c>
      <c r="C109" t="s">
        <v>117</v>
      </c>
      <c r="D109">
        <v>112</v>
      </c>
      <c r="E109" s="1">
        <v>46105</v>
      </c>
      <c r="F109" s="1">
        <f>_xlfn.XLOOKUP(B109,purchase_orders!C:C,purchase_orders!G:G)</f>
        <v>46073</v>
      </c>
      <c r="G109" s="5">
        <f t="shared" ca="1" si="4"/>
        <v>91</v>
      </c>
      <c r="H109" s="2" t="str">
        <f ca="1">IF(G109&lt;=30,"0-30",IF(G109&lt;=60,"31-60",IF(G109&lt;=90,"61-90","90+")))</f>
        <v>90+</v>
      </c>
      <c r="I109">
        <f>SUMIFS(order_items!D:D,order_items!C:C,inventory!B109)</f>
        <v>11</v>
      </c>
      <c r="J109" t="str">
        <f>IF(D109&gt;I109*3,"Overstock","OK")</f>
        <v>Overstock</v>
      </c>
      <c r="K109">
        <f>IFERROR(_xlfn.XLOOKUP(B109,purchase_orders!C:C,purchase_orders!I:I),0)</f>
        <v>481</v>
      </c>
      <c r="L109">
        <f>(D109+K109)/2</f>
        <v>296.5</v>
      </c>
      <c r="M109">
        <f t="shared" si="5"/>
        <v>0.04</v>
      </c>
      <c r="N109">
        <f>IFERROR(_xlfn.XLOOKUP(B109,products!A:A,products!E:E),0)</f>
        <v>57.39</v>
      </c>
      <c r="O109">
        <f t="shared" si="6"/>
        <v>6427.68</v>
      </c>
      <c r="P109" t="str">
        <f t="shared" si="7"/>
        <v>Normal</v>
      </c>
      <c r="Q109" t="str">
        <f>IFERROR(_xlfn.XLOOKUP(B109,reorder_point!B:B,reorder_point!I:I),"")</f>
        <v>OK</v>
      </c>
      <c r="R109" t="str">
        <f>_xlfn.XLOOKUP(B109,products!A:A,products!B:B)</f>
        <v>SKU-0051</v>
      </c>
    </row>
    <row r="110" spans="1:18">
      <c r="A110">
        <v>109</v>
      </c>
      <c r="B110">
        <v>51</v>
      </c>
      <c r="C110" t="s">
        <v>120</v>
      </c>
      <c r="D110">
        <v>0</v>
      </c>
      <c r="E110" s="1">
        <v>46083</v>
      </c>
      <c r="F110" s="1">
        <f>_xlfn.XLOOKUP(B110,purchase_orders!C:C,purchase_orders!G:G)</f>
        <v>46073</v>
      </c>
      <c r="G110" s="5">
        <f t="shared" ca="1" si="4"/>
        <v>91</v>
      </c>
      <c r="H110" s="2" t="str">
        <f ca="1">IF(G110&lt;=30,"0-30",IF(G110&lt;=60,"31-60",IF(G110&lt;=90,"61-90","90+")))</f>
        <v>90+</v>
      </c>
      <c r="I110">
        <f>SUMIFS(order_items!D:D,order_items!C:C,inventory!B110)</f>
        <v>11</v>
      </c>
      <c r="J110" t="str">
        <f>IF(D110&gt;I110*3,"Overstock","OK")</f>
        <v>OK</v>
      </c>
      <c r="K110">
        <f>IFERROR(_xlfn.XLOOKUP(B110,purchase_orders!C:C,purchase_orders!I:I),0)</f>
        <v>481</v>
      </c>
      <c r="L110">
        <f>(D110+K110)/2</f>
        <v>240.5</v>
      </c>
      <c r="M110">
        <f t="shared" si="5"/>
        <v>0.05</v>
      </c>
      <c r="N110">
        <f>IFERROR(_xlfn.XLOOKUP(B110,products!A:A,products!E:E),0)</f>
        <v>57.39</v>
      </c>
      <c r="O110">
        <f t="shared" si="6"/>
        <v>0</v>
      </c>
      <c r="P110" t="str">
        <f t="shared" si="7"/>
        <v>Normal</v>
      </c>
      <c r="Q110" t="str">
        <f>IFERROR(_xlfn.XLOOKUP(B110,reorder_point!B:B,reorder_point!I:I),"")</f>
        <v>OK</v>
      </c>
      <c r="R110" t="str">
        <f>_xlfn.XLOOKUP(B110,products!A:A,products!B:B)</f>
        <v>SKU-0051</v>
      </c>
    </row>
    <row r="111" spans="1:18">
      <c r="A111">
        <v>110</v>
      </c>
      <c r="B111">
        <v>51</v>
      </c>
      <c r="C111" t="s">
        <v>119</v>
      </c>
      <c r="D111">
        <v>108</v>
      </c>
      <c r="E111" s="1">
        <v>46095</v>
      </c>
      <c r="F111" s="1">
        <f>_xlfn.XLOOKUP(B111,purchase_orders!C:C,purchase_orders!G:G)</f>
        <v>46073</v>
      </c>
      <c r="G111" s="5">
        <f t="shared" ca="1" si="4"/>
        <v>91</v>
      </c>
      <c r="H111" s="2" t="str">
        <f ca="1">IF(G111&lt;=30,"0-30",IF(G111&lt;=60,"31-60",IF(G111&lt;=90,"61-90","90+")))</f>
        <v>90+</v>
      </c>
      <c r="I111">
        <f>SUMIFS(order_items!D:D,order_items!C:C,inventory!B111)</f>
        <v>11</v>
      </c>
      <c r="J111" t="str">
        <f>IF(D111&gt;I111*3,"Overstock","OK")</f>
        <v>Overstock</v>
      </c>
      <c r="K111">
        <f>IFERROR(_xlfn.XLOOKUP(B111,purchase_orders!C:C,purchase_orders!I:I),0)</f>
        <v>481</v>
      </c>
      <c r="L111">
        <f>(D111+K111)/2</f>
        <v>294.5</v>
      </c>
      <c r="M111">
        <f t="shared" si="5"/>
        <v>0.04</v>
      </c>
      <c r="N111">
        <f>IFERROR(_xlfn.XLOOKUP(B111,products!A:A,products!E:E),0)</f>
        <v>57.39</v>
      </c>
      <c r="O111">
        <f t="shared" si="6"/>
        <v>6198.12</v>
      </c>
      <c r="P111" t="str">
        <f t="shared" si="7"/>
        <v>Normal</v>
      </c>
      <c r="Q111" t="str">
        <f>IFERROR(_xlfn.XLOOKUP(B111,reorder_point!B:B,reorder_point!I:I),"")</f>
        <v>OK</v>
      </c>
      <c r="R111" t="str">
        <f>_xlfn.XLOOKUP(B111,products!A:A,products!B:B)</f>
        <v>SKU-0051</v>
      </c>
    </row>
    <row r="112" spans="1:18">
      <c r="A112">
        <v>111</v>
      </c>
      <c r="B112">
        <v>52</v>
      </c>
      <c r="C112" t="s">
        <v>120</v>
      </c>
      <c r="D112">
        <v>0</v>
      </c>
      <c r="E112" s="1">
        <v>46132</v>
      </c>
      <c r="F112" s="1">
        <f>_xlfn.XLOOKUP(B112,purchase_orders!C:C,purchase_orders!G:G)</f>
        <v>46085</v>
      </c>
      <c r="G112" s="5">
        <f t="shared" ca="1" si="4"/>
        <v>79</v>
      </c>
      <c r="H112" s="2" t="str">
        <f ca="1">IF(G112&lt;=30,"0-30",IF(G112&lt;=60,"31-60",IF(G112&lt;=90,"61-90","90+")))</f>
        <v>61-90</v>
      </c>
      <c r="I112">
        <f>SUMIFS(order_items!D:D,order_items!C:C,inventory!B112)</f>
        <v>55</v>
      </c>
      <c r="J112" t="str">
        <f>IF(D112&gt;I112*3,"Overstock","OK")</f>
        <v>OK</v>
      </c>
      <c r="K112">
        <f>IFERROR(_xlfn.XLOOKUP(B112,purchase_orders!C:C,purchase_orders!I:I),0)</f>
        <v>216</v>
      </c>
      <c r="L112">
        <f>(D112+K112)/2</f>
        <v>108</v>
      </c>
      <c r="M112">
        <f t="shared" si="5"/>
        <v>0.51</v>
      </c>
      <c r="N112">
        <f>IFERROR(_xlfn.XLOOKUP(B112,products!A:A,products!E:E),0)</f>
        <v>134.91999999999999</v>
      </c>
      <c r="O112">
        <f t="shared" si="6"/>
        <v>0</v>
      </c>
      <c r="P112" t="str">
        <f t="shared" si="7"/>
        <v>Normal</v>
      </c>
      <c r="Q112" t="str">
        <f>IFERROR(_xlfn.XLOOKUP(B112,reorder_point!B:B,reorder_point!I:I),"")</f>
        <v>Reorder</v>
      </c>
      <c r="R112" t="str">
        <f>_xlfn.XLOOKUP(B112,products!A:A,products!B:B)</f>
        <v>SKU-0052</v>
      </c>
    </row>
    <row r="113" spans="1:18">
      <c r="A113">
        <v>112</v>
      </c>
      <c r="B113">
        <v>52</v>
      </c>
      <c r="C113" t="s">
        <v>122</v>
      </c>
      <c r="D113">
        <v>66</v>
      </c>
      <c r="E113" s="1">
        <v>46098</v>
      </c>
      <c r="F113" s="1">
        <f>_xlfn.XLOOKUP(B113,purchase_orders!C:C,purchase_orders!G:G)</f>
        <v>46085</v>
      </c>
      <c r="G113" s="5">
        <f t="shared" ca="1" si="4"/>
        <v>79</v>
      </c>
      <c r="H113" s="2" t="str">
        <f ca="1">IF(G113&lt;=30,"0-30",IF(G113&lt;=60,"31-60",IF(G113&lt;=90,"61-90","90+")))</f>
        <v>61-90</v>
      </c>
      <c r="I113">
        <f>SUMIFS(order_items!D:D,order_items!C:C,inventory!B113)</f>
        <v>55</v>
      </c>
      <c r="J113" t="str">
        <f>IF(D113&gt;I113*3,"Overstock","OK")</f>
        <v>OK</v>
      </c>
      <c r="K113">
        <f>IFERROR(_xlfn.XLOOKUP(B113,purchase_orders!C:C,purchase_orders!I:I),0)</f>
        <v>216</v>
      </c>
      <c r="L113">
        <f>(D113+K113)/2</f>
        <v>141</v>
      </c>
      <c r="M113">
        <f t="shared" si="5"/>
        <v>0.39</v>
      </c>
      <c r="N113">
        <f>IFERROR(_xlfn.XLOOKUP(B113,products!A:A,products!E:E),0)</f>
        <v>134.91999999999999</v>
      </c>
      <c r="O113">
        <f t="shared" si="6"/>
        <v>8904.7199999999993</v>
      </c>
      <c r="P113" t="str">
        <f t="shared" si="7"/>
        <v>Normal</v>
      </c>
      <c r="Q113" t="str">
        <f>IFERROR(_xlfn.XLOOKUP(B113,reorder_point!B:B,reorder_point!I:I),"")</f>
        <v>Reorder</v>
      </c>
      <c r="R113" t="str">
        <f>_xlfn.XLOOKUP(B113,products!A:A,products!B:B)</f>
        <v>SKU-0052</v>
      </c>
    </row>
    <row r="114" spans="1:18">
      <c r="A114">
        <v>113</v>
      </c>
      <c r="B114">
        <v>53</v>
      </c>
      <c r="C114" t="s">
        <v>121</v>
      </c>
      <c r="D114">
        <v>286</v>
      </c>
      <c r="E114" s="1">
        <v>46092</v>
      </c>
      <c r="F114" s="1">
        <f>_xlfn.XLOOKUP(B114,purchase_orders!C:C,purchase_orders!G:G)</f>
        <v>46049</v>
      </c>
      <c r="G114" s="5">
        <f t="shared" ca="1" si="4"/>
        <v>115</v>
      </c>
      <c r="H114" s="2" t="str">
        <f ca="1">IF(G114&lt;=30,"0-30",IF(G114&lt;=60,"31-60",IF(G114&lt;=90,"61-90","90+")))</f>
        <v>90+</v>
      </c>
      <c r="I114">
        <f>SUMIFS(order_items!D:D,order_items!C:C,inventory!B114)</f>
        <v>19</v>
      </c>
      <c r="J114" t="str">
        <f>IF(D114&gt;I114*3,"Overstock","OK")</f>
        <v>Overstock</v>
      </c>
      <c r="K114">
        <f>IFERROR(_xlfn.XLOOKUP(B114,purchase_orders!C:C,purchase_orders!I:I),0)</f>
        <v>671</v>
      </c>
      <c r="L114">
        <f>(D114+K114)/2</f>
        <v>478.5</v>
      </c>
      <c r="M114">
        <f t="shared" si="5"/>
        <v>0.04</v>
      </c>
      <c r="N114" t="str">
        <f>IFERROR(_xlfn.XLOOKUP(B114,products!A:A,products!E:E),0)</f>
        <v>NULL</v>
      </c>
      <c r="O114">
        <f t="shared" si="6"/>
        <v>0</v>
      </c>
      <c r="P114" t="str">
        <f t="shared" si="7"/>
        <v>Normal</v>
      </c>
      <c r="Q114" t="str">
        <f>IFERROR(_xlfn.XLOOKUP(B114,reorder_point!B:B,reorder_point!I:I),"")</f>
        <v>OK</v>
      </c>
      <c r="R114" t="str">
        <f>_xlfn.XLOOKUP(B114,products!A:A,products!B:B)</f>
        <v>SKU-0053</v>
      </c>
    </row>
    <row r="115" spans="1:18">
      <c r="A115">
        <v>114</v>
      </c>
      <c r="B115">
        <v>54</v>
      </c>
      <c r="C115" t="s">
        <v>119</v>
      </c>
      <c r="D115">
        <v>441</v>
      </c>
      <c r="E115" s="1">
        <v>46116</v>
      </c>
      <c r="F115" s="1">
        <f>_xlfn.XLOOKUP(B115,purchase_orders!C:C,purchase_orders!G:G)</f>
        <v>46156</v>
      </c>
      <c r="G115" s="5">
        <f t="shared" ca="1" si="4"/>
        <v>8</v>
      </c>
      <c r="H115" s="2" t="str">
        <f ca="1">IF(G115&lt;=30,"0-30",IF(G115&lt;=60,"31-60",IF(G115&lt;=90,"61-90","90+")))</f>
        <v>0-30</v>
      </c>
      <c r="I115">
        <f>SUMIFS(order_items!D:D,order_items!C:C,inventory!B115)</f>
        <v>11</v>
      </c>
      <c r="J115" t="str">
        <f>IF(D115&gt;I115*3,"Overstock","OK")</f>
        <v>Overstock</v>
      </c>
      <c r="K115">
        <f>IFERROR(_xlfn.XLOOKUP(B115,purchase_orders!C:C,purchase_orders!I:I),0)</f>
        <v>794</v>
      </c>
      <c r="L115">
        <f>(D115+K115)/2</f>
        <v>617.5</v>
      </c>
      <c r="M115">
        <f t="shared" si="5"/>
        <v>0.02</v>
      </c>
      <c r="N115">
        <f>IFERROR(_xlfn.XLOOKUP(B115,products!A:A,products!E:E),0)</f>
        <v>163.43</v>
      </c>
      <c r="O115">
        <f t="shared" si="6"/>
        <v>72072.63</v>
      </c>
      <c r="P115" t="str">
        <f t="shared" si="7"/>
        <v>Normal</v>
      </c>
      <c r="Q115" t="str">
        <f>IFERROR(_xlfn.XLOOKUP(B115,reorder_point!B:B,reorder_point!I:I),"")</f>
        <v>OK</v>
      </c>
      <c r="R115" t="str">
        <f>_xlfn.XLOOKUP(B115,products!A:A,products!B:B)</f>
        <v>SKU-0054</v>
      </c>
    </row>
    <row r="116" spans="1:18">
      <c r="A116">
        <v>115</v>
      </c>
      <c r="B116">
        <v>54</v>
      </c>
      <c r="C116" t="s">
        <v>117</v>
      </c>
      <c r="D116">
        <v>9</v>
      </c>
      <c r="E116" s="1">
        <v>46139</v>
      </c>
      <c r="F116" s="1">
        <f>_xlfn.XLOOKUP(B116,purchase_orders!C:C,purchase_orders!G:G)</f>
        <v>46156</v>
      </c>
      <c r="G116" s="5">
        <f t="shared" ca="1" si="4"/>
        <v>8</v>
      </c>
      <c r="H116" s="2" t="str">
        <f ca="1">IF(G116&lt;=30,"0-30",IF(G116&lt;=60,"31-60",IF(G116&lt;=90,"61-90","90+")))</f>
        <v>0-30</v>
      </c>
      <c r="I116">
        <f>SUMIFS(order_items!D:D,order_items!C:C,inventory!B116)</f>
        <v>11</v>
      </c>
      <c r="J116" t="str">
        <f>IF(D116&gt;I116*3,"Overstock","OK")</f>
        <v>OK</v>
      </c>
      <c r="K116">
        <f>IFERROR(_xlfn.XLOOKUP(B116,purchase_orders!C:C,purchase_orders!I:I),0)</f>
        <v>794</v>
      </c>
      <c r="L116">
        <f>(D116+K116)/2</f>
        <v>401.5</v>
      </c>
      <c r="M116">
        <f t="shared" si="5"/>
        <v>0.03</v>
      </c>
      <c r="N116">
        <f>IFERROR(_xlfn.XLOOKUP(B116,products!A:A,products!E:E),0)</f>
        <v>163.43</v>
      </c>
      <c r="O116">
        <f t="shared" si="6"/>
        <v>1470.8700000000001</v>
      </c>
      <c r="P116" t="str">
        <f t="shared" si="7"/>
        <v>Normal</v>
      </c>
      <c r="Q116" t="str">
        <f>IFERROR(_xlfn.XLOOKUP(B116,reorder_point!B:B,reorder_point!I:I),"")</f>
        <v>OK</v>
      </c>
      <c r="R116" t="str">
        <f>_xlfn.XLOOKUP(B116,products!A:A,products!B:B)</f>
        <v>SKU-0054</v>
      </c>
    </row>
    <row r="117" spans="1:18">
      <c r="A117">
        <v>116</v>
      </c>
      <c r="B117">
        <v>55</v>
      </c>
      <c r="C117" t="s">
        <v>117</v>
      </c>
      <c r="D117">
        <v>363</v>
      </c>
      <c r="E117" s="1">
        <v>46125</v>
      </c>
      <c r="F117" s="1">
        <f>_xlfn.XLOOKUP(B117,purchase_orders!C:C,purchase_orders!G:G)</f>
        <v>46076</v>
      </c>
      <c r="G117" s="5">
        <f t="shared" ca="1" si="4"/>
        <v>88</v>
      </c>
      <c r="H117" s="2" t="str">
        <f ca="1">IF(G117&lt;=30,"0-30",IF(G117&lt;=60,"31-60",IF(G117&lt;=90,"61-90","90+")))</f>
        <v>61-90</v>
      </c>
      <c r="I117">
        <f>SUMIFS(order_items!D:D,order_items!C:C,inventory!B117)</f>
        <v>24</v>
      </c>
      <c r="J117" t="str">
        <f>IF(D117&gt;I117*3,"Overstock","OK")</f>
        <v>Overstock</v>
      </c>
      <c r="K117">
        <f>IFERROR(_xlfn.XLOOKUP(B117,purchase_orders!C:C,purchase_orders!I:I),0)</f>
        <v>374</v>
      </c>
      <c r="L117">
        <f>(D117+K117)/2</f>
        <v>368.5</v>
      </c>
      <c r="M117">
        <f t="shared" si="5"/>
        <v>7.0000000000000007E-2</v>
      </c>
      <c r="N117">
        <f>IFERROR(_xlfn.XLOOKUP(B117,products!A:A,products!E:E),0)</f>
        <v>12.72</v>
      </c>
      <c r="O117">
        <f t="shared" si="6"/>
        <v>4617.3600000000006</v>
      </c>
      <c r="P117" t="str">
        <f t="shared" si="7"/>
        <v>Normal</v>
      </c>
      <c r="Q117" t="str">
        <f>IFERROR(_xlfn.XLOOKUP(B117,reorder_point!B:B,reorder_point!I:I),"")</f>
        <v>OK</v>
      </c>
      <c r="R117" t="str">
        <f>_xlfn.XLOOKUP(B117,products!A:A,products!B:B)</f>
        <v>SKU-0055</v>
      </c>
    </row>
    <row r="118" spans="1:18">
      <c r="A118">
        <v>117</v>
      </c>
      <c r="B118">
        <v>55</v>
      </c>
      <c r="C118" t="s">
        <v>121</v>
      </c>
      <c r="D118">
        <v>58</v>
      </c>
      <c r="E118" s="1">
        <v>46123</v>
      </c>
      <c r="F118" s="1">
        <f>_xlfn.XLOOKUP(B118,purchase_orders!C:C,purchase_orders!G:G)</f>
        <v>46076</v>
      </c>
      <c r="G118" s="5">
        <f t="shared" ca="1" si="4"/>
        <v>88</v>
      </c>
      <c r="H118" s="2" t="str">
        <f ca="1">IF(G118&lt;=30,"0-30",IF(G118&lt;=60,"31-60",IF(G118&lt;=90,"61-90","90+")))</f>
        <v>61-90</v>
      </c>
      <c r="I118">
        <f>SUMIFS(order_items!D:D,order_items!C:C,inventory!B118)</f>
        <v>24</v>
      </c>
      <c r="J118" t="str">
        <f>IF(D118&gt;I118*3,"Overstock","OK")</f>
        <v>OK</v>
      </c>
      <c r="K118">
        <f>IFERROR(_xlfn.XLOOKUP(B118,purchase_orders!C:C,purchase_orders!I:I),0)</f>
        <v>374</v>
      </c>
      <c r="L118">
        <f>(D118+K118)/2</f>
        <v>216</v>
      </c>
      <c r="M118">
        <f t="shared" si="5"/>
        <v>0.11</v>
      </c>
      <c r="N118">
        <f>IFERROR(_xlfn.XLOOKUP(B118,products!A:A,products!E:E),0)</f>
        <v>12.72</v>
      </c>
      <c r="O118">
        <f t="shared" si="6"/>
        <v>737.76</v>
      </c>
      <c r="P118" t="str">
        <f t="shared" si="7"/>
        <v>Normal</v>
      </c>
      <c r="Q118" t="str">
        <f>IFERROR(_xlfn.XLOOKUP(B118,reorder_point!B:B,reorder_point!I:I),"")</f>
        <v>OK</v>
      </c>
      <c r="R118" t="str">
        <f>_xlfn.XLOOKUP(B118,products!A:A,products!B:B)</f>
        <v>SKU-0055</v>
      </c>
    </row>
    <row r="119" spans="1:18">
      <c r="A119">
        <v>118</v>
      </c>
      <c r="B119">
        <v>56</v>
      </c>
      <c r="C119" t="s">
        <v>117</v>
      </c>
      <c r="D119">
        <v>425</v>
      </c>
      <c r="E119" s="1">
        <v>46120</v>
      </c>
      <c r="F119" s="1">
        <f>_xlfn.XLOOKUP(B119,purchase_orders!C:C,purchase_orders!G:G)</f>
        <v>46142</v>
      </c>
      <c r="G119" s="5">
        <f t="shared" ca="1" si="4"/>
        <v>22</v>
      </c>
      <c r="H119" s="2" t="str">
        <f ca="1">IF(G119&lt;=30,"0-30",IF(G119&lt;=60,"31-60",IF(G119&lt;=90,"61-90","90+")))</f>
        <v>0-30</v>
      </c>
      <c r="I119">
        <f>SUMIFS(order_items!D:D,order_items!C:C,inventory!B119)</f>
        <v>28</v>
      </c>
      <c r="J119" t="str">
        <f>IF(D119&gt;I119*3,"Overstock","OK")</f>
        <v>Overstock</v>
      </c>
      <c r="K119">
        <f>IFERROR(_xlfn.XLOOKUP(B119,purchase_orders!C:C,purchase_orders!I:I),0)</f>
        <v>938</v>
      </c>
      <c r="L119">
        <f>(D119+K119)/2</f>
        <v>681.5</v>
      </c>
      <c r="M119">
        <f t="shared" si="5"/>
        <v>0.04</v>
      </c>
      <c r="N119">
        <f>IFERROR(_xlfn.XLOOKUP(B119,products!A:A,products!E:E),0)</f>
        <v>134.72</v>
      </c>
      <c r="O119">
        <f t="shared" si="6"/>
        <v>57256</v>
      </c>
      <c r="P119" t="str">
        <f t="shared" si="7"/>
        <v>Normal</v>
      </c>
      <c r="Q119" t="str">
        <f>IFERROR(_xlfn.XLOOKUP(B119,reorder_point!B:B,reorder_point!I:I),"")</f>
        <v>OK</v>
      </c>
      <c r="R119" t="str">
        <f>_xlfn.XLOOKUP(B119,products!A:A,products!B:B)</f>
        <v>SKU-0056</v>
      </c>
    </row>
    <row r="120" spans="1:18">
      <c r="A120">
        <v>119</v>
      </c>
      <c r="B120">
        <v>57</v>
      </c>
      <c r="C120" t="s">
        <v>117</v>
      </c>
      <c r="D120">
        <v>432</v>
      </c>
      <c r="E120" s="1">
        <v>46116</v>
      </c>
      <c r="F120" s="1" t="str">
        <f>_xlfn.XLOOKUP(B120,purchase_orders!C:C,purchase_orders!G:G)</f>
        <v>NULL</v>
      </c>
      <c r="G120" s="5" t="e">
        <f t="shared" ca="1" si="4"/>
        <v>#VALUE!</v>
      </c>
      <c r="H120" s="2" t="e">
        <f ca="1">IF(G120&lt;=30,"0-30",IF(G120&lt;=60,"31-60",IF(G120&lt;=90,"61-90","90+")))</f>
        <v>#VALUE!</v>
      </c>
      <c r="I120">
        <f>SUMIFS(order_items!D:D,order_items!C:C,inventory!B120)</f>
        <v>34</v>
      </c>
      <c r="J120" t="str">
        <f>IF(D120&gt;I120*3,"Overstock","OK")</f>
        <v>Overstock</v>
      </c>
      <c r="K120">
        <f>IFERROR(_xlfn.XLOOKUP(B120,purchase_orders!C:C,purchase_orders!I:I),0)</f>
        <v>0</v>
      </c>
      <c r="L120">
        <f>(D120+K120)/2</f>
        <v>216</v>
      </c>
      <c r="M120">
        <f t="shared" si="5"/>
        <v>0.16</v>
      </c>
      <c r="N120">
        <f>IFERROR(_xlfn.XLOOKUP(B120,products!A:A,products!E:E),0)</f>
        <v>18.170000000000002</v>
      </c>
      <c r="O120">
        <f t="shared" si="6"/>
        <v>7849.4400000000005</v>
      </c>
      <c r="P120" t="str">
        <f t="shared" si="7"/>
        <v>Normal</v>
      </c>
      <c r="Q120" t="str">
        <f>IFERROR(_xlfn.XLOOKUP(B120,reorder_point!B:B,reorder_point!I:I),"")</f>
        <v/>
      </c>
      <c r="R120" t="str">
        <f>_xlfn.XLOOKUP(B120,products!A:A,products!B:B)</f>
        <v>SKU-0057</v>
      </c>
    </row>
    <row r="121" spans="1:18">
      <c r="A121">
        <v>120</v>
      </c>
      <c r="B121">
        <v>58</v>
      </c>
      <c r="C121" t="s">
        <v>117</v>
      </c>
      <c r="D121">
        <v>445</v>
      </c>
      <c r="E121" s="1">
        <v>46122</v>
      </c>
      <c r="F121" s="1">
        <f>_xlfn.XLOOKUP(B121,purchase_orders!C:C,purchase_orders!G:G)</f>
        <v>46031</v>
      </c>
      <c r="G121" s="5">
        <f t="shared" ca="1" si="4"/>
        <v>133</v>
      </c>
      <c r="H121" s="2" t="str">
        <f ca="1">IF(G121&lt;=30,"0-30",IF(G121&lt;=60,"31-60",IF(G121&lt;=90,"61-90","90+")))</f>
        <v>90+</v>
      </c>
      <c r="I121">
        <f>SUMIFS(order_items!D:D,order_items!C:C,inventory!B121)</f>
        <v>16</v>
      </c>
      <c r="J121" t="str">
        <f>IF(D121&gt;I121*3,"Overstock","OK")</f>
        <v>Overstock</v>
      </c>
      <c r="K121">
        <f>IFERROR(_xlfn.XLOOKUP(B121,purchase_orders!C:C,purchase_orders!I:I),0)</f>
        <v>914</v>
      </c>
      <c r="L121">
        <f>(D121+K121)/2</f>
        <v>679.5</v>
      </c>
      <c r="M121">
        <f t="shared" si="5"/>
        <v>0.02</v>
      </c>
      <c r="N121">
        <f>IFERROR(_xlfn.XLOOKUP(B121,products!A:A,products!E:E),0)</f>
        <v>106.94</v>
      </c>
      <c r="O121">
        <f t="shared" si="6"/>
        <v>47588.299999999996</v>
      </c>
      <c r="P121" t="str">
        <f t="shared" si="7"/>
        <v>Normal</v>
      </c>
      <c r="Q121" t="str">
        <f>IFERROR(_xlfn.XLOOKUP(B121,reorder_point!B:B,reorder_point!I:I),"")</f>
        <v>OK</v>
      </c>
      <c r="R121" t="str">
        <f>_xlfn.XLOOKUP(B121,products!A:A,products!B:B)</f>
        <v>SKU-0058</v>
      </c>
    </row>
    <row r="122" spans="1:18">
      <c r="A122">
        <v>121</v>
      </c>
      <c r="B122">
        <v>58</v>
      </c>
      <c r="C122" t="s">
        <v>119</v>
      </c>
      <c r="D122">
        <v>113</v>
      </c>
      <c r="E122" s="1">
        <v>46133</v>
      </c>
      <c r="F122" s="1">
        <f>_xlfn.XLOOKUP(B122,purchase_orders!C:C,purchase_orders!G:G)</f>
        <v>46031</v>
      </c>
      <c r="G122" s="5">
        <f t="shared" ca="1" si="4"/>
        <v>133</v>
      </c>
      <c r="H122" s="2" t="str">
        <f ca="1">IF(G122&lt;=30,"0-30",IF(G122&lt;=60,"31-60",IF(G122&lt;=90,"61-90","90+")))</f>
        <v>90+</v>
      </c>
      <c r="I122">
        <f>SUMIFS(order_items!D:D,order_items!C:C,inventory!B122)</f>
        <v>16</v>
      </c>
      <c r="J122" t="str">
        <f>IF(D122&gt;I122*3,"Overstock","OK")</f>
        <v>Overstock</v>
      </c>
      <c r="K122">
        <f>IFERROR(_xlfn.XLOOKUP(B122,purchase_orders!C:C,purchase_orders!I:I),0)</f>
        <v>914</v>
      </c>
      <c r="L122">
        <f>(D122+K122)/2</f>
        <v>513.5</v>
      </c>
      <c r="M122">
        <f t="shared" si="5"/>
        <v>0.03</v>
      </c>
      <c r="N122">
        <f>IFERROR(_xlfn.XLOOKUP(B122,products!A:A,products!E:E),0)</f>
        <v>106.94</v>
      </c>
      <c r="O122">
        <f t="shared" si="6"/>
        <v>12084.22</v>
      </c>
      <c r="P122" t="str">
        <f t="shared" si="7"/>
        <v>Normal</v>
      </c>
      <c r="Q122" t="str">
        <f>IFERROR(_xlfn.XLOOKUP(B122,reorder_point!B:B,reorder_point!I:I),"")</f>
        <v>OK</v>
      </c>
      <c r="R122" t="str">
        <f>_xlfn.XLOOKUP(B122,products!A:A,products!B:B)</f>
        <v>SKU-0058</v>
      </c>
    </row>
    <row r="123" spans="1:18">
      <c r="A123">
        <v>122</v>
      </c>
      <c r="B123">
        <v>58</v>
      </c>
      <c r="C123" t="s">
        <v>118</v>
      </c>
      <c r="D123">
        <v>39</v>
      </c>
      <c r="E123" s="1">
        <v>46136</v>
      </c>
      <c r="F123" s="1">
        <f>_xlfn.XLOOKUP(B123,purchase_orders!C:C,purchase_orders!G:G)</f>
        <v>46031</v>
      </c>
      <c r="G123" s="5">
        <f t="shared" ca="1" si="4"/>
        <v>133</v>
      </c>
      <c r="H123" s="2" t="str">
        <f ca="1">IF(G123&lt;=30,"0-30",IF(G123&lt;=60,"31-60",IF(G123&lt;=90,"61-90","90+")))</f>
        <v>90+</v>
      </c>
      <c r="I123">
        <f>SUMIFS(order_items!D:D,order_items!C:C,inventory!B123)</f>
        <v>16</v>
      </c>
      <c r="J123" t="str">
        <f>IF(D123&gt;I123*3,"Overstock","OK")</f>
        <v>OK</v>
      </c>
      <c r="K123">
        <f>IFERROR(_xlfn.XLOOKUP(B123,purchase_orders!C:C,purchase_orders!I:I),0)</f>
        <v>914</v>
      </c>
      <c r="L123">
        <f>(D123+K123)/2</f>
        <v>476.5</v>
      </c>
      <c r="M123">
        <f t="shared" si="5"/>
        <v>0.03</v>
      </c>
      <c r="N123">
        <f>IFERROR(_xlfn.XLOOKUP(B123,products!A:A,products!E:E),0)</f>
        <v>106.94</v>
      </c>
      <c r="O123">
        <f t="shared" si="6"/>
        <v>4170.66</v>
      </c>
      <c r="P123" t="str">
        <f t="shared" si="7"/>
        <v>Normal</v>
      </c>
      <c r="Q123" t="str">
        <f>IFERROR(_xlfn.XLOOKUP(B123,reorder_point!B:B,reorder_point!I:I),"")</f>
        <v>OK</v>
      </c>
      <c r="R123" t="str">
        <f>_xlfn.XLOOKUP(B123,products!A:A,products!B:B)</f>
        <v>SKU-0058</v>
      </c>
    </row>
    <row r="124" spans="1:18">
      <c r="A124">
        <v>123</v>
      </c>
      <c r="B124">
        <v>59</v>
      </c>
      <c r="C124" t="s">
        <v>121</v>
      </c>
      <c r="D124">
        <v>178</v>
      </c>
      <c r="E124" s="1">
        <v>46091</v>
      </c>
      <c r="F124" s="1">
        <f>_xlfn.XLOOKUP(B124,purchase_orders!C:C,purchase_orders!G:G)</f>
        <v>46141</v>
      </c>
      <c r="G124" s="5">
        <f t="shared" ca="1" si="4"/>
        <v>23</v>
      </c>
      <c r="H124" s="2" t="str">
        <f ca="1">IF(G124&lt;=30,"0-30",IF(G124&lt;=60,"31-60",IF(G124&lt;=90,"61-90","90+")))</f>
        <v>0-30</v>
      </c>
      <c r="I124">
        <f>SUMIFS(order_items!D:D,order_items!C:C,inventory!B124)</f>
        <v>17</v>
      </c>
      <c r="J124" t="str">
        <f>IF(D124&gt;I124*3,"Overstock","OK")</f>
        <v>Overstock</v>
      </c>
      <c r="K124">
        <f>IFERROR(_xlfn.XLOOKUP(B124,purchase_orders!C:C,purchase_orders!I:I),0)</f>
        <v>245</v>
      </c>
      <c r="L124">
        <f>(D124+K124)/2</f>
        <v>211.5</v>
      </c>
      <c r="M124">
        <f t="shared" si="5"/>
        <v>0.08</v>
      </c>
      <c r="N124">
        <f>IFERROR(_xlfn.XLOOKUP(B124,products!A:A,products!E:E),0)</f>
        <v>162.32</v>
      </c>
      <c r="O124">
        <f t="shared" si="6"/>
        <v>28892.959999999999</v>
      </c>
      <c r="P124" t="str">
        <f t="shared" si="7"/>
        <v>Normal</v>
      </c>
      <c r="Q124" t="str">
        <f>IFERROR(_xlfn.XLOOKUP(B124,reorder_point!B:B,reorder_point!I:I),"")</f>
        <v>OK</v>
      </c>
      <c r="R124" t="str">
        <f>_xlfn.XLOOKUP(B124,products!A:A,products!B:B)</f>
        <v>SKU-0059</v>
      </c>
    </row>
    <row r="125" spans="1:18">
      <c r="A125">
        <v>124</v>
      </c>
      <c r="B125">
        <v>59</v>
      </c>
      <c r="C125" t="s">
        <v>118</v>
      </c>
      <c r="D125">
        <v>330</v>
      </c>
      <c r="E125" s="1">
        <v>46128</v>
      </c>
      <c r="F125" s="1">
        <f>_xlfn.XLOOKUP(B125,purchase_orders!C:C,purchase_orders!G:G)</f>
        <v>46141</v>
      </c>
      <c r="G125" s="5">
        <f t="shared" ca="1" si="4"/>
        <v>23</v>
      </c>
      <c r="H125" s="2" t="str">
        <f ca="1">IF(G125&lt;=30,"0-30",IF(G125&lt;=60,"31-60",IF(G125&lt;=90,"61-90","90+")))</f>
        <v>0-30</v>
      </c>
      <c r="I125">
        <f>SUMIFS(order_items!D:D,order_items!C:C,inventory!B125)</f>
        <v>17</v>
      </c>
      <c r="J125" t="str">
        <f>IF(D125&gt;I125*3,"Overstock","OK")</f>
        <v>Overstock</v>
      </c>
      <c r="K125">
        <f>IFERROR(_xlfn.XLOOKUP(B125,purchase_orders!C:C,purchase_orders!I:I),0)</f>
        <v>245</v>
      </c>
      <c r="L125">
        <f>(D125+K125)/2</f>
        <v>287.5</v>
      </c>
      <c r="M125">
        <f t="shared" si="5"/>
        <v>0.06</v>
      </c>
      <c r="N125">
        <f>IFERROR(_xlfn.XLOOKUP(B125,products!A:A,products!E:E),0)</f>
        <v>162.32</v>
      </c>
      <c r="O125">
        <f t="shared" si="6"/>
        <v>53565.599999999999</v>
      </c>
      <c r="P125" t="str">
        <f t="shared" si="7"/>
        <v>Normal</v>
      </c>
      <c r="Q125" t="str">
        <f>IFERROR(_xlfn.XLOOKUP(B125,reorder_point!B:B,reorder_point!I:I),"")</f>
        <v>OK</v>
      </c>
      <c r="R125" t="str">
        <f>_xlfn.XLOOKUP(B125,products!A:A,products!B:B)</f>
        <v>SKU-0059</v>
      </c>
    </row>
    <row r="126" spans="1:18">
      <c r="A126">
        <v>125</v>
      </c>
      <c r="B126">
        <v>59</v>
      </c>
      <c r="C126" t="s">
        <v>117</v>
      </c>
      <c r="D126">
        <v>52</v>
      </c>
      <c r="E126" s="1">
        <v>46131</v>
      </c>
      <c r="F126" s="1">
        <f>_xlfn.XLOOKUP(B126,purchase_orders!C:C,purchase_orders!G:G)</f>
        <v>46141</v>
      </c>
      <c r="G126" s="5">
        <f t="shared" ca="1" si="4"/>
        <v>23</v>
      </c>
      <c r="H126" s="2" t="str">
        <f ca="1">IF(G126&lt;=30,"0-30",IF(G126&lt;=60,"31-60",IF(G126&lt;=90,"61-90","90+")))</f>
        <v>0-30</v>
      </c>
      <c r="I126">
        <f>SUMIFS(order_items!D:D,order_items!C:C,inventory!B126)</f>
        <v>17</v>
      </c>
      <c r="J126" t="str">
        <f>IF(D126&gt;I126*3,"Overstock","OK")</f>
        <v>Overstock</v>
      </c>
      <c r="K126">
        <f>IFERROR(_xlfn.XLOOKUP(B126,purchase_orders!C:C,purchase_orders!I:I),0)</f>
        <v>245</v>
      </c>
      <c r="L126">
        <f>(D126+K126)/2</f>
        <v>148.5</v>
      </c>
      <c r="M126">
        <f t="shared" si="5"/>
        <v>0.11</v>
      </c>
      <c r="N126">
        <f>IFERROR(_xlfn.XLOOKUP(B126,products!A:A,products!E:E),0)</f>
        <v>162.32</v>
      </c>
      <c r="O126">
        <f t="shared" si="6"/>
        <v>8440.64</v>
      </c>
      <c r="P126" t="str">
        <f t="shared" si="7"/>
        <v>Normal</v>
      </c>
      <c r="Q126" t="str">
        <f>IFERROR(_xlfn.XLOOKUP(B126,reorder_point!B:B,reorder_point!I:I),"")</f>
        <v>OK</v>
      </c>
      <c r="R126" t="str">
        <f>_xlfn.XLOOKUP(B126,products!A:A,products!B:B)</f>
        <v>SKU-0059</v>
      </c>
    </row>
    <row r="127" spans="1:18">
      <c r="A127">
        <v>126</v>
      </c>
      <c r="B127">
        <v>60</v>
      </c>
      <c r="C127" t="s">
        <v>118</v>
      </c>
      <c r="D127">
        <v>389</v>
      </c>
      <c r="E127" s="1">
        <v>46139</v>
      </c>
      <c r="F127" s="1">
        <f>_xlfn.XLOOKUP(B127,purchase_orders!C:C,purchase_orders!G:G)</f>
        <v>46078</v>
      </c>
      <c r="G127" s="5">
        <f t="shared" ca="1" si="4"/>
        <v>86</v>
      </c>
      <c r="H127" s="2" t="str">
        <f ca="1">IF(G127&lt;=30,"0-30",IF(G127&lt;=60,"31-60",IF(G127&lt;=90,"61-90","90+")))</f>
        <v>61-90</v>
      </c>
      <c r="I127">
        <f>SUMIFS(order_items!D:D,order_items!C:C,inventory!B127)</f>
        <v>31</v>
      </c>
      <c r="J127" t="str">
        <f>IF(D127&gt;I127*3,"Overstock","OK")</f>
        <v>Overstock</v>
      </c>
      <c r="K127">
        <f>IFERROR(_xlfn.XLOOKUP(B127,purchase_orders!C:C,purchase_orders!I:I),0)</f>
        <v>761</v>
      </c>
      <c r="L127">
        <f>(D127+K127)/2</f>
        <v>575</v>
      </c>
      <c r="M127">
        <f t="shared" si="5"/>
        <v>0.05</v>
      </c>
      <c r="N127">
        <f>IFERROR(_xlfn.XLOOKUP(B127,products!A:A,products!E:E),0)</f>
        <v>121.71</v>
      </c>
      <c r="O127">
        <f t="shared" si="6"/>
        <v>47345.189999999995</v>
      </c>
      <c r="P127" t="str">
        <f t="shared" si="7"/>
        <v>Normal</v>
      </c>
      <c r="Q127" t="str">
        <f>IFERROR(_xlfn.XLOOKUP(B127,reorder_point!B:B,reorder_point!I:I),"")</f>
        <v>OK</v>
      </c>
      <c r="R127" t="str">
        <f>_xlfn.XLOOKUP(B127,products!A:A,products!B:B)</f>
        <v>SKU-0060</v>
      </c>
    </row>
    <row r="128" spans="1:18">
      <c r="A128">
        <v>127</v>
      </c>
      <c r="B128">
        <v>61</v>
      </c>
      <c r="C128" t="s">
        <v>117</v>
      </c>
      <c r="D128">
        <v>237</v>
      </c>
      <c r="E128" s="1">
        <v>46095</v>
      </c>
      <c r="F128" s="1" t="e">
        <f>_xlfn.XLOOKUP(B128,purchase_orders!C:C,purchase_orders!G:G)</f>
        <v>#N/A</v>
      </c>
      <c r="G128" s="5" t="e">
        <f t="shared" ca="1" si="4"/>
        <v>#N/A</v>
      </c>
      <c r="H128" s="2" t="e">
        <f ca="1">IF(G128&lt;=30,"0-30",IF(G128&lt;=60,"31-60",IF(G128&lt;=90,"61-90","90+")))</f>
        <v>#N/A</v>
      </c>
      <c r="I128">
        <f>SUMIFS(order_items!D:D,order_items!C:C,inventory!B128)</f>
        <v>43</v>
      </c>
      <c r="J128" t="str">
        <f>IF(D128&gt;I128*3,"Overstock","OK")</f>
        <v>Overstock</v>
      </c>
      <c r="K128">
        <f>IFERROR(_xlfn.XLOOKUP(B128,purchase_orders!C:C,purchase_orders!I:I),0)</f>
        <v>0</v>
      </c>
      <c r="L128">
        <f>(D128+K128)/2</f>
        <v>118.5</v>
      </c>
      <c r="M128">
        <f t="shared" si="5"/>
        <v>0.36</v>
      </c>
      <c r="N128">
        <f>IFERROR(_xlfn.XLOOKUP(B128,products!A:A,products!E:E),0)</f>
        <v>156.31</v>
      </c>
      <c r="O128">
        <f t="shared" si="6"/>
        <v>37045.47</v>
      </c>
      <c r="P128" t="str">
        <f t="shared" si="7"/>
        <v>Normal</v>
      </c>
      <c r="Q128" t="str">
        <f>IFERROR(_xlfn.XLOOKUP(B128,reorder_point!B:B,reorder_point!I:I),"")</f>
        <v/>
      </c>
      <c r="R128" t="str">
        <f>_xlfn.XLOOKUP(B128,products!A:A,products!B:B)</f>
        <v>SKU-0061</v>
      </c>
    </row>
    <row r="129" spans="1:18">
      <c r="A129">
        <v>128</v>
      </c>
      <c r="B129">
        <v>62</v>
      </c>
      <c r="C129" t="s">
        <v>117</v>
      </c>
      <c r="D129">
        <v>497</v>
      </c>
      <c r="E129" s="1">
        <v>46134</v>
      </c>
      <c r="F129" s="1">
        <f>_xlfn.XLOOKUP(B129,purchase_orders!C:C,purchase_orders!G:G)</f>
        <v>46134</v>
      </c>
      <c r="G129" s="5">
        <f t="shared" ca="1" si="4"/>
        <v>30</v>
      </c>
      <c r="H129" s="2" t="str">
        <f ca="1">IF(G129&lt;=30,"0-30",IF(G129&lt;=60,"31-60",IF(G129&lt;=90,"61-90","90+")))</f>
        <v>0-30</v>
      </c>
      <c r="I129">
        <f>SUMIFS(order_items!D:D,order_items!C:C,inventory!B129)</f>
        <v>18</v>
      </c>
      <c r="J129" t="str">
        <f>IF(D129&gt;I129*3,"Overstock","OK")</f>
        <v>Overstock</v>
      </c>
      <c r="K129">
        <f>IFERROR(_xlfn.XLOOKUP(B129,purchase_orders!C:C,purchase_orders!I:I),0)</f>
        <v>672</v>
      </c>
      <c r="L129">
        <f>(D129+K129)/2</f>
        <v>584.5</v>
      </c>
      <c r="M129">
        <f t="shared" si="5"/>
        <v>0.03</v>
      </c>
      <c r="N129">
        <f>IFERROR(_xlfn.XLOOKUP(B129,products!A:A,products!E:E),0)</f>
        <v>133.9</v>
      </c>
      <c r="O129">
        <f t="shared" si="6"/>
        <v>66548.3</v>
      </c>
      <c r="P129" t="str">
        <f t="shared" si="7"/>
        <v>Normal</v>
      </c>
      <c r="Q129" t="str">
        <f>IFERROR(_xlfn.XLOOKUP(B129,reorder_point!B:B,reorder_point!I:I),"")</f>
        <v>OK</v>
      </c>
      <c r="R129" t="str">
        <f>_xlfn.XLOOKUP(B129,products!A:A,products!B:B)</f>
        <v>SKU-0062</v>
      </c>
    </row>
    <row r="130" spans="1:18">
      <c r="A130">
        <v>129</v>
      </c>
      <c r="B130">
        <v>62</v>
      </c>
      <c r="C130" t="s">
        <v>122</v>
      </c>
      <c r="D130">
        <v>225</v>
      </c>
      <c r="E130" s="1">
        <v>46115</v>
      </c>
      <c r="F130" s="1">
        <f>_xlfn.XLOOKUP(B130,purchase_orders!C:C,purchase_orders!G:G)</f>
        <v>46134</v>
      </c>
      <c r="G130" s="5">
        <f t="shared" ca="1" si="4"/>
        <v>30</v>
      </c>
      <c r="H130" s="2" t="str">
        <f ca="1">IF(G130&lt;=30,"0-30",IF(G130&lt;=60,"31-60",IF(G130&lt;=90,"61-90","90+")))</f>
        <v>0-30</v>
      </c>
      <c r="I130">
        <f>SUMIFS(order_items!D:D,order_items!C:C,inventory!B130)</f>
        <v>18</v>
      </c>
      <c r="J130" t="str">
        <f>IF(D130&gt;I130*3,"Overstock","OK")</f>
        <v>Overstock</v>
      </c>
      <c r="K130">
        <f>IFERROR(_xlfn.XLOOKUP(B130,purchase_orders!C:C,purchase_orders!I:I),0)</f>
        <v>672</v>
      </c>
      <c r="L130">
        <f>(D130+K130)/2</f>
        <v>448.5</v>
      </c>
      <c r="M130">
        <f t="shared" si="5"/>
        <v>0.04</v>
      </c>
      <c r="N130">
        <f>IFERROR(_xlfn.XLOOKUP(B130,products!A:A,products!E:E),0)</f>
        <v>133.9</v>
      </c>
      <c r="O130">
        <f t="shared" si="6"/>
        <v>30127.5</v>
      </c>
      <c r="P130" t="str">
        <f t="shared" si="7"/>
        <v>Normal</v>
      </c>
      <c r="Q130" t="str">
        <f>IFERROR(_xlfn.XLOOKUP(B130,reorder_point!B:B,reorder_point!I:I),"")</f>
        <v>OK</v>
      </c>
      <c r="R130" t="str">
        <f>_xlfn.XLOOKUP(B130,products!A:A,products!B:B)</f>
        <v>SKU-0062</v>
      </c>
    </row>
    <row r="131" spans="1:18">
      <c r="A131">
        <v>130</v>
      </c>
      <c r="B131">
        <v>62</v>
      </c>
      <c r="C131" t="s">
        <v>117</v>
      </c>
      <c r="D131">
        <v>323</v>
      </c>
      <c r="E131" s="1">
        <v>46126</v>
      </c>
      <c r="F131" s="1">
        <f>_xlfn.XLOOKUP(B131,purchase_orders!C:C,purchase_orders!G:G)</f>
        <v>46134</v>
      </c>
      <c r="G131" s="5">
        <f t="shared" ref="G131:G194" ca="1" si="8">TODAY()-F131</f>
        <v>30</v>
      </c>
      <c r="H131" s="2" t="str">
        <f ca="1">IF(G131&lt;=30,"0-30",IF(G131&lt;=60,"31-60",IF(G131&lt;=90,"61-90","90+")))</f>
        <v>0-30</v>
      </c>
      <c r="I131">
        <f>SUMIFS(order_items!D:D,order_items!C:C,inventory!B131)</f>
        <v>18</v>
      </c>
      <c r="J131" t="str">
        <f>IF(D131&gt;I131*3,"Overstock","OK")</f>
        <v>Overstock</v>
      </c>
      <c r="K131">
        <f>IFERROR(_xlfn.XLOOKUP(B131,purchase_orders!C:C,purchase_orders!I:I),0)</f>
        <v>672</v>
      </c>
      <c r="L131">
        <f>(D131+K131)/2</f>
        <v>497.5</v>
      </c>
      <c r="M131">
        <f t="shared" ref="M131:M194" si="9">IFERROR(ROUND(I131/L131,2),0)</f>
        <v>0.04</v>
      </c>
      <c r="N131">
        <f>IFERROR(_xlfn.XLOOKUP(B131,products!A:A,products!E:E),0)</f>
        <v>133.9</v>
      </c>
      <c r="O131">
        <f t="shared" ref="O131:O194" si="10">IF(N131="NULL",0,N131*D131)</f>
        <v>43249.700000000004</v>
      </c>
      <c r="P131" t="str">
        <f t="shared" ref="P131:P194" si="11">IF(I131&lt;10,"Slow Moving","Normal")</f>
        <v>Normal</v>
      </c>
      <c r="Q131" t="str">
        <f>IFERROR(_xlfn.XLOOKUP(B131,reorder_point!B:B,reorder_point!I:I),"")</f>
        <v>OK</v>
      </c>
      <c r="R131" t="str">
        <f>_xlfn.XLOOKUP(B131,products!A:A,products!B:B)</f>
        <v>SKU-0062</v>
      </c>
    </row>
    <row r="132" spans="1:18">
      <c r="A132">
        <v>131</v>
      </c>
      <c r="B132">
        <v>63</v>
      </c>
      <c r="C132" t="s">
        <v>119</v>
      </c>
      <c r="D132">
        <v>37</v>
      </c>
      <c r="E132" s="1">
        <v>46115</v>
      </c>
      <c r="F132" s="1">
        <f>_xlfn.XLOOKUP(B132,purchase_orders!C:C,purchase_orders!G:G)</f>
        <v>46118</v>
      </c>
      <c r="G132" s="5">
        <f t="shared" ca="1" si="8"/>
        <v>46</v>
      </c>
      <c r="H132" s="2" t="str">
        <f ca="1">IF(G132&lt;=30,"0-30",IF(G132&lt;=60,"31-60",IF(G132&lt;=90,"61-90","90+")))</f>
        <v>31-60</v>
      </c>
      <c r="I132">
        <f>SUMIFS(order_items!D:D,order_items!C:C,inventory!B132)</f>
        <v>31</v>
      </c>
      <c r="J132" t="str">
        <f>IF(D132&gt;I132*3,"Overstock","OK")</f>
        <v>OK</v>
      </c>
      <c r="K132">
        <f>IFERROR(_xlfn.XLOOKUP(B132,purchase_orders!C:C,purchase_orders!I:I),0)</f>
        <v>688</v>
      </c>
      <c r="L132">
        <f>(D132+K132)/2</f>
        <v>362.5</v>
      </c>
      <c r="M132">
        <f t="shared" si="9"/>
        <v>0.09</v>
      </c>
      <c r="N132">
        <f>IFERROR(_xlfn.XLOOKUP(B132,products!A:A,products!E:E),0)</f>
        <v>32.86</v>
      </c>
      <c r="O132">
        <f t="shared" si="10"/>
        <v>1215.82</v>
      </c>
      <c r="P132" t="str">
        <f t="shared" si="11"/>
        <v>Normal</v>
      </c>
      <c r="Q132" t="str">
        <f>IFERROR(_xlfn.XLOOKUP(B132,reorder_point!B:B,reorder_point!I:I),"")</f>
        <v>OK</v>
      </c>
      <c r="R132" t="str">
        <f>_xlfn.XLOOKUP(B132,products!A:A,products!B:B)</f>
        <v>SKU-0063</v>
      </c>
    </row>
    <row r="133" spans="1:18">
      <c r="A133">
        <v>132</v>
      </c>
      <c r="B133">
        <v>63</v>
      </c>
      <c r="C133" t="s">
        <v>122</v>
      </c>
      <c r="D133">
        <v>19</v>
      </c>
      <c r="E133" s="1">
        <v>46090</v>
      </c>
      <c r="F133" s="1">
        <f>_xlfn.XLOOKUP(B133,purchase_orders!C:C,purchase_orders!G:G)</f>
        <v>46118</v>
      </c>
      <c r="G133" s="5">
        <f t="shared" ca="1" si="8"/>
        <v>46</v>
      </c>
      <c r="H133" s="2" t="str">
        <f ca="1">IF(G133&lt;=30,"0-30",IF(G133&lt;=60,"31-60",IF(G133&lt;=90,"61-90","90+")))</f>
        <v>31-60</v>
      </c>
      <c r="I133">
        <f>SUMIFS(order_items!D:D,order_items!C:C,inventory!B133)</f>
        <v>31</v>
      </c>
      <c r="J133" t="str">
        <f>IF(D133&gt;I133*3,"Overstock","OK")</f>
        <v>OK</v>
      </c>
      <c r="K133">
        <f>IFERROR(_xlfn.XLOOKUP(B133,purchase_orders!C:C,purchase_orders!I:I),0)</f>
        <v>688</v>
      </c>
      <c r="L133">
        <f>(D133+K133)/2</f>
        <v>353.5</v>
      </c>
      <c r="M133">
        <f t="shared" si="9"/>
        <v>0.09</v>
      </c>
      <c r="N133">
        <f>IFERROR(_xlfn.XLOOKUP(B133,products!A:A,products!E:E),0)</f>
        <v>32.86</v>
      </c>
      <c r="O133">
        <f t="shared" si="10"/>
        <v>624.34</v>
      </c>
      <c r="P133" t="str">
        <f t="shared" si="11"/>
        <v>Normal</v>
      </c>
      <c r="Q133" t="str">
        <f>IFERROR(_xlfn.XLOOKUP(B133,reorder_point!B:B,reorder_point!I:I),"")</f>
        <v>OK</v>
      </c>
      <c r="R133" t="str">
        <f>_xlfn.XLOOKUP(B133,products!A:A,products!B:B)</f>
        <v>SKU-0063</v>
      </c>
    </row>
    <row r="134" spans="1:18">
      <c r="A134">
        <v>133</v>
      </c>
      <c r="B134">
        <v>63</v>
      </c>
      <c r="C134" t="s">
        <v>120</v>
      </c>
      <c r="D134">
        <v>146</v>
      </c>
      <c r="E134" s="1">
        <v>46088</v>
      </c>
      <c r="F134" s="1">
        <f>_xlfn.XLOOKUP(B134,purchase_orders!C:C,purchase_orders!G:G)</f>
        <v>46118</v>
      </c>
      <c r="G134" s="5">
        <f t="shared" ca="1" si="8"/>
        <v>46</v>
      </c>
      <c r="H134" s="2" t="str">
        <f ca="1">IF(G134&lt;=30,"0-30",IF(G134&lt;=60,"31-60",IF(G134&lt;=90,"61-90","90+")))</f>
        <v>31-60</v>
      </c>
      <c r="I134">
        <f>SUMIFS(order_items!D:D,order_items!C:C,inventory!B134)</f>
        <v>31</v>
      </c>
      <c r="J134" t="str">
        <f>IF(D134&gt;I134*3,"Overstock","OK")</f>
        <v>Overstock</v>
      </c>
      <c r="K134">
        <f>IFERROR(_xlfn.XLOOKUP(B134,purchase_orders!C:C,purchase_orders!I:I),0)</f>
        <v>688</v>
      </c>
      <c r="L134">
        <f>(D134+K134)/2</f>
        <v>417</v>
      </c>
      <c r="M134">
        <f t="shared" si="9"/>
        <v>7.0000000000000007E-2</v>
      </c>
      <c r="N134">
        <f>IFERROR(_xlfn.XLOOKUP(B134,products!A:A,products!E:E),0)</f>
        <v>32.86</v>
      </c>
      <c r="O134">
        <f t="shared" si="10"/>
        <v>4797.5599999999995</v>
      </c>
      <c r="P134" t="str">
        <f t="shared" si="11"/>
        <v>Normal</v>
      </c>
      <c r="Q134" t="str">
        <f>IFERROR(_xlfn.XLOOKUP(B134,reorder_point!B:B,reorder_point!I:I),"")</f>
        <v>OK</v>
      </c>
      <c r="R134" t="str">
        <f>_xlfn.XLOOKUP(B134,products!A:A,products!B:B)</f>
        <v>SKU-0063</v>
      </c>
    </row>
    <row r="135" spans="1:18">
      <c r="A135">
        <v>134</v>
      </c>
      <c r="B135">
        <v>64</v>
      </c>
      <c r="C135" t="s">
        <v>121</v>
      </c>
      <c r="D135">
        <v>196</v>
      </c>
      <c r="E135" s="1">
        <v>46108</v>
      </c>
      <c r="F135" s="1">
        <f>_xlfn.XLOOKUP(B135,purchase_orders!C:C,purchase_orders!G:G)</f>
        <v>46094</v>
      </c>
      <c r="G135" s="5">
        <f t="shared" ca="1" si="8"/>
        <v>70</v>
      </c>
      <c r="H135" s="2" t="str">
        <f ca="1">IF(G135&lt;=30,"0-30",IF(G135&lt;=60,"31-60",IF(G135&lt;=90,"61-90","90+")))</f>
        <v>61-90</v>
      </c>
      <c r="I135">
        <f>SUMIFS(order_items!D:D,order_items!C:C,inventory!B135)</f>
        <v>18</v>
      </c>
      <c r="J135" t="str">
        <f>IF(D135&gt;I135*3,"Overstock","OK")</f>
        <v>Overstock</v>
      </c>
      <c r="K135">
        <f>IFERROR(_xlfn.XLOOKUP(B135,purchase_orders!C:C,purchase_orders!I:I),0)</f>
        <v>66</v>
      </c>
      <c r="L135">
        <f>(D135+K135)/2</f>
        <v>131</v>
      </c>
      <c r="M135">
        <f t="shared" si="9"/>
        <v>0.14000000000000001</v>
      </c>
      <c r="N135">
        <f>IFERROR(_xlfn.XLOOKUP(B135,products!A:A,products!E:E),0)</f>
        <v>43.93</v>
      </c>
      <c r="O135">
        <f t="shared" si="10"/>
        <v>8610.2800000000007</v>
      </c>
      <c r="P135" t="str">
        <f t="shared" si="11"/>
        <v>Normal</v>
      </c>
      <c r="Q135" t="str">
        <f>IFERROR(_xlfn.XLOOKUP(B135,reorder_point!B:B,reorder_point!I:I),"")</f>
        <v>OK</v>
      </c>
      <c r="R135" t="str">
        <f>_xlfn.XLOOKUP(B135,products!A:A,products!B:B)</f>
        <v>SKU-0064</v>
      </c>
    </row>
    <row r="136" spans="1:18">
      <c r="A136">
        <v>135</v>
      </c>
      <c r="B136">
        <v>65</v>
      </c>
      <c r="C136" t="s">
        <v>119</v>
      </c>
      <c r="D136">
        <v>292</v>
      </c>
      <c r="E136" s="1">
        <v>46123</v>
      </c>
      <c r="F136" s="1">
        <f>_xlfn.XLOOKUP(B136,purchase_orders!C:C,purchase_orders!G:G)</f>
        <v>46139</v>
      </c>
      <c r="G136" s="5">
        <f t="shared" ca="1" si="8"/>
        <v>25</v>
      </c>
      <c r="H136" s="2" t="str">
        <f ca="1">IF(G136&lt;=30,"0-30",IF(G136&lt;=60,"31-60",IF(G136&lt;=90,"61-90","90+")))</f>
        <v>0-30</v>
      </c>
      <c r="I136">
        <f>SUMIFS(order_items!D:D,order_items!C:C,inventory!B136)</f>
        <v>12</v>
      </c>
      <c r="J136" t="str">
        <f>IF(D136&gt;I136*3,"Overstock","OK")</f>
        <v>Overstock</v>
      </c>
      <c r="K136">
        <f>IFERROR(_xlfn.XLOOKUP(B136,purchase_orders!C:C,purchase_orders!I:I),0)</f>
        <v>204</v>
      </c>
      <c r="L136">
        <f>(D136+K136)/2</f>
        <v>248</v>
      </c>
      <c r="M136">
        <f t="shared" si="9"/>
        <v>0.05</v>
      </c>
      <c r="N136">
        <f>IFERROR(_xlfn.XLOOKUP(B136,products!A:A,products!E:E),0)</f>
        <v>44.01</v>
      </c>
      <c r="O136">
        <f t="shared" si="10"/>
        <v>12850.92</v>
      </c>
      <c r="P136" t="str">
        <f t="shared" si="11"/>
        <v>Normal</v>
      </c>
      <c r="Q136" t="str">
        <f>IFERROR(_xlfn.XLOOKUP(B136,reorder_point!B:B,reorder_point!I:I),"")</f>
        <v>OK</v>
      </c>
      <c r="R136" t="str">
        <f>_xlfn.XLOOKUP(B136,products!A:A,products!B:B)</f>
        <v>SKU-0065</v>
      </c>
    </row>
    <row r="137" spans="1:18">
      <c r="A137">
        <v>136</v>
      </c>
      <c r="B137">
        <v>65</v>
      </c>
      <c r="C137" t="s">
        <v>117</v>
      </c>
      <c r="D137">
        <v>309</v>
      </c>
      <c r="E137" s="1">
        <v>46134</v>
      </c>
      <c r="F137" s="1">
        <f>_xlfn.XLOOKUP(B137,purchase_orders!C:C,purchase_orders!G:G)</f>
        <v>46139</v>
      </c>
      <c r="G137" s="5">
        <f t="shared" ca="1" si="8"/>
        <v>25</v>
      </c>
      <c r="H137" s="2" t="str">
        <f ca="1">IF(G137&lt;=30,"0-30",IF(G137&lt;=60,"31-60",IF(G137&lt;=90,"61-90","90+")))</f>
        <v>0-30</v>
      </c>
      <c r="I137">
        <f>SUMIFS(order_items!D:D,order_items!C:C,inventory!B137)</f>
        <v>12</v>
      </c>
      <c r="J137" t="str">
        <f>IF(D137&gt;I137*3,"Overstock","OK")</f>
        <v>Overstock</v>
      </c>
      <c r="K137">
        <f>IFERROR(_xlfn.XLOOKUP(B137,purchase_orders!C:C,purchase_orders!I:I),0)</f>
        <v>204</v>
      </c>
      <c r="L137">
        <f>(D137+K137)/2</f>
        <v>256.5</v>
      </c>
      <c r="M137">
        <f t="shared" si="9"/>
        <v>0.05</v>
      </c>
      <c r="N137">
        <f>IFERROR(_xlfn.XLOOKUP(B137,products!A:A,products!E:E),0)</f>
        <v>44.01</v>
      </c>
      <c r="O137">
        <f t="shared" si="10"/>
        <v>13599.09</v>
      </c>
      <c r="P137" t="str">
        <f t="shared" si="11"/>
        <v>Normal</v>
      </c>
      <c r="Q137" t="str">
        <f>IFERROR(_xlfn.XLOOKUP(B137,reorder_point!B:B,reorder_point!I:I),"")</f>
        <v>OK</v>
      </c>
      <c r="R137" t="str">
        <f>_xlfn.XLOOKUP(B137,products!A:A,products!B:B)</f>
        <v>SKU-0065</v>
      </c>
    </row>
    <row r="138" spans="1:18">
      <c r="A138">
        <v>137</v>
      </c>
      <c r="B138">
        <v>65</v>
      </c>
      <c r="C138" t="s">
        <v>117</v>
      </c>
      <c r="D138">
        <v>490</v>
      </c>
      <c r="E138" s="1">
        <v>46137</v>
      </c>
      <c r="F138" s="1">
        <f>_xlfn.XLOOKUP(B138,purchase_orders!C:C,purchase_orders!G:G)</f>
        <v>46139</v>
      </c>
      <c r="G138" s="5">
        <f t="shared" ca="1" si="8"/>
        <v>25</v>
      </c>
      <c r="H138" s="2" t="str">
        <f ca="1">IF(G138&lt;=30,"0-30",IF(G138&lt;=60,"31-60",IF(G138&lt;=90,"61-90","90+")))</f>
        <v>0-30</v>
      </c>
      <c r="I138">
        <f>SUMIFS(order_items!D:D,order_items!C:C,inventory!B138)</f>
        <v>12</v>
      </c>
      <c r="J138" t="str">
        <f>IF(D138&gt;I138*3,"Overstock","OK")</f>
        <v>Overstock</v>
      </c>
      <c r="K138">
        <f>IFERROR(_xlfn.XLOOKUP(B138,purchase_orders!C:C,purchase_orders!I:I),0)</f>
        <v>204</v>
      </c>
      <c r="L138">
        <f>(D138+K138)/2</f>
        <v>347</v>
      </c>
      <c r="M138">
        <f t="shared" si="9"/>
        <v>0.03</v>
      </c>
      <c r="N138">
        <f>IFERROR(_xlfn.XLOOKUP(B138,products!A:A,products!E:E),0)</f>
        <v>44.01</v>
      </c>
      <c r="O138">
        <f t="shared" si="10"/>
        <v>21564.899999999998</v>
      </c>
      <c r="P138" t="str">
        <f t="shared" si="11"/>
        <v>Normal</v>
      </c>
      <c r="Q138" t="str">
        <f>IFERROR(_xlfn.XLOOKUP(B138,reorder_point!B:B,reorder_point!I:I),"")</f>
        <v>OK</v>
      </c>
      <c r="R138" t="str">
        <f>_xlfn.XLOOKUP(B138,products!A:A,products!B:B)</f>
        <v>SKU-0065</v>
      </c>
    </row>
    <row r="139" spans="1:18">
      <c r="A139">
        <v>138</v>
      </c>
      <c r="B139">
        <v>66</v>
      </c>
      <c r="C139" t="s">
        <v>119</v>
      </c>
      <c r="D139">
        <v>20</v>
      </c>
      <c r="E139" s="1">
        <v>46115</v>
      </c>
      <c r="F139" s="1">
        <f>_xlfn.XLOOKUP(B139,purchase_orders!C:C,purchase_orders!G:G)</f>
        <v>46123</v>
      </c>
      <c r="G139" s="5">
        <f t="shared" ca="1" si="8"/>
        <v>41</v>
      </c>
      <c r="H139" s="2" t="str">
        <f ca="1">IF(G139&lt;=30,"0-30",IF(G139&lt;=60,"31-60",IF(G139&lt;=90,"61-90","90+")))</f>
        <v>31-60</v>
      </c>
      <c r="I139">
        <f>SUMIFS(order_items!D:D,order_items!C:C,inventory!B139)</f>
        <v>15</v>
      </c>
      <c r="J139" t="str">
        <f>IF(D139&gt;I139*3,"Overstock","OK")</f>
        <v>OK</v>
      </c>
      <c r="K139">
        <f>IFERROR(_xlfn.XLOOKUP(B139,purchase_orders!C:C,purchase_orders!I:I),0)</f>
        <v>848</v>
      </c>
      <c r="L139">
        <f>(D139+K139)/2</f>
        <v>434</v>
      </c>
      <c r="M139">
        <f t="shared" si="9"/>
        <v>0.03</v>
      </c>
      <c r="N139">
        <f>IFERROR(_xlfn.XLOOKUP(B139,products!A:A,products!E:E),0)</f>
        <v>174.21</v>
      </c>
      <c r="O139">
        <f t="shared" si="10"/>
        <v>3484.2000000000003</v>
      </c>
      <c r="P139" t="str">
        <f t="shared" si="11"/>
        <v>Normal</v>
      </c>
      <c r="Q139" t="str">
        <f>IFERROR(_xlfn.XLOOKUP(B139,reorder_point!B:B,reorder_point!I:I),"")</f>
        <v>OK</v>
      </c>
      <c r="R139" t="str">
        <f>_xlfn.XLOOKUP(B139,products!A:A,products!B:B)</f>
        <v>SKU-0066</v>
      </c>
    </row>
    <row r="140" spans="1:18">
      <c r="A140">
        <v>139</v>
      </c>
      <c r="B140">
        <v>66</v>
      </c>
      <c r="C140" t="s">
        <v>118</v>
      </c>
      <c r="D140">
        <v>224</v>
      </c>
      <c r="E140" s="1">
        <v>46104</v>
      </c>
      <c r="F140" s="1">
        <f>_xlfn.XLOOKUP(B140,purchase_orders!C:C,purchase_orders!G:G)</f>
        <v>46123</v>
      </c>
      <c r="G140" s="5">
        <f t="shared" ca="1" si="8"/>
        <v>41</v>
      </c>
      <c r="H140" s="2" t="str">
        <f ca="1">IF(G140&lt;=30,"0-30",IF(G140&lt;=60,"31-60",IF(G140&lt;=90,"61-90","90+")))</f>
        <v>31-60</v>
      </c>
      <c r="I140">
        <f>SUMIFS(order_items!D:D,order_items!C:C,inventory!B140)</f>
        <v>15</v>
      </c>
      <c r="J140" t="str">
        <f>IF(D140&gt;I140*3,"Overstock","OK")</f>
        <v>Overstock</v>
      </c>
      <c r="K140">
        <f>IFERROR(_xlfn.XLOOKUP(B140,purchase_orders!C:C,purchase_orders!I:I),0)</f>
        <v>848</v>
      </c>
      <c r="L140">
        <f>(D140+K140)/2</f>
        <v>536</v>
      </c>
      <c r="M140">
        <f t="shared" si="9"/>
        <v>0.03</v>
      </c>
      <c r="N140">
        <f>IFERROR(_xlfn.XLOOKUP(B140,products!A:A,products!E:E),0)</f>
        <v>174.21</v>
      </c>
      <c r="O140">
        <f t="shared" si="10"/>
        <v>39023.040000000001</v>
      </c>
      <c r="P140" t="str">
        <f t="shared" si="11"/>
        <v>Normal</v>
      </c>
      <c r="Q140" t="str">
        <f>IFERROR(_xlfn.XLOOKUP(B140,reorder_point!B:B,reorder_point!I:I),"")</f>
        <v>OK</v>
      </c>
      <c r="R140" t="str">
        <f>_xlfn.XLOOKUP(B140,products!A:A,products!B:B)</f>
        <v>SKU-0066</v>
      </c>
    </row>
    <row r="141" spans="1:18">
      <c r="A141">
        <v>140</v>
      </c>
      <c r="B141">
        <v>67</v>
      </c>
      <c r="C141" t="s">
        <v>122</v>
      </c>
      <c r="D141">
        <v>190</v>
      </c>
      <c r="E141" s="1">
        <v>46119</v>
      </c>
      <c r="F141" s="1">
        <f>_xlfn.XLOOKUP(B141,purchase_orders!C:C,purchase_orders!G:G)</f>
        <v>46181</v>
      </c>
      <c r="G141" s="5">
        <f t="shared" ca="1" si="8"/>
        <v>-17</v>
      </c>
      <c r="H141" s="2" t="str">
        <f ca="1">IF(G141&lt;=30,"0-30",IF(G141&lt;=60,"31-60",IF(G141&lt;=90,"61-90","90+")))</f>
        <v>0-30</v>
      </c>
      <c r="I141">
        <f>SUMIFS(order_items!D:D,order_items!C:C,inventory!B141)</f>
        <v>25</v>
      </c>
      <c r="J141" t="str">
        <f>IF(D141&gt;I141*3,"Overstock","OK")</f>
        <v>Overstock</v>
      </c>
      <c r="K141">
        <f>IFERROR(_xlfn.XLOOKUP(B141,purchase_orders!C:C,purchase_orders!I:I),0)</f>
        <v>162</v>
      </c>
      <c r="L141">
        <f>(D141+K141)/2</f>
        <v>176</v>
      </c>
      <c r="M141">
        <f t="shared" si="9"/>
        <v>0.14000000000000001</v>
      </c>
      <c r="N141">
        <f>IFERROR(_xlfn.XLOOKUP(B141,products!A:A,products!E:E),0)</f>
        <v>25.18</v>
      </c>
      <c r="O141">
        <f t="shared" si="10"/>
        <v>4784.2</v>
      </c>
      <c r="P141" t="str">
        <f t="shared" si="11"/>
        <v>Normal</v>
      </c>
      <c r="Q141" t="str">
        <f>IFERROR(_xlfn.XLOOKUP(B141,reorder_point!B:B,reorder_point!I:I),"")</f>
        <v>OK</v>
      </c>
      <c r="R141" t="str">
        <f>_xlfn.XLOOKUP(B141,products!A:A,products!B:B)</f>
        <v>SKU-0067</v>
      </c>
    </row>
    <row r="142" spans="1:18">
      <c r="A142">
        <v>141</v>
      </c>
      <c r="B142">
        <v>68</v>
      </c>
      <c r="C142" t="s">
        <v>122</v>
      </c>
      <c r="D142">
        <v>404</v>
      </c>
      <c r="E142" s="1">
        <v>46122</v>
      </c>
      <c r="F142" s="1" t="str">
        <f>_xlfn.XLOOKUP(B142,purchase_orders!C:C,purchase_orders!G:G)</f>
        <v>NULL</v>
      </c>
      <c r="G142" s="5" t="e">
        <f t="shared" ca="1" si="8"/>
        <v>#VALUE!</v>
      </c>
      <c r="H142" s="2" t="e">
        <f ca="1">IF(G142&lt;=30,"0-30",IF(G142&lt;=60,"31-60",IF(G142&lt;=90,"61-90","90+")))</f>
        <v>#VALUE!</v>
      </c>
      <c r="I142">
        <f>SUMIFS(order_items!D:D,order_items!C:C,inventory!B142)</f>
        <v>44</v>
      </c>
      <c r="J142" t="str">
        <f>IF(D142&gt;I142*3,"Overstock","OK")</f>
        <v>Overstock</v>
      </c>
      <c r="K142">
        <f>IFERROR(_xlfn.XLOOKUP(B142,purchase_orders!C:C,purchase_orders!I:I),0)</f>
        <v>0</v>
      </c>
      <c r="L142">
        <f>(D142+K142)/2</f>
        <v>202</v>
      </c>
      <c r="M142">
        <f t="shared" si="9"/>
        <v>0.22</v>
      </c>
      <c r="N142">
        <f>IFERROR(_xlfn.XLOOKUP(B142,products!A:A,products!E:E),0)</f>
        <v>23.97</v>
      </c>
      <c r="O142">
        <f t="shared" si="10"/>
        <v>9683.8799999999992</v>
      </c>
      <c r="P142" t="str">
        <f t="shared" si="11"/>
        <v>Normal</v>
      </c>
      <c r="Q142" t="str">
        <f>IFERROR(_xlfn.XLOOKUP(B142,reorder_point!B:B,reorder_point!I:I),"")</f>
        <v/>
      </c>
      <c r="R142" t="str">
        <f>_xlfn.XLOOKUP(B142,products!A:A,products!B:B)</f>
        <v>SKU-0068</v>
      </c>
    </row>
    <row r="143" spans="1:18">
      <c r="A143">
        <v>142</v>
      </c>
      <c r="B143">
        <v>68</v>
      </c>
      <c r="C143" t="s">
        <v>119</v>
      </c>
      <c r="D143">
        <v>33</v>
      </c>
      <c r="E143" s="1">
        <v>46108</v>
      </c>
      <c r="F143" s="1" t="str">
        <f>_xlfn.XLOOKUP(B143,purchase_orders!C:C,purchase_orders!G:G)</f>
        <v>NULL</v>
      </c>
      <c r="G143" s="5" t="e">
        <f t="shared" ca="1" si="8"/>
        <v>#VALUE!</v>
      </c>
      <c r="H143" s="2" t="e">
        <f ca="1">IF(G143&lt;=30,"0-30",IF(G143&lt;=60,"31-60",IF(G143&lt;=90,"61-90","90+")))</f>
        <v>#VALUE!</v>
      </c>
      <c r="I143">
        <f>SUMIFS(order_items!D:D,order_items!C:C,inventory!B143)</f>
        <v>44</v>
      </c>
      <c r="J143" t="str">
        <f>IF(D143&gt;I143*3,"Overstock","OK")</f>
        <v>OK</v>
      </c>
      <c r="K143">
        <f>IFERROR(_xlfn.XLOOKUP(B143,purchase_orders!C:C,purchase_orders!I:I),0)</f>
        <v>0</v>
      </c>
      <c r="L143">
        <f>(D143+K143)/2</f>
        <v>16.5</v>
      </c>
      <c r="M143">
        <f t="shared" si="9"/>
        <v>2.67</v>
      </c>
      <c r="N143">
        <f>IFERROR(_xlfn.XLOOKUP(B143,products!A:A,products!E:E),0)</f>
        <v>23.97</v>
      </c>
      <c r="O143">
        <f t="shared" si="10"/>
        <v>791.01</v>
      </c>
      <c r="P143" t="str">
        <f t="shared" si="11"/>
        <v>Normal</v>
      </c>
      <c r="Q143" t="str">
        <f>IFERROR(_xlfn.XLOOKUP(B143,reorder_point!B:B,reorder_point!I:I),"")</f>
        <v/>
      </c>
      <c r="R143" t="str">
        <f>_xlfn.XLOOKUP(B143,products!A:A,products!B:B)</f>
        <v>SKU-0068</v>
      </c>
    </row>
    <row r="144" spans="1:18">
      <c r="A144">
        <v>143</v>
      </c>
      <c r="B144">
        <v>69</v>
      </c>
      <c r="C144" t="s">
        <v>117</v>
      </c>
      <c r="D144">
        <v>370</v>
      </c>
      <c r="E144" s="1">
        <v>46085</v>
      </c>
      <c r="F144" s="1">
        <f>_xlfn.XLOOKUP(B144,purchase_orders!C:C,purchase_orders!G:G)</f>
        <v>46159</v>
      </c>
      <c r="G144" s="5">
        <f t="shared" ca="1" si="8"/>
        <v>5</v>
      </c>
      <c r="H144" s="2" t="str">
        <f ca="1">IF(G144&lt;=30,"0-30",IF(G144&lt;=60,"31-60",IF(G144&lt;=90,"61-90","90+")))</f>
        <v>0-30</v>
      </c>
      <c r="I144">
        <f>SUMIFS(order_items!D:D,order_items!C:C,inventory!B144)</f>
        <v>8</v>
      </c>
      <c r="J144" t="str">
        <f>IF(D144&gt;I144*3,"Overstock","OK")</f>
        <v>Overstock</v>
      </c>
      <c r="K144">
        <f>IFERROR(_xlfn.XLOOKUP(B144,purchase_orders!C:C,purchase_orders!I:I),0)</f>
        <v>519</v>
      </c>
      <c r="L144">
        <f>(D144+K144)/2</f>
        <v>444.5</v>
      </c>
      <c r="M144">
        <f t="shared" si="9"/>
        <v>0.02</v>
      </c>
      <c r="N144">
        <f>IFERROR(_xlfn.XLOOKUP(B144,products!A:A,products!E:E),0)</f>
        <v>162.41</v>
      </c>
      <c r="O144">
        <f t="shared" si="10"/>
        <v>60091.7</v>
      </c>
      <c r="P144" t="str">
        <f t="shared" si="11"/>
        <v>Slow Moving</v>
      </c>
      <c r="Q144" t="str">
        <f>IFERROR(_xlfn.XLOOKUP(B144,reorder_point!B:B,reorder_point!I:I),"")</f>
        <v>OK</v>
      </c>
      <c r="R144" t="str">
        <f>_xlfn.XLOOKUP(B144,products!A:A,products!B:B)</f>
        <v>SKU-0069</v>
      </c>
    </row>
    <row r="145" spans="1:18">
      <c r="A145">
        <v>144</v>
      </c>
      <c r="B145">
        <v>69</v>
      </c>
      <c r="C145" t="s">
        <v>120</v>
      </c>
      <c r="D145">
        <v>308</v>
      </c>
      <c r="E145" s="1">
        <v>46122</v>
      </c>
      <c r="F145" s="1">
        <f>_xlfn.XLOOKUP(B145,purchase_orders!C:C,purchase_orders!G:G)</f>
        <v>46159</v>
      </c>
      <c r="G145" s="5">
        <f t="shared" ca="1" si="8"/>
        <v>5</v>
      </c>
      <c r="H145" s="2" t="str">
        <f ca="1">IF(G145&lt;=30,"0-30",IF(G145&lt;=60,"31-60",IF(G145&lt;=90,"61-90","90+")))</f>
        <v>0-30</v>
      </c>
      <c r="I145">
        <f>SUMIFS(order_items!D:D,order_items!C:C,inventory!B145)</f>
        <v>8</v>
      </c>
      <c r="J145" t="str">
        <f>IF(D145&gt;I145*3,"Overstock","OK")</f>
        <v>Overstock</v>
      </c>
      <c r="K145">
        <f>IFERROR(_xlfn.XLOOKUP(B145,purchase_orders!C:C,purchase_orders!I:I),0)</f>
        <v>519</v>
      </c>
      <c r="L145">
        <f>(D145+K145)/2</f>
        <v>413.5</v>
      </c>
      <c r="M145">
        <f t="shared" si="9"/>
        <v>0.02</v>
      </c>
      <c r="N145">
        <f>IFERROR(_xlfn.XLOOKUP(B145,products!A:A,products!E:E),0)</f>
        <v>162.41</v>
      </c>
      <c r="O145">
        <f t="shared" si="10"/>
        <v>50022.28</v>
      </c>
      <c r="P145" t="str">
        <f t="shared" si="11"/>
        <v>Slow Moving</v>
      </c>
      <c r="Q145" t="str">
        <f>IFERROR(_xlfn.XLOOKUP(B145,reorder_point!B:B,reorder_point!I:I),"")</f>
        <v>OK</v>
      </c>
      <c r="R145" t="str">
        <f>_xlfn.XLOOKUP(B145,products!A:A,products!B:B)</f>
        <v>SKU-0069</v>
      </c>
    </row>
    <row r="146" spans="1:18">
      <c r="A146">
        <v>145</v>
      </c>
      <c r="B146">
        <v>69</v>
      </c>
      <c r="C146" t="s">
        <v>118</v>
      </c>
      <c r="D146">
        <v>41</v>
      </c>
      <c r="E146" s="1">
        <v>46134</v>
      </c>
      <c r="F146" s="1">
        <f>_xlfn.XLOOKUP(B146,purchase_orders!C:C,purchase_orders!G:G)</f>
        <v>46159</v>
      </c>
      <c r="G146" s="5">
        <f t="shared" ca="1" si="8"/>
        <v>5</v>
      </c>
      <c r="H146" s="2" t="str">
        <f ca="1">IF(G146&lt;=30,"0-30",IF(G146&lt;=60,"31-60",IF(G146&lt;=90,"61-90","90+")))</f>
        <v>0-30</v>
      </c>
      <c r="I146">
        <f>SUMIFS(order_items!D:D,order_items!C:C,inventory!B146)</f>
        <v>8</v>
      </c>
      <c r="J146" t="str">
        <f>IF(D146&gt;I146*3,"Overstock","OK")</f>
        <v>Overstock</v>
      </c>
      <c r="K146">
        <f>IFERROR(_xlfn.XLOOKUP(B146,purchase_orders!C:C,purchase_orders!I:I),0)</f>
        <v>519</v>
      </c>
      <c r="L146">
        <f>(D146+K146)/2</f>
        <v>280</v>
      </c>
      <c r="M146">
        <f t="shared" si="9"/>
        <v>0.03</v>
      </c>
      <c r="N146">
        <f>IFERROR(_xlfn.XLOOKUP(B146,products!A:A,products!E:E),0)</f>
        <v>162.41</v>
      </c>
      <c r="O146">
        <f t="shared" si="10"/>
        <v>6658.8099999999995</v>
      </c>
      <c r="P146" t="str">
        <f t="shared" si="11"/>
        <v>Slow Moving</v>
      </c>
      <c r="Q146" t="str">
        <f>IFERROR(_xlfn.XLOOKUP(B146,reorder_point!B:B,reorder_point!I:I),"")</f>
        <v>OK</v>
      </c>
      <c r="R146" t="str">
        <f>_xlfn.XLOOKUP(B146,products!A:A,products!B:B)</f>
        <v>SKU-0069</v>
      </c>
    </row>
    <row r="147" spans="1:18">
      <c r="A147">
        <v>146</v>
      </c>
      <c r="B147">
        <v>70</v>
      </c>
      <c r="C147" t="s">
        <v>120</v>
      </c>
      <c r="D147">
        <v>66</v>
      </c>
      <c r="E147" s="1">
        <v>46083</v>
      </c>
      <c r="F147" s="1">
        <f>_xlfn.XLOOKUP(B147,purchase_orders!C:C,purchase_orders!G:G)</f>
        <v>46147</v>
      </c>
      <c r="G147" s="5">
        <f t="shared" ca="1" si="8"/>
        <v>17</v>
      </c>
      <c r="H147" s="2" t="str">
        <f ca="1">IF(G147&lt;=30,"0-30",IF(G147&lt;=60,"31-60",IF(G147&lt;=90,"61-90","90+")))</f>
        <v>0-30</v>
      </c>
      <c r="I147">
        <f>SUMIFS(order_items!D:D,order_items!C:C,inventory!B147)</f>
        <v>26</v>
      </c>
      <c r="J147" t="str">
        <f>IF(D147&gt;I147*3,"Overstock","OK")</f>
        <v>OK</v>
      </c>
      <c r="K147">
        <f>IFERROR(_xlfn.XLOOKUP(B147,purchase_orders!C:C,purchase_orders!I:I),0)</f>
        <v>530</v>
      </c>
      <c r="L147">
        <f>(D147+K147)/2</f>
        <v>298</v>
      </c>
      <c r="M147">
        <f t="shared" si="9"/>
        <v>0.09</v>
      </c>
      <c r="N147">
        <f>IFERROR(_xlfn.XLOOKUP(B147,products!A:A,products!E:E),0)</f>
        <v>95.99</v>
      </c>
      <c r="O147">
        <f t="shared" si="10"/>
        <v>6335.3399999999992</v>
      </c>
      <c r="P147" t="str">
        <f t="shared" si="11"/>
        <v>Normal</v>
      </c>
      <c r="Q147" t="str">
        <f>IFERROR(_xlfn.XLOOKUP(B147,reorder_point!B:B,reorder_point!I:I),"")</f>
        <v>OK</v>
      </c>
      <c r="R147" t="str">
        <f>_xlfn.XLOOKUP(B147,products!A:A,products!B:B)</f>
        <v>SKU-0070</v>
      </c>
    </row>
    <row r="148" spans="1:18">
      <c r="A148">
        <v>147</v>
      </c>
      <c r="B148">
        <v>70</v>
      </c>
      <c r="C148" t="s">
        <v>117</v>
      </c>
      <c r="D148">
        <v>43</v>
      </c>
      <c r="E148" s="1">
        <v>46119</v>
      </c>
      <c r="F148" s="1">
        <f>_xlfn.XLOOKUP(B148,purchase_orders!C:C,purchase_orders!G:G)</f>
        <v>46147</v>
      </c>
      <c r="G148" s="5">
        <f t="shared" ca="1" si="8"/>
        <v>17</v>
      </c>
      <c r="H148" s="2" t="str">
        <f ca="1">IF(G148&lt;=30,"0-30",IF(G148&lt;=60,"31-60",IF(G148&lt;=90,"61-90","90+")))</f>
        <v>0-30</v>
      </c>
      <c r="I148">
        <f>SUMIFS(order_items!D:D,order_items!C:C,inventory!B148)</f>
        <v>26</v>
      </c>
      <c r="J148" t="str">
        <f>IF(D148&gt;I148*3,"Overstock","OK")</f>
        <v>OK</v>
      </c>
      <c r="K148">
        <f>IFERROR(_xlfn.XLOOKUP(B148,purchase_orders!C:C,purchase_orders!I:I),0)</f>
        <v>530</v>
      </c>
      <c r="L148">
        <f>(D148+K148)/2</f>
        <v>286.5</v>
      </c>
      <c r="M148">
        <f t="shared" si="9"/>
        <v>0.09</v>
      </c>
      <c r="N148">
        <f>IFERROR(_xlfn.XLOOKUP(B148,products!A:A,products!E:E),0)</f>
        <v>95.99</v>
      </c>
      <c r="O148">
        <f t="shared" si="10"/>
        <v>4127.57</v>
      </c>
      <c r="P148" t="str">
        <f t="shared" si="11"/>
        <v>Normal</v>
      </c>
      <c r="Q148" t="str">
        <f>IFERROR(_xlfn.XLOOKUP(B148,reorder_point!B:B,reorder_point!I:I),"")</f>
        <v>OK</v>
      </c>
      <c r="R148" t="str">
        <f>_xlfn.XLOOKUP(B148,products!A:A,products!B:B)</f>
        <v>SKU-0070</v>
      </c>
    </row>
    <row r="149" spans="1:18">
      <c r="A149">
        <v>148</v>
      </c>
      <c r="B149">
        <v>71</v>
      </c>
      <c r="C149" t="s">
        <v>122</v>
      </c>
      <c r="D149">
        <v>359</v>
      </c>
      <c r="E149" s="1">
        <v>46096</v>
      </c>
      <c r="F149" s="1">
        <f>_xlfn.XLOOKUP(B149,purchase_orders!C:C,purchase_orders!G:G)</f>
        <v>46094</v>
      </c>
      <c r="G149" s="5">
        <f t="shared" ca="1" si="8"/>
        <v>70</v>
      </c>
      <c r="H149" s="2" t="str">
        <f ca="1">IF(G149&lt;=30,"0-30",IF(G149&lt;=60,"31-60",IF(G149&lt;=90,"61-90","90+")))</f>
        <v>61-90</v>
      </c>
      <c r="I149">
        <f>SUMIFS(order_items!D:D,order_items!C:C,inventory!B149)</f>
        <v>28</v>
      </c>
      <c r="J149" t="str">
        <f>IF(D149&gt;I149*3,"Overstock","OK")</f>
        <v>Overstock</v>
      </c>
      <c r="K149">
        <f>IFERROR(_xlfn.XLOOKUP(B149,purchase_orders!C:C,purchase_orders!I:I),0)</f>
        <v>324</v>
      </c>
      <c r="L149">
        <f>(D149+K149)/2</f>
        <v>341.5</v>
      </c>
      <c r="M149">
        <f t="shared" si="9"/>
        <v>0.08</v>
      </c>
      <c r="N149">
        <f>IFERROR(_xlfn.XLOOKUP(B149,products!A:A,products!E:E),0)</f>
        <v>171.05</v>
      </c>
      <c r="O149">
        <f t="shared" si="10"/>
        <v>61406.950000000004</v>
      </c>
      <c r="P149" t="str">
        <f t="shared" si="11"/>
        <v>Normal</v>
      </c>
      <c r="Q149" t="str">
        <f>IFERROR(_xlfn.XLOOKUP(B149,reorder_point!B:B,reorder_point!I:I),"")</f>
        <v>OK</v>
      </c>
      <c r="R149" t="str">
        <f>_xlfn.XLOOKUP(B149,products!A:A,products!B:B)</f>
        <v>SKU-0071</v>
      </c>
    </row>
    <row r="150" spans="1:18">
      <c r="A150">
        <v>149</v>
      </c>
      <c r="B150">
        <v>71</v>
      </c>
      <c r="C150" t="s">
        <v>118</v>
      </c>
      <c r="D150">
        <v>350</v>
      </c>
      <c r="E150" s="1">
        <v>46138</v>
      </c>
      <c r="F150" s="1">
        <f>_xlfn.XLOOKUP(B150,purchase_orders!C:C,purchase_orders!G:G)</f>
        <v>46094</v>
      </c>
      <c r="G150" s="5">
        <f t="shared" ca="1" si="8"/>
        <v>70</v>
      </c>
      <c r="H150" s="2" t="str">
        <f ca="1">IF(G150&lt;=30,"0-30",IF(G150&lt;=60,"31-60",IF(G150&lt;=90,"61-90","90+")))</f>
        <v>61-90</v>
      </c>
      <c r="I150">
        <f>SUMIFS(order_items!D:D,order_items!C:C,inventory!B150)</f>
        <v>28</v>
      </c>
      <c r="J150" t="str">
        <f>IF(D150&gt;I150*3,"Overstock","OK")</f>
        <v>Overstock</v>
      </c>
      <c r="K150">
        <f>IFERROR(_xlfn.XLOOKUP(B150,purchase_orders!C:C,purchase_orders!I:I),0)</f>
        <v>324</v>
      </c>
      <c r="L150">
        <f>(D150+K150)/2</f>
        <v>337</v>
      </c>
      <c r="M150">
        <f t="shared" si="9"/>
        <v>0.08</v>
      </c>
      <c r="N150">
        <f>IFERROR(_xlfn.XLOOKUP(B150,products!A:A,products!E:E),0)</f>
        <v>171.05</v>
      </c>
      <c r="O150">
        <f t="shared" si="10"/>
        <v>59867.500000000007</v>
      </c>
      <c r="P150" t="str">
        <f t="shared" si="11"/>
        <v>Normal</v>
      </c>
      <c r="Q150" t="str">
        <f>IFERROR(_xlfn.XLOOKUP(B150,reorder_point!B:B,reorder_point!I:I),"")</f>
        <v>OK</v>
      </c>
      <c r="R150" t="str">
        <f>_xlfn.XLOOKUP(B150,products!A:A,products!B:B)</f>
        <v>SKU-0071</v>
      </c>
    </row>
    <row r="151" spans="1:18">
      <c r="A151">
        <v>150</v>
      </c>
      <c r="B151">
        <v>71</v>
      </c>
      <c r="C151" t="s">
        <v>121</v>
      </c>
      <c r="D151">
        <v>330</v>
      </c>
      <c r="E151" s="1">
        <v>46111</v>
      </c>
      <c r="F151" s="1">
        <f>_xlfn.XLOOKUP(B151,purchase_orders!C:C,purchase_orders!G:G)</f>
        <v>46094</v>
      </c>
      <c r="G151" s="5">
        <f t="shared" ca="1" si="8"/>
        <v>70</v>
      </c>
      <c r="H151" s="2" t="str">
        <f ca="1">IF(G151&lt;=30,"0-30",IF(G151&lt;=60,"31-60",IF(G151&lt;=90,"61-90","90+")))</f>
        <v>61-90</v>
      </c>
      <c r="I151">
        <f>SUMIFS(order_items!D:D,order_items!C:C,inventory!B151)</f>
        <v>28</v>
      </c>
      <c r="J151" t="str">
        <f>IF(D151&gt;I151*3,"Overstock","OK")</f>
        <v>Overstock</v>
      </c>
      <c r="K151">
        <f>IFERROR(_xlfn.XLOOKUP(B151,purchase_orders!C:C,purchase_orders!I:I),0)</f>
        <v>324</v>
      </c>
      <c r="L151">
        <f>(D151+K151)/2</f>
        <v>327</v>
      </c>
      <c r="M151">
        <f t="shared" si="9"/>
        <v>0.09</v>
      </c>
      <c r="N151">
        <f>IFERROR(_xlfn.XLOOKUP(B151,products!A:A,products!E:E),0)</f>
        <v>171.05</v>
      </c>
      <c r="O151">
        <f t="shared" si="10"/>
        <v>56446.500000000007</v>
      </c>
      <c r="P151" t="str">
        <f t="shared" si="11"/>
        <v>Normal</v>
      </c>
      <c r="Q151" t="str">
        <f>IFERROR(_xlfn.XLOOKUP(B151,reorder_point!B:B,reorder_point!I:I),"")</f>
        <v>OK</v>
      </c>
      <c r="R151" t="str">
        <f>_xlfn.XLOOKUP(B151,products!A:A,products!B:B)</f>
        <v>SKU-0071</v>
      </c>
    </row>
    <row r="152" spans="1:18">
      <c r="A152">
        <v>151</v>
      </c>
      <c r="B152">
        <v>72</v>
      </c>
      <c r="C152" t="s">
        <v>119</v>
      </c>
      <c r="D152">
        <v>158</v>
      </c>
      <c r="E152" s="1">
        <v>46130</v>
      </c>
      <c r="F152" s="1">
        <f>_xlfn.XLOOKUP(B152,purchase_orders!C:C,purchase_orders!G:G)</f>
        <v>46069</v>
      </c>
      <c r="G152" s="5">
        <f t="shared" ca="1" si="8"/>
        <v>95</v>
      </c>
      <c r="H152" s="2" t="str">
        <f ca="1">IF(G152&lt;=30,"0-30",IF(G152&lt;=60,"31-60",IF(G152&lt;=90,"61-90","90+")))</f>
        <v>90+</v>
      </c>
      <c r="I152">
        <f>SUMIFS(order_items!D:D,order_items!C:C,inventory!B152)</f>
        <v>16</v>
      </c>
      <c r="J152" t="str">
        <f>IF(D152&gt;I152*3,"Overstock","OK")</f>
        <v>Overstock</v>
      </c>
      <c r="K152">
        <f>IFERROR(_xlfn.XLOOKUP(B152,purchase_orders!C:C,purchase_orders!I:I),0)</f>
        <v>943</v>
      </c>
      <c r="L152">
        <f>(D152+K152)/2</f>
        <v>550.5</v>
      </c>
      <c r="M152">
        <f t="shared" si="9"/>
        <v>0.03</v>
      </c>
      <c r="N152">
        <f>IFERROR(_xlfn.XLOOKUP(B152,products!A:A,products!E:E),0)</f>
        <v>93.75</v>
      </c>
      <c r="O152">
        <f t="shared" si="10"/>
        <v>14812.5</v>
      </c>
      <c r="P152" t="str">
        <f t="shared" si="11"/>
        <v>Normal</v>
      </c>
      <c r="Q152" t="str">
        <f>IFERROR(_xlfn.XLOOKUP(B152,reorder_point!B:B,reorder_point!I:I),"")</f>
        <v>OK</v>
      </c>
      <c r="R152" t="str">
        <f>_xlfn.XLOOKUP(B152,products!A:A,products!B:B)</f>
        <v>SKU-0072</v>
      </c>
    </row>
    <row r="153" spans="1:18">
      <c r="A153">
        <v>152</v>
      </c>
      <c r="B153">
        <v>72</v>
      </c>
      <c r="C153" t="s">
        <v>122</v>
      </c>
      <c r="D153">
        <v>174</v>
      </c>
      <c r="E153" s="1">
        <v>46112</v>
      </c>
      <c r="F153" s="1">
        <f>_xlfn.XLOOKUP(B153,purchase_orders!C:C,purchase_orders!G:G)</f>
        <v>46069</v>
      </c>
      <c r="G153" s="5">
        <f t="shared" ca="1" si="8"/>
        <v>95</v>
      </c>
      <c r="H153" s="2" t="str">
        <f ca="1">IF(G153&lt;=30,"0-30",IF(G153&lt;=60,"31-60",IF(G153&lt;=90,"61-90","90+")))</f>
        <v>90+</v>
      </c>
      <c r="I153">
        <f>SUMIFS(order_items!D:D,order_items!C:C,inventory!B153)</f>
        <v>16</v>
      </c>
      <c r="J153" t="str">
        <f>IF(D153&gt;I153*3,"Overstock","OK")</f>
        <v>Overstock</v>
      </c>
      <c r="K153">
        <f>IFERROR(_xlfn.XLOOKUP(B153,purchase_orders!C:C,purchase_orders!I:I),0)</f>
        <v>943</v>
      </c>
      <c r="L153">
        <f>(D153+K153)/2</f>
        <v>558.5</v>
      </c>
      <c r="M153">
        <f t="shared" si="9"/>
        <v>0.03</v>
      </c>
      <c r="N153">
        <f>IFERROR(_xlfn.XLOOKUP(B153,products!A:A,products!E:E),0)</f>
        <v>93.75</v>
      </c>
      <c r="O153">
        <f t="shared" si="10"/>
        <v>16312.5</v>
      </c>
      <c r="P153" t="str">
        <f t="shared" si="11"/>
        <v>Normal</v>
      </c>
      <c r="Q153" t="str">
        <f>IFERROR(_xlfn.XLOOKUP(B153,reorder_point!B:B,reorder_point!I:I),"")</f>
        <v>OK</v>
      </c>
      <c r="R153" t="str">
        <f>_xlfn.XLOOKUP(B153,products!A:A,products!B:B)</f>
        <v>SKU-0072</v>
      </c>
    </row>
    <row r="154" spans="1:18">
      <c r="A154">
        <v>153</v>
      </c>
      <c r="B154">
        <v>73</v>
      </c>
      <c r="C154" t="s">
        <v>118</v>
      </c>
      <c r="D154">
        <v>70</v>
      </c>
      <c r="E154" s="1">
        <v>46125</v>
      </c>
      <c r="F154" s="1">
        <f>_xlfn.XLOOKUP(B154,purchase_orders!C:C,purchase_orders!G:G)</f>
        <v>46143</v>
      </c>
      <c r="G154" s="5">
        <f t="shared" ca="1" si="8"/>
        <v>21</v>
      </c>
      <c r="H154" s="2" t="str">
        <f ca="1">IF(G154&lt;=30,"0-30",IF(G154&lt;=60,"31-60",IF(G154&lt;=90,"61-90","90+")))</f>
        <v>0-30</v>
      </c>
      <c r="I154">
        <f>SUMIFS(order_items!D:D,order_items!C:C,inventory!B154)</f>
        <v>55</v>
      </c>
      <c r="J154" t="str">
        <f>IF(D154&gt;I154*3,"Overstock","OK")</f>
        <v>OK</v>
      </c>
      <c r="K154">
        <f>IFERROR(_xlfn.XLOOKUP(B154,purchase_orders!C:C,purchase_orders!I:I),0)</f>
        <v>361</v>
      </c>
      <c r="L154">
        <f>(D154+K154)/2</f>
        <v>215.5</v>
      </c>
      <c r="M154">
        <f t="shared" si="9"/>
        <v>0.26</v>
      </c>
      <c r="N154">
        <f>IFERROR(_xlfn.XLOOKUP(B154,products!A:A,products!E:E),0)</f>
        <v>27.28</v>
      </c>
      <c r="O154">
        <f t="shared" si="10"/>
        <v>1909.6000000000001</v>
      </c>
      <c r="P154" t="str">
        <f t="shared" si="11"/>
        <v>Normal</v>
      </c>
      <c r="Q154" t="str">
        <f>IFERROR(_xlfn.XLOOKUP(B154,reorder_point!B:B,reorder_point!I:I),"")</f>
        <v>OK</v>
      </c>
      <c r="R154" t="str">
        <f>_xlfn.XLOOKUP(B154,products!A:A,products!B:B)</f>
        <v>SKU-0073</v>
      </c>
    </row>
    <row r="155" spans="1:18">
      <c r="A155">
        <v>154</v>
      </c>
      <c r="B155">
        <v>74</v>
      </c>
      <c r="C155" t="s">
        <v>121</v>
      </c>
      <c r="D155">
        <v>394</v>
      </c>
      <c r="E155" s="1">
        <v>46096</v>
      </c>
      <c r="F155" s="1" t="str">
        <f>_xlfn.XLOOKUP(B155,purchase_orders!C:C,purchase_orders!G:G)</f>
        <v>NULL</v>
      </c>
      <c r="G155" s="5" t="e">
        <f t="shared" ca="1" si="8"/>
        <v>#VALUE!</v>
      </c>
      <c r="H155" s="2" t="e">
        <f ca="1">IF(G155&lt;=30,"0-30",IF(G155&lt;=60,"31-60",IF(G155&lt;=90,"61-90","90+")))</f>
        <v>#VALUE!</v>
      </c>
      <c r="I155">
        <f>SUMIFS(order_items!D:D,order_items!C:C,inventory!B155)</f>
        <v>42</v>
      </c>
      <c r="J155" t="str">
        <f>IF(D155&gt;I155*3,"Overstock","OK")</f>
        <v>Overstock</v>
      </c>
      <c r="K155">
        <f>IFERROR(_xlfn.XLOOKUP(B155,purchase_orders!C:C,purchase_orders!I:I),0)</f>
        <v>0</v>
      </c>
      <c r="L155">
        <f>(D155+K155)/2</f>
        <v>197</v>
      </c>
      <c r="M155">
        <f t="shared" si="9"/>
        <v>0.21</v>
      </c>
      <c r="N155">
        <f>IFERROR(_xlfn.XLOOKUP(B155,products!A:A,products!E:E),0)</f>
        <v>104.59</v>
      </c>
      <c r="O155">
        <f t="shared" si="10"/>
        <v>41208.46</v>
      </c>
      <c r="P155" t="str">
        <f t="shared" si="11"/>
        <v>Normal</v>
      </c>
      <c r="Q155" t="str">
        <f>IFERROR(_xlfn.XLOOKUP(B155,reorder_point!B:B,reorder_point!I:I),"")</f>
        <v/>
      </c>
      <c r="R155" t="str">
        <f>_xlfn.XLOOKUP(B155,products!A:A,products!B:B)</f>
        <v>SKU0074</v>
      </c>
    </row>
    <row r="156" spans="1:18">
      <c r="A156">
        <v>155</v>
      </c>
      <c r="B156">
        <v>75</v>
      </c>
      <c r="C156" t="s">
        <v>119</v>
      </c>
      <c r="D156">
        <v>316</v>
      </c>
      <c r="E156" s="1">
        <v>46119</v>
      </c>
      <c r="F156" s="1">
        <f>_xlfn.XLOOKUP(B156,purchase_orders!C:C,purchase_orders!G:G)</f>
        <v>46103</v>
      </c>
      <c r="G156" s="5">
        <f t="shared" ca="1" si="8"/>
        <v>61</v>
      </c>
      <c r="H156" s="2" t="str">
        <f ca="1">IF(G156&lt;=30,"0-30",IF(G156&lt;=60,"31-60",IF(G156&lt;=90,"61-90","90+")))</f>
        <v>61-90</v>
      </c>
      <c r="I156">
        <f>SUMIFS(order_items!D:D,order_items!C:C,inventory!B156)</f>
        <v>40</v>
      </c>
      <c r="J156" t="str">
        <f>IF(D156&gt;I156*3,"Overstock","OK")</f>
        <v>Overstock</v>
      </c>
      <c r="K156">
        <f>IFERROR(_xlfn.XLOOKUP(B156,purchase_orders!C:C,purchase_orders!I:I),0)</f>
        <v>140</v>
      </c>
      <c r="L156">
        <f>(D156+K156)/2</f>
        <v>228</v>
      </c>
      <c r="M156">
        <f t="shared" si="9"/>
        <v>0.18</v>
      </c>
      <c r="N156">
        <f>IFERROR(_xlfn.XLOOKUP(B156,products!A:A,products!E:E),0)</f>
        <v>80.23</v>
      </c>
      <c r="O156">
        <f t="shared" si="10"/>
        <v>25352.68</v>
      </c>
      <c r="P156" t="str">
        <f t="shared" si="11"/>
        <v>Normal</v>
      </c>
      <c r="Q156" t="str">
        <f>IFERROR(_xlfn.XLOOKUP(B156,reorder_point!B:B,reorder_point!I:I),"")</f>
        <v>OK</v>
      </c>
      <c r="R156" t="str">
        <f>_xlfn.XLOOKUP(B156,products!A:A,products!B:B)</f>
        <v>SKU-0075</v>
      </c>
    </row>
    <row r="157" spans="1:18">
      <c r="A157">
        <v>156</v>
      </c>
      <c r="B157">
        <v>75</v>
      </c>
      <c r="C157" t="s">
        <v>122</v>
      </c>
      <c r="D157">
        <v>78</v>
      </c>
      <c r="E157" s="1">
        <v>46090</v>
      </c>
      <c r="F157" s="1">
        <f>_xlfn.XLOOKUP(B157,purchase_orders!C:C,purchase_orders!G:G)</f>
        <v>46103</v>
      </c>
      <c r="G157" s="5">
        <f t="shared" ca="1" si="8"/>
        <v>61</v>
      </c>
      <c r="H157" s="2" t="str">
        <f ca="1">IF(G157&lt;=30,"0-30",IF(G157&lt;=60,"31-60",IF(G157&lt;=90,"61-90","90+")))</f>
        <v>61-90</v>
      </c>
      <c r="I157">
        <f>SUMIFS(order_items!D:D,order_items!C:C,inventory!B157)</f>
        <v>40</v>
      </c>
      <c r="J157" t="str">
        <f>IF(D157&gt;I157*3,"Overstock","OK")</f>
        <v>OK</v>
      </c>
      <c r="K157">
        <f>IFERROR(_xlfn.XLOOKUP(B157,purchase_orders!C:C,purchase_orders!I:I),0)</f>
        <v>140</v>
      </c>
      <c r="L157">
        <f>(D157+K157)/2</f>
        <v>109</v>
      </c>
      <c r="M157">
        <f t="shared" si="9"/>
        <v>0.37</v>
      </c>
      <c r="N157">
        <f>IFERROR(_xlfn.XLOOKUP(B157,products!A:A,products!E:E),0)</f>
        <v>80.23</v>
      </c>
      <c r="O157">
        <f t="shared" si="10"/>
        <v>6257.9400000000005</v>
      </c>
      <c r="P157" t="str">
        <f t="shared" si="11"/>
        <v>Normal</v>
      </c>
      <c r="Q157" t="str">
        <f>IFERROR(_xlfn.XLOOKUP(B157,reorder_point!B:B,reorder_point!I:I),"")</f>
        <v>OK</v>
      </c>
      <c r="R157" t="str">
        <f>_xlfn.XLOOKUP(B157,products!A:A,products!B:B)</f>
        <v>SKU-0075</v>
      </c>
    </row>
    <row r="158" spans="1:18">
      <c r="A158">
        <v>157</v>
      </c>
      <c r="B158">
        <v>75</v>
      </c>
      <c r="C158" t="s">
        <v>117</v>
      </c>
      <c r="D158">
        <v>354</v>
      </c>
      <c r="E158" s="1">
        <v>46092</v>
      </c>
      <c r="F158" s="1">
        <f>_xlfn.XLOOKUP(B158,purchase_orders!C:C,purchase_orders!G:G)</f>
        <v>46103</v>
      </c>
      <c r="G158" s="5">
        <f t="shared" ca="1" si="8"/>
        <v>61</v>
      </c>
      <c r="H158" s="2" t="str">
        <f ca="1">IF(G158&lt;=30,"0-30",IF(G158&lt;=60,"31-60",IF(G158&lt;=90,"61-90","90+")))</f>
        <v>61-90</v>
      </c>
      <c r="I158">
        <f>SUMIFS(order_items!D:D,order_items!C:C,inventory!B158)</f>
        <v>40</v>
      </c>
      <c r="J158" t="str">
        <f>IF(D158&gt;I158*3,"Overstock","OK")</f>
        <v>Overstock</v>
      </c>
      <c r="K158">
        <f>IFERROR(_xlfn.XLOOKUP(B158,purchase_orders!C:C,purchase_orders!I:I),0)</f>
        <v>140</v>
      </c>
      <c r="L158">
        <f>(D158+K158)/2</f>
        <v>247</v>
      </c>
      <c r="M158">
        <f t="shared" si="9"/>
        <v>0.16</v>
      </c>
      <c r="N158">
        <f>IFERROR(_xlfn.XLOOKUP(B158,products!A:A,products!E:E),0)</f>
        <v>80.23</v>
      </c>
      <c r="O158">
        <f t="shared" si="10"/>
        <v>28401.420000000002</v>
      </c>
      <c r="P158" t="str">
        <f t="shared" si="11"/>
        <v>Normal</v>
      </c>
      <c r="Q158" t="str">
        <f>IFERROR(_xlfn.XLOOKUP(B158,reorder_point!B:B,reorder_point!I:I),"")</f>
        <v>OK</v>
      </c>
      <c r="R158" t="str">
        <f>_xlfn.XLOOKUP(B158,products!A:A,products!B:B)</f>
        <v>SKU-0075</v>
      </c>
    </row>
    <row r="159" spans="1:18">
      <c r="A159">
        <v>158</v>
      </c>
      <c r="B159">
        <v>76</v>
      </c>
      <c r="C159" t="s">
        <v>117</v>
      </c>
      <c r="D159">
        <v>22</v>
      </c>
      <c r="E159" s="1">
        <v>46100</v>
      </c>
      <c r="F159" s="1">
        <f>_xlfn.XLOOKUP(B159,purchase_orders!C:C,purchase_orders!G:G)</f>
        <v>46122</v>
      </c>
      <c r="G159" s="5">
        <f t="shared" ca="1" si="8"/>
        <v>42</v>
      </c>
      <c r="H159" s="2" t="str">
        <f ca="1">IF(G159&lt;=30,"0-30",IF(G159&lt;=60,"31-60",IF(G159&lt;=90,"61-90","90+")))</f>
        <v>31-60</v>
      </c>
      <c r="I159">
        <f>SUMIFS(order_items!D:D,order_items!C:C,inventory!B159)</f>
        <v>56</v>
      </c>
      <c r="J159" t="str">
        <f>IF(D159&gt;I159*3,"Overstock","OK")</f>
        <v>OK</v>
      </c>
      <c r="K159">
        <f>IFERROR(_xlfn.XLOOKUP(B159,purchase_orders!C:C,purchase_orders!I:I),0)</f>
        <v>302</v>
      </c>
      <c r="L159">
        <f>(D159+K159)/2</f>
        <v>162</v>
      </c>
      <c r="M159">
        <f t="shared" si="9"/>
        <v>0.35</v>
      </c>
      <c r="N159">
        <f>IFERROR(_xlfn.XLOOKUP(B159,products!A:A,products!E:E),0)</f>
        <v>123.23</v>
      </c>
      <c r="O159">
        <f t="shared" si="10"/>
        <v>2711.06</v>
      </c>
      <c r="P159" t="str">
        <f t="shared" si="11"/>
        <v>Normal</v>
      </c>
      <c r="Q159" t="str">
        <f>IFERROR(_xlfn.XLOOKUP(B159,reorder_point!B:B,reorder_point!I:I),"")</f>
        <v>OK</v>
      </c>
      <c r="R159" t="str">
        <f>_xlfn.XLOOKUP(B159,products!A:A,products!B:B)</f>
        <v>SKU-0076</v>
      </c>
    </row>
    <row r="160" spans="1:18">
      <c r="A160">
        <v>159</v>
      </c>
      <c r="B160">
        <v>77</v>
      </c>
      <c r="C160" t="s">
        <v>118</v>
      </c>
      <c r="D160">
        <v>145</v>
      </c>
      <c r="E160" s="1">
        <v>46093</v>
      </c>
      <c r="F160" s="1">
        <f>_xlfn.XLOOKUP(B160,purchase_orders!C:C,purchase_orders!G:G)</f>
        <v>46035</v>
      </c>
      <c r="G160" s="5">
        <f t="shared" ca="1" si="8"/>
        <v>129</v>
      </c>
      <c r="H160" s="2" t="str">
        <f ca="1">IF(G160&lt;=30,"0-30",IF(G160&lt;=60,"31-60",IF(G160&lt;=90,"61-90","90+")))</f>
        <v>90+</v>
      </c>
      <c r="I160">
        <f>SUMIFS(order_items!D:D,order_items!C:C,inventory!B160)</f>
        <v>22</v>
      </c>
      <c r="J160" t="str">
        <f>IF(D160&gt;I160*3,"Overstock","OK")</f>
        <v>Overstock</v>
      </c>
      <c r="K160">
        <f>IFERROR(_xlfn.XLOOKUP(B160,purchase_orders!C:C,purchase_orders!I:I),0)</f>
        <v>94</v>
      </c>
      <c r="L160">
        <f>(D160+K160)/2</f>
        <v>119.5</v>
      </c>
      <c r="M160">
        <f t="shared" si="9"/>
        <v>0.18</v>
      </c>
      <c r="N160">
        <f>IFERROR(_xlfn.XLOOKUP(B160,products!A:A,products!E:E),0)</f>
        <v>95.2</v>
      </c>
      <c r="O160">
        <f t="shared" si="10"/>
        <v>13804</v>
      </c>
      <c r="P160" t="str">
        <f t="shared" si="11"/>
        <v>Normal</v>
      </c>
      <c r="Q160" t="str">
        <f>IFERROR(_xlfn.XLOOKUP(B160,reorder_point!B:B,reorder_point!I:I),"")</f>
        <v>OK</v>
      </c>
      <c r="R160" t="str">
        <f>_xlfn.XLOOKUP(B160,products!A:A,products!B:B)</f>
        <v>SKU-0077</v>
      </c>
    </row>
    <row r="161" spans="1:18">
      <c r="A161">
        <v>160</v>
      </c>
      <c r="B161">
        <v>77</v>
      </c>
      <c r="C161" t="s">
        <v>117</v>
      </c>
      <c r="D161">
        <v>229</v>
      </c>
      <c r="E161" s="1">
        <v>46128</v>
      </c>
      <c r="F161" s="1">
        <f>_xlfn.XLOOKUP(B161,purchase_orders!C:C,purchase_orders!G:G)</f>
        <v>46035</v>
      </c>
      <c r="G161" s="5">
        <f t="shared" ca="1" si="8"/>
        <v>129</v>
      </c>
      <c r="H161" s="2" t="str">
        <f ca="1">IF(G161&lt;=30,"0-30",IF(G161&lt;=60,"31-60",IF(G161&lt;=90,"61-90","90+")))</f>
        <v>90+</v>
      </c>
      <c r="I161">
        <f>SUMIFS(order_items!D:D,order_items!C:C,inventory!B161)</f>
        <v>22</v>
      </c>
      <c r="J161" t="str">
        <f>IF(D161&gt;I161*3,"Overstock","OK")</f>
        <v>Overstock</v>
      </c>
      <c r="K161">
        <f>IFERROR(_xlfn.XLOOKUP(B161,purchase_orders!C:C,purchase_orders!I:I),0)</f>
        <v>94</v>
      </c>
      <c r="L161">
        <f>(D161+K161)/2</f>
        <v>161.5</v>
      </c>
      <c r="M161">
        <f t="shared" si="9"/>
        <v>0.14000000000000001</v>
      </c>
      <c r="N161">
        <f>IFERROR(_xlfn.XLOOKUP(B161,products!A:A,products!E:E),0)</f>
        <v>95.2</v>
      </c>
      <c r="O161">
        <f t="shared" si="10"/>
        <v>21800.799999999999</v>
      </c>
      <c r="P161" t="str">
        <f t="shared" si="11"/>
        <v>Normal</v>
      </c>
      <c r="Q161" t="str">
        <f>IFERROR(_xlfn.XLOOKUP(B161,reorder_point!B:B,reorder_point!I:I),"")</f>
        <v>OK</v>
      </c>
      <c r="R161" t="str">
        <f>_xlfn.XLOOKUP(B161,products!A:A,products!B:B)</f>
        <v>SKU-0077</v>
      </c>
    </row>
    <row r="162" spans="1:18">
      <c r="A162">
        <v>161</v>
      </c>
      <c r="B162">
        <v>77</v>
      </c>
      <c r="C162" t="s">
        <v>120</v>
      </c>
      <c r="D162">
        <v>158</v>
      </c>
      <c r="E162" s="1">
        <v>46093</v>
      </c>
      <c r="F162" s="1">
        <f>_xlfn.XLOOKUP(B162,purchase_orders!C:C,purchase_orders!G:G)</f>
        <v>46035</v>
      </c>
      <c r="G162" s="5">
        <f t="shared" ca="1" si="8"/>
        <v>129</v>
      </c>
      <c r="H162" s="2" t="str">
        <f ca="1">IF(G162&lt;=30,"0-30",IF(G162&lt;=60,"31-60",IF(G162&lt;=90,"61-90","90+")))</f>
        <v>90+</v>
      </c>
      <c r="I162">
        <f>SUMIFS(order_items!D:D,order_items!C:C,inventory!B162)</f>
        <v>22</v>
      </c>
      <c r="J162" t="str">
        <f>IF(D162&gt;I162*3,"Overstock","OK")</f>
        <v>Overstock</v>
      </c>
      <c r="K162">
        <f>IFERROR(_xlfn.XLOOKUP(B162,purchase_orders!C:C,purchase_orders!I:I),0)</f>
        <v>94</v>
      </c>
      <c r="L162">
        <f>(D162+K162)/2</f>
        <v>126</v>
      </c>
      <c r="M162">
        <f t="shared" si="9"/>
        <v>0.17</v>
      </c>
      <c r="N162">
        <f>IFERROR(_xlfn.XLOOKUP(B162,products!A:A,products!E:E),0)</f>
        <v>95.2</v>
      </c>
      <c r="O162">
        <f t="shared" si="10"/>
        <v>15041.6</v>
      </c>
      <c r="P162" t="str">
        <f t="shared" si="11"/>
        <v>Normal</v>
      </c>
      <c r="Q162" t="str">
        <f>IFERROR(_xlfn.XLOOKUP(B162,reorder_point!B:B,reorder_point!I:I),"")</f>
        <v>OK</v>
      </c>
      <c r="R162" t="str">
        <f>_xlfn.XLOOKUP(B162,products!A:A,products!B:B)</f>
        <v>SKU-0077</v>
      </c>
    </row>
    <row r="163" spans="1:18">
      <c r="A163">
        <v>162</v>
      </c>
      <c r="B163">
        <v>78</v>
      </c>
      <c r="C163" t="s">
        <v>118</v>
      </c>
      <c r="D163">
        <v>347</v>
      </c>
      <c r="E163" s="1">
        <v>46115</v>
      </c>
      <c r="F163" s="1">
        <f>_xlfn.XLOOKUP(B163,purchase_orders!C:C,purchase_orders!G:G)</f>
        <v>46068</v>
      </c>
      <c r="G163" s="5">
        <f t="shared" ca="1" si="8"/>
        <v>96</v>
      </c>
      <c r="H163" s="2" t="str">
        <f ca="1">IF(G163&lt;=30,"0-30",IF(G163&lt;=60,"31-60",IF(G163&lt;=90,"61-90","90+")))</f>
        <v>90+</v>
      </c>
      <c r="I163">
        <f>SUMIFS(order_items!D:D,order_items!C:C,inventory!B163)</f>
        <v>45</v>
      </c>
      <c r="J163" t="str">
        <f>IF(D163&gt;I163*3,"Overstock","OK")</f>
        <v>Overstock</v>
      </c>
      <c r="K163">
        <f>IFERROR(_xlfn.XLOOKUP(B163,purchase_orders!C:C,purchase_orders!I:I),0)</f>
        <v>522</v>
      </c>
      <c r="L163">
        <f>(D163+K163)/2</f>
        <v>434.5</v>
      </c>
      <c r="M163">
        <f t="shared" si="9"/>
        <v>0.1</v>
      </c>
      <c r="N163">
        <f>IFERROR(_xlfn.XLOOKUP(B163,products!A:A,products!E:E),0)</f>
        <v>44.31</v>
      </c>
      <c r="O163">
        <f t="shared" si="10"/>
        <v>15375.570000000002</v>
      </c>
      <c r="P163" t="str">
        <f t="shared" si="11"/>
        <v>Normal</v>
      </c>
      <c r="Q163" t="str">
        <f>IFERROR(_xlfn.XLOOKUP(B163,reorder_point!B:B,reorder_point!I:I),"")</f>
        <v>OK</v>
      </c>
      <c r="R163" t="str">
        <f>_xlfn.XLOOKUP(B163,products!A:A,products!B:B)</f>
        <v>SKU-0078</v>
      </c>
    </row>
    <row r="164" spans="1:18">
      <c r="A164">
        <v>163</v>
      </c>
      <c r="B164">
        <v>78</v>
      </c>
      <c r="C164" t="s">
        <v>122</v>
      </c>
      <c r="D164">
        <v>236</v>
      </c>
      <c r="E164" s="1">
        <v>46094</v>
      </c>
      <c r="F164" s="1">
        <f>_xlfn.XLOOKUP(B164,purchase_orders!C:C,purchase_orders!G:G)</f>
        <v>46068</v>
      </c>
      <c r="G164" s="5">
        <f t="shared" ca="1" si="8"/>
        <v>96</v>
      </c>
      <c r="H164" s="2" t="str">
        <f ca="1">IF(G164&lt;=30,"0-30",IF(G164&lt;=60,"31-60",IF(G164&lt;=90,"61-90","90+")))</f>
        <v>90+</v>
      </c>
      <c r="I164">
        <f>SUMIFS(order_items!D:D,order_items!C:C,inventory!B164)</f>
        <v>45</v>
      </c>
      <c r="J164" t="str">
        <f>IF(D164&gt;I164*3,"Overstock","OK")</f>
        <v>Overstock</v>
      </c>
      <c r="K164">
        <f>IFERROR(_xlfn.XLOOKUP(B164,purchase_orders!C:C,purchase_orders!I:I),0)</f>
        <v>522</v>
      </c>
      <c r="L164">
        <f>(D164+K164)/2</f>
        <v>379</v>
      </c>
      <c r="M164">
        <f t="shared" si="9"/>
        <v>0.12</v>
      </c>
      <c r="N164">
        <f>IFERROR(_xlfn.XLOOKUP(B164,products!A:A,products!E:E),0)</f>
        <v>44.31</v>
      </c>
      <c r="O164">
        <f t="shared" si="10"/>
        <v>10457.16</v>
      </c>
      <c r="P164" t="str">
        <f t="shared" si="11"/>
        <v>Normal</v>
      </c>
      <c r="Q164" t="str">
        <f>IFERROR(_xlfn.XLOOKUP(B164,reorder_point!B:B,reorder_point!I:I),"")</f>
        <v>OK</v>
      </c>
      <c r="R164" t="str">
        <f>_xlfn.XLOOKUP(B164,products!A:A,products!B:B)</f>
        <v>SKU-0078</v>
      </c>
    </row>
    <row r="165" spans="1:18">
      <c r="A165">
        <v>164</v>
      </c>
      <c r="B165">
        <v>79</v>
      </c>
      <c r="C165" t="s">
        <v>121</v>
      </c>
      <c r="D165">
        <v>494</v>
      </c>
      <c r="E165" s="1">
        <v>46131</v>
      </c>
      <c r="F165" s="1">
        <f>_xlfn.XLOOKUP(B165,purchase_orders!C:C,purchase_orders!G:G)</f>
        <v>46040</v>
      </c>
      <c r="G165" s="5">
        <f t="shared" ca="1" si="8"/>
        <v>124</v>
      </c>
      <c r="H165" s="2" t="str">
        <f ca="1">IF(G165&lt;=30,"0-30",IF(G165&lt;=60,"31-60",IF(G165&lt;=90,"61-90","90+")))</f>
        <v>90+</v>
      </c>
      <c r="I165">
        <f>SUMIFS(order_items!D:D,order_items!C:C,inventory!B165)</f>
        <v>44</v>
      </c>
      <c r="J165" t="str">
        <f>IF(D165&gt;I165*3,"Overstock","OK")</f>
        <v>Overstock</v>
      </c>
      <c r="K165">
        <f>IFERROR(_xlfn.XLOOKUP(B165,purchase_orders!C:C,purchase_orders!I:I),0)</f>
        <v>987</v>
      </c>
      <c r="L165">
        <f>(D165+K165)/2</f>
        <v>740.5</v>
      </c>
      <c r="M165">
        <f t="shared" si="9"/>
        <v>0.06</v>
      </c>
      <c r="N165">
        <f>IFERROR(_xlfn.XLOOKUP(B165,products!A:A,products!E:E),0)</f>
        <v>111.97</v>
      </c>
      <c r="O165">
        <f t="shared" si="10"/>
        <v>55313.18</v>
      </c>
      <c r="P165" t="str">
        <f t="shared" si="11"/>
        <v>Normal</v>
      </c>
      <c r="Q165" t="str">
        <f>IFERROR(_xlfn.XLOOKUP(B165,reorder_point!B:B,reorder_point!I:I),"")</f>
        <v>OK</v>
      </c>
      <c r="R165" t="str">
        <f>_xlfn.XLOOKUP(B165,products!A:A,products!B:B)</f>
        <v>SKU-0079</v>
      </c>
    </row>
    <row r="166" spans="1:18">
      <c r="A166">
        <v>165</v>
      </c>
      <c r="B166">
        <v>79</v>
      </c>
      <c r="C166" t="s">
        <v>117</v>
      </c>
      <c r="D166">
        <v>410</v>
      </c>
      <c r="E166" s="1">
        <v>46088</v>
      </c>
      <c r="F166" s="1">
        <f>_xlfn.XLOOKUP(B166,purchase_orders!C:C,purchase_orders!G:G)</f>
        <v>46040</v>
      </c>
      <c r="G166" s="5">
        <f t="shared" ca="1" si="8"/>
        <v>124</v>
      </c>
      <c r="H166" s="2" t="str">
        <f ca="1">IF(G166&lt;=30,"0-30",IF(G166&lt;=60,"31-60",IF(G166&lt;=90,"61-90","90+")))</f>
        <v>90+</v>
      </c>
      <c r="I166">
        <f>SUMIFS(order_items!D:D,order_items!C:C,inventory!B166)</f>
        <v>44</v>
      </c>
      <c r="J166" t="str">
        <f>IF(D166&gt;I166*3,"Overstock","OK")</f>
        <v>Overstock</v>
      </c>
      <c r="K166">
        <f>IFERROR(_xlfn.XLOOKUP(B166,purchase_orders!C:C,purchase_orders!I:I),0)</f>
        <v>987</v>
      </c>
      <c r="L166">
        <f>(D166+K166)/2</f>
        <v>698.5</v>
      </c>
      <c r="M166">
        <f t="shared" si="9"/>
        <v>0.06</v>
      </c>
      <c r="N166">
        <f>IFERROR(_xlfn.XLOOKUP(B166,products!A:A,products!E:E),0)</f>
        <v>111.97</v>
      </c>
      <c r="O166">
        <f t="shared" si="10"/>
        <v>45907.7</v>
      </c>
      <c r="P166" t="str">
        <f t="shared" si="11"/>
        <v>Normal</v>
      </c>
      <c r="Q166" t="str">
        <f>IFERROR(_xlfn.XLOOKUP(B166,reorder_point!B:B,reorder_point!I:I),"")</f>
        <v>OK</v>
      </c>
      <c r="R166" t="str">
        <f>_xlfn.XLOOKUP(B166,products!A:A,products!B:B)</f>
        <v>SKU-0079</v>
      </c>
    </row>
    <row r="167" spans="1:18">
      <c r="A167">
        <v>166</v>
      </c>
      <c r="B167">
        <v>80</v>
      </c>
      <c r="C167" t="s">
        <v>119</v>
      </c>
      <c r="D167">
        <v>447</v>
      </c>
      <c r="E167" s="1">
        <v>46084</v>
      </c>
      <c r="F167" s="1">
        <f>_xlfn.XLOOKUP(B167,purchase_orders!C:C,purchase_orders!G:G)</f>
        <v>46037</v>
      </c>
      <c r="G167" s="5">
        <f t="shared" ca="1" si="8"/>
        <v>127</v>
      </c>
      <c r="H167" s="2" t="str">
        <f ca="1">IF(G167&lt;=30,"0-30",IF(G167&lt;=60,"31-60",IF(G167&lt;=90,"61-90","90+")))</f>
        <v>90+</v>
      </c>
      <c r="I167">
        <f>SUMIFS(order_items!D:D,order_items!C:C,inventory!B167)</f>
        <v>17</v>
      </c>
      <c r="J167" t="str">
        <f>IF(D167&gt;I167*3,"Overstock","OK")</f>
        <v>Overstock</v>
      </c>
      <c r="K167">
        <f>IFERROR(_xlfn.XLOOKUP(B167,purchase_orders!C:C,purchase_orders!I:I),0)</f>
        <v>279</v>
      </c>
      <c r="L167">
        <f>(D167+K167)/2</f>
        <v>363</v>
      </c>
      <c r="M167">
        <f t="shared" si="9"/>
        <v>0.05</v>
      </c>
      <c r="N167">
        <f>IFERROR(_xlfn.XLOOKUP(B167,products!A:A,products!E:E),0)</f>
        <v>91.52</v>
      </c>
      <c r="O167">
        <f t="shared" si="10"/>
        <v>40909.439999999995</v>
      </c>
      <c r="P167" t="str">
        <f t="shared" si="11"/>
        <v>Normal</v>
      </c>
      <c r="Q167" t="str">
        <f>IFERROR(_xlfn.XLOOKUP(B167,reorder_point!B:B,reorder_point!I:I),"")</f>
        <v>OK</v>
      </c>
      <c r="R167" t="str">
        <f>_xlfn.XLOOKUP(B167,products!A:A,products!B:B)</f>
        <v>SKU-0080</v>
      </c>
    </row>
    <row r="168" spans="1:18">
      <c r="A168">
        <v>167</v>
      </c>
      <c r="B168">
        <v>80</v>
      </c>
      <c r="C168" t="s">
        <v>117</v>
      </c>
      <c r="D168">
        <v>52</v>
      </c>
      <c r="E168" s="1">
        <v>46110</v>
      </c>
      <c r="F168" s="1">
        <f>_xlfn.XLOOKUP(B168,purchase_orders!C:C,purchase_orders!G:G)</f>
        <v>46037</v>
      </c>
      <c r="G168" s="5">
        <f t="shared" ca="1" si="8"/>
        <v>127</v>
      </c>
      <c r="H168" s="2" t="str">
        <f ca="1">IF(G168&lt;=30,"0-30",IF(G168&lt;=60,"31-60",IF(G168&lt;=90,"61-90","90+")))</f>
        <v>90+</v>
      </c>
      <c r="I168">
        <f>SUMIFS(order_items!D:D,order_items!C:C,inventory!B168)</f>
        <v>17</v>
      </c>
      <c r="J168" t="str">
        <f>IF(D168&gt;I168*3,"Overstock","OK")</f>
        <v>Overstock</v>
      </c>
      <c r="K168">
        <f>IFERROR(_xlfn.XLOOKUP(B168,purchase_orders!C:C,purchase_orders!I:I),0)</f>
        <v>279</v>
      </c>
      <c r="L168">
        <f>(D168+K168)/2</f>
        <v>165.5</v>
      </c>
      <c r="M168">
        <f t="shared" si="9"/>
        <v>0.1</v>
      </c>
      <c r="N168">
        <f>IFERROR(_xlfn.XLOOKUP(B168,products!A:A,products!E:E),0)</f>
        <v>91.52</v>
      </c>
      <c r="O168">
        <f t="shared" si="10"/>
        <v>4759.04</v>
      </c>
      <c r="P168" t="str">
        <f t="shared" si="11"/>
        <v>Normal</v>
      </c>
      <c r="Q168" t="str">
        <f>IFERROR(_xlfn.XLOOKUP(B168,reorder_point!B:B,reorder_point!I:I),"")</f>
        <v>OK</v>
      </c>
      <c r="R168" t="str">
        <f>_xlfn.XLOOKUP(B168,products!A:A,products!B:B)</f>
        <v>SKU-0080</v>
      </c>
    </row>
    <row r="169" spans="1:18">
      <c r="A169">
        <v>168</v>
      </c>
      <c r="B169">
        <v>81</v>
      </c>
      <c r="C169" t="s">
        <v>120</v>
      </c>
      <c r="D169">
        <v>42</v>
      </c>
      <c r="E169" s="1">
        <v>46126</v>
      </c>
      <c r="F169" s="1">
        <f>_xlfn.XLOOKUP(B169,purchase_orders!C:C,purchase_orders!G:G)</f>
        <v>46139</v>
      </c>
      <c r="G169" s="5">
        <f t="shared" ca="1" si="8"/>
        <v>25</v>
      </c>
      <c r="H169" s="2" t="str">
        <f ca="1">IF(G169&lt;=30,"0-30",IF(G169&lt;=60,"31-60",IF(G169&lt;=90,"61-90","90+")))</f>
        <v>0-30</v>
      </c>
      <c r="I169">
        <f>SUMIFS(order_items!D:D,order_items!C:C,inventory!B169)</f>
        <v>76</v>
      </c>
      <c r="J169" t="str">
        <f>IF(D169&gt;I169*3,"Overstock","OK")</f>
        <v>OK</v>
      </c>
      <c r="K169">
        <f>IFERROR(_xlfn.XLOOKUP(B169,purchase_orders!C:C,purchase_orders!I:I),0)</f>
        <v>269</v>
      </c>
      <c r="L169">
        <f>(D169+K169)/2</f>
        <v>155.5</v>
      </c>
      <c r="M169">
        <f t="shared" si="9"/>
        <v>0.49</v>
      </c>
      <c r="N169">
        <f>IFERROR(_xlfn.XLOOKUP(B169,products!A:A,products!E:E),0)</f>
        <v>43.3</v>
      </c>
      <c r="O169">
        <f t="shared" si="10"/>
        <v>1818.6</v>
      </c>
      <c r="P169" t="str">
        <f t="shared" si="11"/>
        <v>Normal</v>
      </c>
      <c r="Q169" t="str">
        <f>IFERROR(_xlfn.XLOOKUP(B169,reorder_point!B:B,reorder_point!I:I),"")</f>
        <v>OK</v>
      </c>
      <c r="R169" t="str">
        <f>_xlfn.XLOOKUP(B169,products!A:A,products!B:B)</f>
        <v>SKU-0081</v>
      </c>
    </row>
    <row r="170" spans="1:18">
      <c r="A170">
        <v>169</v>
      </c>
      <c r="B170">
        <v>82</v>
      </c>
      <c r="C170" t="s">
        <v>121</v>
      </c>
      <c r="D170">
        <v>425</v>
      </c>
      <c r="E170" s="1">
        <v>46083</v>
      </c>
      <c r="F170" s="1">
        <f>_xlfn.XLOOKUP(B170,purchase_orders!C:C,purchase_orders!G:G)</f>
        <v>46147</v>
      </c>
      <c r="G170" s="5">
        <f t="shared" ca="1" si="8"/>
        <v>17</v>
      </c>
      <c r="H170" s="2" t="str">
        <f ca="1">IF(G170&lt;=30,"0-30",IF(G170&lt;=60,"31-60",IF(G170&lt;=90,"61-90","90+")))</f>
        <v>0-30</v>
      </c>
      <c r="I170">
        <f>SUMIFS(order_items!D:D,order_items!C:C,inventory!B170)</f>
        <v>55</v>
      </c>
      <c r="J170" t="str">
        <f>IF(D170&gt;I170*3,"Overstock","OK")</f>
        <v>Overstock</v>
      </c>
      <c r="K170">
        <f>IFERROR(_xlfn.XLOOKUP(B170,purchase_orders!C:C,purchase_orders!I:I),0)</f>
        <v>379</v>
      </c>
      <c r="L170">
        <f>(D170+K170)/2</f>
        <v>402</v>
      </c>
      <c r="M170">
        <f t="shared" si="9"/>
        <v>0.14000000000000001</v>
      </c>
      <c r="N170">
        <f>IFERROR(_xlfn.XLOOKUP(B170,products!A:A,products!E:E),0)</f>
        <v>84.88</v>
      </c>
      <c r="O170">
        <f t="shared" si="10"/>
        <v>36074</v>
      </c>
      <c r="P170" t="str">
        <f t="shared" si="11"/>
        <v>Normal</v>
      </c>
      <c r="Q170" t="str">
        <f>IFERROR(_xlfn.XLOOKUP(B170,reorder_point!B:B,reorder_point!I:I),"")</f>
        <v>OK</v>
      </c>
      <c r="R170" t="str">
        <f>_xlfn.XLOOKUP(B170,products!A:A,products!B:B)</f>
        <v>SKU-0082</v>
      </c>
    </row>
    <row r="171" spans="1:18">
      <c r="A171">
        <v>170</v>
      </c>
      <c r="B171">
        <v>82</v>
      </c>
      <c r="C171" t="s">
        <v>118</v>
      </c>
      <c r="D171">
        <v>466</v>
      </c>
      <c r="E171" s="1">
        <v>46115</v>
      </c>
      <c r="F171" s="1">
        <f>_xlfn.XLOOKUP(B171,purchase_orders!C:C,purchase_orders!G:G)</f>
        <v>46147</v>
      </c>
      <c r="G171" s="5">
        <f t="shared" ca="1" si="8"/>
        <v>17</v>
      </c>
      <c r="H171" s="2" t="str">
        <f ca="1">IF(G171&lt;=30,"0-30",IF(G171&lt;=60,"31-60",IF(G171&lt;=90,"61-90","90+")))</f>
        <v>0-30</v>
      </c>
      <c r="I171">
        <f>SUMIFS(order_items!D:D,order_items!C:C,inventory!B171)</f>
        <v>55</v>
      </c>
      <c r="J171" t="str">
        <f>IF(D171&gt;I171*3,"Overstock","OK")</f>
        <v>Overstock</v>
      </c>
      <c r="K171">
        <f>IFERROR(_xlfn.XLOOKUP(B171,purchase_orders!C:C,purchase_orders!I:I),0)</f>
        <v>379</v>
      </c>
      <c r="L171">
        <f>(D171+K171)/2</f>
        <v>422.5</v>
      </c>
      <c r="M171">
        <f t="shared" si="9"/>
        <v>0.13</v>
      </c>
      <c r="N171">
        <f>IFERROR(_xlfn.XLOOKUP(B171,products!A:A,products!E:E),0)</f>
        <v>84.88</v>
      </c>
      <c r="O171">
        <f t="shared" si="10"/>
        <v>39554.079999999994</v>
      </c>
      <c r="P171" t="str">
        <f t="shared" si="11"/>
        <v>Normal</v>
      </c>
      <c r="Q171" t="str">
        <f>IFERROR(_xlfn.XLOOKUP(B171,reorder_point!B:B,reorder_point!I:I),"")</f>
        <v>OK</v>
      </c>
      <c r="R171" t="str">
        <f>_xlfn.XLOOKUP(B171,products!A:A,products!B:B)</f>
        <v>SKU-0082</v>
      </c>
    </row>
    <row r="172" spans="1:18">
      <c r="A172">
        <v>171</v>
      </c>
      <c r="B172">
        <v>83</v>
      </c>
      <c r="C172" t="s">
        <v>119</v>
      </c>
      <c r="D172">
        <v>27</v>
      </c>
      <c r="E172" s="1">
        <v>46120</v>
      </c>
      <c r="F172" s="1">
        <f>_xlfn.XLOOKUP(B172,purchase_orders!C:C,purchase_orders!G:G)</f>
        <v>46042</v>
      </c>
      <c r="G172" s="5">
        <f t="shared" ca="1" si="8"/>
        <v>122</v>
      </c>
      <c r="H172" s="2" t="str">
        <f ca="1">IF(G172&lt;=30,"0-30",IF(G172&lt;=60,"31-60",IF(G172&lt;=90,"61-90","90+")))</f>
        <v>90+</v>
      </c>
      <c r="I172">
        <f>SUMIFS(order_items!D:D,order_items!C:C,inventory!B172)</f>
        <v>35</v>
      </c>
      <c r="J172" t="str">
        <f>IF(D172&gt;I172*3,"Overstock","OK")</f>
        <v>OK</v>
      </c>
      <c r="K172">
        <f>IFERROR(_xlfn.XLOOKUP(B172,purchase_orders!C:C,purchase_orders!I:I),0)</f>
        <v>450</v>
      </c>
      <c r="L172">
        <f>(D172+K172)/2</f>
        <v>238.5</v>
      </c>
      <c r="M172">
        <f t="shared" si="9"/>
        <v>0.15</v>
      </c>
      <c r="N172">
        <f>IFERROR(_xlfn.XLOOKUP(B172,products!A:A,products!E:E),0)</f>
        <v>147.63</v>
      </c>
      <c r="O172">
        <f t="shared" si="10"/>
        <v>3986.0099999999998</v>
      </c>
      <c r="P172" t="str">
        <f t="shared" si="11"/>
        <v>Normal</v>
      </c>
      <c r="Q172" t="str">
        <f>IFERROR(_xlfn.XLOOKUP(B172,reorder_point!B:B,reorder_point!I:I),"")</f>
        <v>OK</v>
      </c>
      <c r="R172" t="str">
        <f>_xlfn.XLOOKUP(B172,products!A:A,products!B:B)</f>
        <v>SKU-0083</v>
      </c>
    </row>
    <row r="173" spans="1:18">
      <c r="A173">
        <v>172</v>
      </c>
      <c r="B173">
        <v>83</v>
      </c>
      <c r="C173" t="s">
        <v>117</v>
      </c>
      <c r="D173">
        <v>120</v>
      </c>
      <c r="E173" s="1">
        <v>46138</v>
      </c>
      <c r="F173" s="1">
        <f>_xlfn.XLOOKUP(B173,purchase_orders!C:C,purchase_orders!G:G)</f>
        <v>46042</v>
      </c>
      <c r="G173" s="5">
        <f t="shared" ca="1" si="8"/>
        <v>122</v>
      </c>
      <c r="H173" s="2" t="str">
        <f ca="1">IF(G173&lt;=30,"0-30",IF(G173&lt;=60,"31-60",IF(G173&lt;=90,"61-90","90+")))</f>
        <v>90+</v>
      </c>
      <c r="I173">
        <f>SUMIFS(order_items!D:D,order_items!C:C,inventory!B173)</f>
        <v>35</v>
      </c>
      <c r="J173" t="str">
        <f>IF(D173&gt;I173*3,"Overstock","OK")</f>
        <v>Overstock</v>
      </c>
      <c r="K173">
        <f>IFERROR(_xlfn.XLOOKUP(B173,purchase_orders!C:C,purchase_orders!I:I),0)</f>
        <v>450</v>
      </c>
      <c r="L173">
        <f>(D173+K173)/2</f>
        <v>285</v>
      </c>
      <c r="M173">
        <f t="shared" si="9"/>
        <v>0.12</v>
      </c>
      <c r="N173">
        <f>IFERROR(_xlfn.XLOOKUP(B173,products!A:A,products!E:E),0)</f>
        <v>147.63</v>
      </c>
      <c r="O173">
        <f t="shared" si="10"/>
        <v>17715.599999999999</v>
      </c>
      <c r="P173" t="str">
        <f t="shared" si="11"/>
        <v>Normal</v>
      </c>
      <c r="Q173" t="str">
        <f>IFERROR(_xlfn.XLOOKUP(B173,reorder_point!B:B,reorder_point!I:I),"")</f>
        <v>OK</v>
      </c>
      <c r="R173" t="str">
        <f>_xlfn.XLOOKUP(B173,products!A:A,products!B:B)</f>
        <v>SKU-0083</v>
      </c>
    </row>
    <row r="174" spans="1:18">
      <c r="A174">
        <v>173</v>
      </c>
      <c r="B174">
        <v>84</v>
      </c>
      <c r="C174" t="s">
        <v>118</v>
      </c>
      <c r="D174">
        <v>163</v>
      </c>
      <c r="E174" s="1">
        <v>46090</v>
      </c>
      <c r="F174" s="1">
        <f>_xlfn.XLOOKUP(B174,purchase_orders!C:C,purchase_orders!G:G)</f>
        <v>46078</v>
      </c>
      <c r="G174" s="5">
        <f t="shared" ca="1" si="8"/>
        <v>86</v>
      </c>
      <c r="H174" s="2" t="str">
        <f ca="1">IF(G174&lt;=30,"0-30",IF(G174&lt;=60,"31-60",IF(G174&lt;=90,"61-90","90+")))</f>
        <v>61-90</v>
      </c>
      <c r="I174">
        <f>SUMIFS(order_items!D:D,order_items!C:C,inventory!B174)</f>
        <v>57</v>
      </c>
      <c r="J174" t="str">
        <f>IF(D174&gt;I174*3,"Overstock","OK")</f>
        <v>OK</v>
      </c>
      <c r="K174">
        <f>IFERROR(_xlfn.XLOOKUP(B174,purchase_orders!C:C,purchase_orders!I:I),0)</f>
        <v>712</v>
      </c>
      <c r="L174">
        <f>(D174+K174)/2</f>
        <v>437.5</v>
      </c>
      <c r="M174">
        <f t="shared" si="9"/>
        <v>0.13</v>
      </c>
      <c r="N174">
        <f>IFERROR(_xlfn.XLOOKUP(B174,products!A:A,products!E:E),0)</f>
        <v>135.13999999999999</v>
      </c>
      <c r="O174">
        <f t="shared" si="10"/>
        <v>22027.819999999996</v>
      </c>
      <c r="P174" t="str">
        <f t="shared" si="11"/>
        <v>Normal</v>
      </c>
      <c r="Q174" t="str">
        <f>IFERROR(_xlfn.XLOOKUP(B174,reorder_point!B:B,reorder_point!I:I),"")</f>
        <v>OK</v>
      </c>
      <c r="R174" t="str">
        <f>_xlfn.XLOOKUP(B174,products!A:A,products!B:B)</f>
        <v>SKU-0084</v>
      </c>
    </row>
    <row r="175" spans="1:18">
      <c r="A175">
        <v>174</v>
      </c>
      <c r="B175">
        <v>84</v>
      </c>
      <c r="C175" t="s">
        <v>119</v>
      </c>
      <c r="D175">
        <v>365</v>
      </c>
      <c r="E175" s="1">
        <v>46093</v>
      </c>
      <c r="F175" s="1">
        <f>_xlfn.XLOOKUP(B175,purchase_orders!C:C,purchase_orders!G:G)</f>
        <v>46078</v>
      </c>
      <c r="G175" s="5">
        <f t="shared" ca="1" si="8"/>
        <v>86</v>
      </c>
      <c r="H175" s="2" t="str">
        <f ca="1">IF(G175&lt;=30,"0-30",IF(G175&lt;=60,"31-60",IF(G175&lt;=90,"61-90","90+")))</f>
        <v>61-90</v>
      </c>
      <c r="I175">
        <f>SUMIFS(order_items!D:D,order_items!C:C,inventory!B175)</f>
        <v>57</v>
      </c>
      <c r="J175" t="str">
        <f>IF(D175&gt;I175*3,"Overstock","OK")</f>
        <v>Overstock</v>
      </c>
      <c r="K175">
        <f>IFERROR(_xlfn.XLOOKUP(B175,purchase_orders!C:C,purchase_orders!I:I),0)</f>
        <v>712</v>
      </c>
      <c r="L175">
        <f>(D175+K175)/2</f>
        <v>538.5</v>
      </c>
      <c r="M175">
        <f t="shared" si="9"/>
        <v>0.11</v>
      </c>
      <c r="N175">
        <f>IFERROR(_xlfn.XLOOKUP(B175,products!A:A,products!E:E),0)</f>
        <v>135.13999999999999</v>
      </c>
      <c r="O175">
        <f t="shared" si="10"/>
        <v>49326.1</v>
      </c>
      <c r="P175" t="str">
        <f t="shared" si="11"/>
        <v>Normal</v>
      </c>
      <c r="Q175" t="str">
        <f>IFERROR(_xlfn.XLOOKUP(B175,reorder_point!B:B,reorder_point!I:I),"")</f>
        <v>OK</v>
      </c>
      <c r="R175" t="str">
        <f>_xlfn.XLOOKUP(B175,products!A:A,products!B:B)</f>
        <v>SKU-0084</v>
      </c>
    </row>
    <row r="176" spans="1:18">
      <c r="A176">
        <v>175</v>
      </c>
      <c r="B176">
        <v>85</v>
      </c>
      <c r="C176" t="s">
        <v>118</v>
      </c>
      <c r="D176">
        <v>19</v>
      </c>
      <c r="E176" s="1">
        <v>46090</v>
      </c>
      <c r="F176" s="1">
        <f>_xlfn.XLOOKUP(B176,purchase_orders!C:C,purchase_orders!G:G)</f>
        <v>46174</v>
      </c>
      <c r="G176" s="5">
        <f t="shared" ca="1" si="8"/>
        <v>-10</v>
      </c>
      <c r="H176" s="2" t="str">
        <f ca="1">IF(G176&lt;=30,"0-30",IF(G176&lt;=60,"31-60",IF(G176&lt;=90,"61-90","90+")))</f>
        <v>0-30</v>
      </c>
      <c r="I176">
        <f>SUMIFS(order_items!D:D,order_items!C:C,inventory!B176)</f>
        <v>33</v>
      </c>
      <c r="J176" t="str">
        <f>IF(D176&gt;I176*3,"Overstock","OK")</f>
        <v>OK</v>
      </c>
      <c r="K176">
        <f>IFERROR(_xlfn.XLOOKUP(B176,purchase_orders!C:C,purchase_orders!I:I),0)</f>
        <v>10</v>
      </c>
      <c r="L176">
        <f>(D176+K176)/2</f>
        <v>14.5</v>
      </c>
      <c r="M176">
        <f t="shared" si="9"/>
        <v>2.2799999999999998</v>
      </c>
      <c r="N176">
        <f>IFERROR(_xlfn.XLOOKUP(B176,products!A:A,products!E:E),0)</f>
        <v>139.02000000000001</v>
      </c>
      <c r="O176">
        <f t="shared" si="10"/>
        <v>2641.38</v>
      </c>
      <c r="P176" t="str">
        <f t="shared" si="11"/>
        <v>Normal</v>
      </c>
      <c r="Q176" t="str">
        <f>IFERROR(_xlfn.XLOOKUP(B176,reorder_point!B:B,reorder_point!I:I),"")</f>
        <v>OK</v>
      </c>
      <c r="R176" t="str">
        <f>_xlfn.XLOOKUP(B176,products!A:A,products!B:B)</f>
        <v>SKU-0085</v>
      </c>
    </row>
    <row r="177" spans="1:18">
      <c r="A177">
        <v>176</v>
      </c>
      <c r="B177">
        <v>86</v>
      </c>
      <c r="C177" t="s">
        <v>118</v>
      </c>
      <c r="D177">
        <v>229</v>
      </c>
      <c r="E177" s="1">
        <v>46086</v>
      </c>
      <c r="F177" s="1">
        <f>_xlfn.XLOOKUP(B177,purchase_orders!C:C,purchase_orders!G:G)</f>
        <v>46127</v>
      </c>
      <c r="G177" s="5">
        <f t="shared" ca="1" si="8"/>
        <v>37</v>
      </c>
      <c r="H177" s="2" t="str">
        <f ca="1">IF(G177&lt;=30,"0-30",IF(G177&lt;=60,"31-60",IF(G177&lt;=90,"61-90","90+")))</f>
        <v>31-60</v>
      </c>
      <c r="I177">
        <f>SUMIFS(order_items!D:D,order_items!C:C,inventory!B177)</f>
        <v>21</v>
      </c>
      <c r="J177" t="str">
        <f>IF(D177&gt;I177*3,"Overstock","OK")</f>
        <v>Overstock</v>
      </c>
      <c r="K177">
        <f>IFERROR(_xlfn.XLOOKUP(B177,purchase_orders!C:C,purchase_orders!I:I),0)</f>
        <v>386</v>
      </c>
      <c r="L177">
        <f>(D177+K177)/2</f>
        <v>307.5</v>
      </c>
      <c r="M177">
        <f t="shared" si="9"/>
        <v>7.0000000000000007E-2</v>
      </c>
      <c r="N177">
        <f>IFERROR(_xlfn.XLOOKUP(B177,products!A:A,products!E:E),0)</f>
        <v>129.87</v>
      </c>
      <c r="O177">
        <f t="shared" si="10"/>
        <v>29740.23</v>
      </c>
      <c r="P177" t="str">
        <f t="shared" si="11"/>
        <v>Normal</v>
      </c>
      <c r="Q177" t="str">
        <f>IFERROR(_xlfn.XLOOKUP(B177,reorder_point!B:B,reorder_point!I:I),"")</f>
        <v>OK</v>
      </c>
      <c r="R177" t="str">
        <f>_xlfn.XLOOKUP(B177,products!A:A,products!B:B)</f>
        <v>SKU-0086</v>
      </c>
    </row>
    <row r="178" spans="1:18">
      <c r="A178">
        <v>177</v>
      </c>
      <c r="B178">
        <v>86</v>
      </c>
      <c r="C178" t="s">
        <v>117</v>
      </c>
      <c r="D178">
        <v>0</v>
      </c>
      <c r="E178" s="1">
        <v>46090</v>
      </c>
      <c r="F178" s="1">
        <f>_xlfn.XLOOKUP(B178,purchase_orders!C:C,purchase_orders!G:G)</f>
        <v>46127</v>
      </c>
      <c r="G178" s="5">
        <f t="shared" ca="1" si="8"/>
        <v>37</v>
      </c>
      <c r="H178" s="2" t="str">
        <f ca="1">IF(G178&lt;=30,"0-30",IF(G178&lt;=60,"31-60",IF(G178&lt;=90,"61-90","90+")))</f>
        <v>31-60</v>
      </c>
      <c r="I178">
        <f>SUMIFS(order_items!D:D,order_items!C:C,inventory!B178)</f>
        <v>21</v>
      </c>
      <c r="J178" t="str">
        <f>IF(D178&gt;I178*3,"Overstock","OK")</f>
        <v>OK</v>
      </c>
      <c r="K178">
        <f>IFERROR(_xlfn.XLOOKUP(B178,purchase_orders!C:C,purchase_orders!I:I),0)</f>
        <v>386</v>
      </c>
      <c r="L178">
        <f>(D178+K178)/2</f>
        <v>193</v>
      </c>
      <c r="M178">
        <f t="shared" si="9"/>
        <v>0.11</v>
      </c>
      <c r="N178">
        <f>IFERROR(_xlfn.XLOOKUP(B178,products!A:A,products!E:E),0)</f>
        <v>129.87</v>
      </c>
      <c r="O178">
        <f t="shared" si="10"/>
        <v>0</v>
      </c>
      <c r="P178" t="str">
        <f t="shared" si="11"/>
        <v>Normal</v>
      </c>
      <c r="Q178" t="str">
        <f>IFERROR(_xlfn.XLOOKUP(B178,reorder_point!B:B,reorder_point!I:I),"")</f>
        <v>OK</v>
      </c>
      <c r="R178" t="str">
        <f>_xlfn.XLOOKUP(B178,products!A:A,products!B:B)</f>
        <v>SKU-0086</v>
      </c>
    </row>
    <row r="179" spans="1:18">
      <c r="A179">
        <v>178</v>
      </c>
      <c r="B179">
        <v>87</v>
      </c>
      <c r="C179" t="s">
        <v>121</v>
      </c>
      <c r="D179">
        <v>481</v>
      </c>
      <c r="E179" s="1">
        <v>46110</v>
      </c>
      <c r="F179" s="1">
        <f>_xlfn.XLOOKUP(B179,purchase_orders!C:C,purchase_orders!G:G)</f>
        <v>46167</v>
      </c>
      <c r="G179" s="5">
        <f t="shared" ca="1" si="8"/>
        <v>-3</v>
      </c>
      <c r="H179" s="2" t="str">
        <f ca="1">IF(G179&lt;=30,"0-30",IF(G179&lt;=60,"31-60",IF(G179&lt;=90,"61-90","90+")))</f>
        <v>0-30</v>
      </c>
      <c r="I179">
        <f>SUMIFS(order_items!D:D,order_items!C:C,inventory!B179)</f>
        <v>46</v>
      </c>
      <c r="J179" t="str">
        <f>IF(D179&gt;I179*3,"Overstock","OK")</f>
        <v>Overstock</v>
      </c>
      <c r="K179">
        <f>IFERROR(_xlfn.XLOOKUP(B179,purchase_orders!C:C,purchase_orders!I:I),0)</f>
        <v>834</v>
      </c>
      <c r="L179">
        <f>(D179+K179)/2</f>
        <v>657.5</v>
      </c>
      <c r="M179">
        <f t="shared" si="9"/>
        <v>7.0000000000000007E-2</v>
      </c>
      <c r="N179">
        <f>IFERROR(_xlfn.XLOOKUP(B179,products!A:A,products!E:E),0)</f>
        <v>31.4</v>
      </c>
      <c r="O179">
        <f t="shared" si="10"/>
        <v>15103.4</v>
      </c>
      <c r="P179" t="str">
        <f t="shared" si="11"/>
        <v>Normal</v>
      </c>
      <c r="Q179" t="str">
        <f>IFERROR(_xlfn.XLOOKUP(B179,reorder_point!B:B,reorder_point!I:I),"")</f>
        <v>OK</v>
      </c>
      <c r="R179" t="str">
        <f>_xlfn.XLOOKUP(B179,products!A:A,products!B:B)</f>
        <v>SKU-0087</v>
      </c>
    </row>
    <row r="180" spans="1:18">
      <c r="A180">
        <v>179</v>
      </c>
      <c r="B180">
        <v>88</v>
      </c>
      <c r="C180" t="s">
        <v>119</v>
      </c>
      <c r="D180">
        <v>121</v>
      </c>
      <c r="E180" s="1">
        <v>46140</v>
      </c>
      <c r="F180" s="1">
        <f>_xlfn.XLOOKUP(B180,purchase_orders!C:C,purchase_orders!G:G)</f>
        <v>46113</v>
      </c>
      <c r="G180" s="5">
        <f t="shared" ca="1" si="8"/>
        <v>51</v>
      </c>
      <c r="H180" s="2" t="str">
        <f ca="1">IF(G180&lt;=30,"0-30",IF(G180&lt;=60,"31-60",IF(G180&lt;=90,"61-90","90+")))</f>
        <v>31-60</v>
      </c>
      <c r="I180">
        <f>SUMIFS(order_items!D:D,order_items!C:C,inventory!B180)</f>
        <v>46</v>
      </c>
      <c r="J180" t="str">
        <f>IF(D180&gt;I180*3,"Overstock","OK")</f>
        <v>OK</v>
      </c>
      <c r="K180">
        <f>IFERROR(_xlfn.XLOOKUP(B180,purchase_orders!C:C,purchase_orders!I:I),0)</f>
        <v>58</v>
      </c>
      <c r="L180">
        <f>(D180+K180)/2</f>
        <v>89.5</v>
      </c>
      <c r="M180">
        <f t="shared" si="9"/>
        <v>0.51</v>
      </c>
      <c r="N180">
        <f>IFERROR(_xlfn.XLOOKUP(B180,products!A:A,products!E:E),0)</f>
        <v>77.599999999999994</v>
      </c>
      <c r="O180">
        <f t="shared" si="10"/>
        <v>9389.5999999999985</v>
      </c>
      <c r="P180" t="str">
        <f t="shared" si="11"/>
        <v>Normal</v>
      </c>
      <c r="Q180" t="str">
        <f>IFERROR(_xlfn.XLOOKUP(B180,reorder_point!B:B,reorder_point!I:I),"")</f>
        <v>OK</v>
      </c>
      <c r="R180" t="str">
        <f>_xlfn.XLOOKUP(B180,products!A:A,products!B:B)</f>
        <v>SKU-0088</v>
      </c>
    </row>
    <row r="181" spans="1:18">
      <c r="A181">
        <v>180</v>
      </c>
      <c r="B181">
        <v>88</v>
      </c>
      <c r="C181" t="s">
        <v>120</v>
      </c>
      <c r="D181">
        <v>122</v>
      </c>
      <c r="E181" s="1">
        <v>46093</v>
      </c>
      <c r="F181" s="1">
        <f>_xlfn.XLOOKUP(B181,purchase_orders!C:C,purchase_orders!G:G)</f>
        <v>46113</v>
      </c>
      <c r="G181" s="5">
        <f t="shared" ca="1" si="8"/>
        <v>51</v>
      </c>
      <c r="H181" s="2" t="str">
        <f ca="1">IF(G181&lt;=30,"0-30",IF(G181&lt;=60,"31-60",IF(G181&lt;=90,"61-90","90+")))</f>
        <v>31-60</v>
      </c>
      <c r="I181">
        <f>SUMIFS(order_items!D:D,order_items!C:C,inventory!B181)</f>
        <v>46</v>
      </c>
      <c r="J181" t="str">
        <f>IF(D181&gt;I181*3,"Overstock","OK")</f>
        <v>OK</v>
      </c>
      <c r="K181">
        <f>IFERROR(_xlfn.XLOOKUP(B181,purchase_orders!C:C,purchase_orders!I:I),0)</f>
        <v>58</v>
      </c>
      <c r="L181">
        <f>(D181+K181)/2</f>
        <v>90</v>
      </c>
      <c r="M181">
        <f t="shared" si="9"/>
        <v>0.51</v>
      </c>
      <c r="N181">
        <f>IFERROR(_xlfn.XLOOKUP(B181,products!A:A,products!E:E),0)</f>
        <v>77.599999999999994</v>
      </c>
      <c r="O181">
        <f t="shared" si="10"/>
        <v>9467.1999999999989</v>
      </c>
      <c r="P181" t="str">
        <f t="shared" si="11"/>
        <v>Normal</v>
      </c>
      <c r="Q181" t="str">
        <f>IFERROR(_xlfn.XLOOKUP(B181,reorder_point!B:B,reorder_point!I:I),"")</f>
        <v>OK</v>
      </c>
      <c r="R181" t="str">
        <f>_xlfn.XLOOKUP(B181,products!A:A,products!B:B)</f>
        <v>SKU-0088</v>
      </c>
    </row>
    <row r="182" spans="1:18">
      <c r="A182">
        <v>181</v>
      </c>
      <c r="B182">
        <v>89</v>
      </c>
      <c r="C182" t="s">
        <v>117</v>
      </c>
      <c r="D182">
        <v>428</v>
      </c>
      <c r="E182" s="1">
        <v>46105</v>
      </c>
      <c r="F182" s="1">
        <f>_xlfn.XLOOKUP(B182,purchase_orders!C:C,purchase_orders!G:G)</f>
        <v>46110</v>
      </c>
      <c r="G182" s="5">
        <f t="shared" ca="1" si="8"/>
        <v>54</v>
      </c>
      <c r="H182" s="2" t="str">
        <f ca="1">IF(G182&lt;=30,"0-30",IF(G182&lt;=60,"31-60",IF(G182&lt;=90,"61-90","90+")))</f>
        <v>31-60</v>
      </c>
      <c r="I182">
        <f>SUMIFS(order_items!D:D,order_items!C:C,inventory!B182)</f>
        <v>21</v>
      </c>
      <c r="J182" t="str">
        <f>IF(D182&gt;I182*3,"Overstock","OK")</f>
        <v>Overstock</v>
      </c>
      <c r="K182">
        <f>IFERROR(_xlfn.XLOOKUP(B182,purchase_orders!C:C,purchase_orders!I:I),0)</f>
        <v>273</v>
      </c>
      <c r="L182">
        <f>(D182+K182)/2</f>
        <v>350.5</v>
      </c>
      <c r="M182">
        <f t="shared" si="9"/>
        <v>0.06</v>
      </c>
      <c r="N182">
        <f>IFERROR(_xlfn.XLOOKUP(B182,products!A:A,products!E:E),0)</f>
        <v>150.76</v>
      </c>
      <c r="O182">
        <f t="shared" si="10"/>
        <v>64525.279999999999</v>
      </c>
      <c r="P182" t="str">
        <f t="shared" si="11"/>
        <v>Normal</v>
      </c>
      <c r="Q182" t="str">
        <f>IFERROR(_xlfn.XLOOKUP(B182,reorder_point!B:B,reorder_point!I:I),"")</f>
        <v>OK</v>
      </c>
      <c r="R182" t="str">
        <f>_xlfn.XLOOKUP(B182,products!A:A,products!B:B)</f>
        <v>SKU-0089</v>
      </c>
    </row>
    <row r="183" spans="1:18">
      <c r="A183">
        <v>182</v>
      </c>
      <c r="B183">
        <v>89</v>
      </c>
      <c r="C183" t="s">
        <v>119</v>
      </c>
      <c r="D183">
        <v>0</v>
      </c>
      <c r="E183" s="1">
        <v>46107</v>
      </c>
      <c r="F183" s="1">
        <f>_xlfn.XLOOKUP(B183,purchase_orders!C:C,purchase_orders!G:G)</f>
        <v>46110</v>
      </c>
      <c r="G183" s="5">
        <f t="shared" ca="1" si="8"/>
        <v>54</v>
      </c>
      <c r="H183" s="2" t="str">
        <f ca="1">IF(G183&lt;=30,"0-30",IF(G183&lt;=60,"31-60",IF(G183&lt;=90,"61-90","90+")))</f>
        <v>31-60</v>
      </c>
      <c r="I183">
        <f>SUMIFS(order_items!D:D,order_items!C:C,inventory!B183)</f>
        <v>21</v>
      </c>
      <c r="J183" t="str">
        <f>IF(D183&gt;I183*3,"Overstock","OK")</f>
        <v>OK</v>
      </c>
      <c r="K183">
        <f>IFERROR(_xlfn.XLOOKUP(B183,purchase_orders!C:C,purchase_orders!I:I),0)</f>
        <v>273</v>
      </c>
      <c r="L183">
        <f>(D183+K183)/2</f>
        <v>136.5</v>
      </c>
      <c r="M183">
        <f t="shared" si="9"/>
        <v>0.15</v>
      </c>
      <c r="N183">
        <f>IFERROR(_xlfn.XLOOKUP(B183,products!A:A,products!E:E),0)</f>
        <v>150.76</v>
      </c>
      <c r="O183">
        <f t="shared" si="10"/>
        <v>0</v>
      </c>
      <c r="P183" t="str">
        <f t="shared" si="11"/>
        <v>Normal</v>
      </c>
      <c r="Q183" t="str">
        <f>IFERROR(_xlfn.XLOOKUP(B183,reorder_point!B:B,reorder_point!I:I),"")</f>
        <v>OK</v>
      </c>
      <c r="R183" t="str">
        <f>_xlfn.XLOOKUP(B183,products!A:A,products!B:B)</f>
        <v>SKU-0089</v>
      </c>
    </row>
    <row r="184" spans="1:18">
      <c r="A184">
        <v>183</v>
      </c>
      <c r="B184">
        <v>89</v>
      </c>
      <c r="C184" t="s">
        <v>119</v>
      </c>
      <c r="D184">
        <v>123</v>
      </c>
      <c r="E184" s="1">
        <v>46125</v>
      </c>
      <c r="F184" s="1">
        <f>_xlfn.XLOOKUP(B184,purchase_orders!C:C,purchase_orders!G:G)</f>
        <v>46110</v>
      </c>
      <c r="G184" s="5">
        <f t="shared" ca="1" si="8"/>
        <v>54</v>
      </c>
      <c r="H184" s="2" t="str">
        <f ca="1">IF(G184&lt;=30,"0-30",IF(G184&lt;=60,"31-60",IF(G184&lt;=90,"61-90","90+")))</f>
        <v>31-60</v>
      </c>
      <c r="I184">
        <f>SUMIFS(order_items!D:D,order_items!C:C,inventory!B184)</f>
        <v>21</v>
      </c>
      <c r="J184" t="str">
        <f>IF(D184&gt;I184*3,"Overstock","OK")</f>
        <v>Overstock</v>
      </c>
      <c r="K184">
        <f>IFERROR(_xlfn.XLOOKUP(B184,purchase_orders!C:C,purchase_orders!I:I),0)</f>
        <v>273</v>
      </c>
      <c r="L184">
        <f>(D184+K184)/2</f>
        <v>198</v>
      </c>
      <c r="M184">
        <f t="shared" si="9"/>
        <v>0.11</v>
      </c>
      <c r="N184">
        <f>IFERROR(_xlfn.XLOOKUP(B184,products!A:A,products!E:E),0)</f>
        <v>150.76</v>
      </c>
      <c r="O184">
        <f t="shared" si="10"/>
        <v>18543.48</v>
      </c>
      <c r="P184" t="str">
        <f t="shared" si="11"/>
        <v>Normal</v>
      </c>
      <c r="Q184" t="str">
        <f>IFERROR(_xlfn.XLOOKUP(B184,reorder_point!B:B,reorder_point!I:I),"")</f>
        <v>OK</v>
      </c>
      <c r="R184" t="str">
        <f>_xlfn.XLOOKUP(B184,products!A:A,products!B:B)</f>
        <v>SKU-0089</v>
      </c>
    </row>
    <row r="185" spans="1:18">
      <c r="A185">
        <v>184</v>
      </c>
      <c r="B185">
        <v>90</v>
      </c>
      <c r="C185" t="s">
        <v>119</v>
      </c>
      <c r="D185">
        <v>123</v>
      </c>
      <c r="E185" s="1">
        <v>46132</v>
      </c>
      <c r="F185" s="1">
        <f>_xlfn.XLOOKUP(B185,purchase_orders!C:C,purchase_orders!G:G)</f>
        <v>46055</v>
      </c>
      <c r="G185" s="5">
        <f t="shared" ca="1" si="8"/>
        <v>109</v>
      </c>
      <c r="H185" s="2" t="str">
        <f ca="1">IF(G185&lt;=30,"0-30",IF(G185&lt;=60,"31-60",IF(G185&lt;=90,"61-90","90+")))</f>
        <v>90+</v>
      </c>
      <c r="I185">
        <f>SUMIFS(order_items!D:D,order_items!C:C,inventory!B185)</f>
        <v>22</v>
      </c>
      <c r="J185" t="str">
        <f>IF(D185&gt;I185*3,"Overstock","OK")</f>
        <v>Overstock</v>
      </c>
      <c r="K185">
        <f>IFERROR(_xlfn.XLOOKUP(B185,purchase_orders!C:C,purchase_orders!I:I),0)</f>
        <v>796</v>
      </c>
      <c r="L185">
        <f>(D185+K185)/2</f>
        <v>459.5</v>
      </c>
      <c r="M185">
        <f t="shared" si="9"/>
        <v>0.05</v>
      </c>
      <c r="N185">
        <f>IFERROR(_xlfn.XLOOKUP(B185,products!A:A,products!E:E),0)</f>
        <v>6.03</v>
      </c>
      <c r="O185">
        <f t="shared" si="10"/>
        <v>741.69</v>
      </c>
      <c r="P185" t="str">
        <f t="shared" si="11"/>
        <v>Normal</v>
      </c>
      <c r="Q185" t="str">
        <f>IFERROR(_xlfn.XLOOKUP(B185,reorder_point!B:B,reorder_point!I:I),"")</f>
        <v>OK</v>
      </c>
      <c r="R185" t="str">
        <f>_xlfn.XLOOKUP(B185,products!A:A,products!B:B)</f>
        <v>SKU-0090</v>
      </c>
    </row>
    <row r="186" spans="1:18">
      <c r="A186">
        <v>185</v>
      </c>
      <c r="B186">
        <v>90</v>
      </c>
      <c r="C186" t="s">
        <v>122</v>
      </c>
      <c r="D186">
        <v>340</v>
      </c>
      <c r="E186" s="1">
        <v>46110</v>
      </c>
      <c r="F186" s="1">
        <f>_xlfn.XLOOKUP(B186,purchase_orders!C:C,purchase_orders!G:G)</f>
        <v>46055</v>
      </c>
      <c r="G186" s="5">
        <f t="shared" ca="1" si="8"/>
        <v>109</v>
      </c>
      <c r="H186" s="2" t="str">
        <f ca="1">IF(G186&lt;=30,"0-30",IF(G186&lt;=60,"31-60",IF(G186&lt;=90,"61-90","90+")))</f>
        <v>90+</v>
      </c>
      <c r="I186">
        <f>SUMIFS(order_items!D:D,order_items!C:C,inventory!B186)</f>
        <v>22</v>
      </c>
      <c r="J186" t="str">
        <f>IF(D186&gt;I186*3,"Overstock","OK")</f>
        <v>Overstock</v>
      </c>
      <c r="K186">
        <f>IFERROR(_xlfn.XLOOKUP(B186,purchase_orders!C:C,purchase_orders!I:I),0)</f>
        <v>796</v>
      </c>
      <c r="L186">
        <f>(D186+K186)/2</f>
        <v>568</v>
      </c>
      <c r="M186">
        <f t="shared" si="9"/>
        <v>0.04</v>
      </c>
      <c r="N186">
        <f>IFERROR(_xlfn.XLOOKUP(B186,products!A:A,products!E:E),0)</f>
        <v>6.03</v>
      </c>
      <c r="O186">
        <f t="shared" si="10"/>
        <v>2050.2000000000003</v>
      </c>
      <c r="P186" t="str">
        <f t="shared" si="11"/>
        <v>Normal</v>
      </c>
      <c r="Q186" t="str">
        <f>IFERROR(_xlfn.XLOOKUP(B186,reorder_point!B:B,reorder_point!I:I),"")</f>
        <v>OK</v>
      </c>
      <c r="R186" t="str">
        <f>_xlfn.XLOOKUP(B186,products!A:A,products!B:B)</f>
        <v>SKU-0090</v>
      </c>
    </row>
    <row r="187" spans="1:18">
      <c r="A187">
        <v>186</v>
      </c>
      <c r="B187">
        <v>91</v>
      </c>
      <c r="C187" t="s">
        <v>119</v>
      </c>
      <c r="D187">
        <v>199</v>
      </c>
      <c r="E187" s="1">
        <v>46141</v>
      </c>
      <c r="F187" s="1">
        <f>_xlfn.XLOOKUP(B187,purchase_orders!C:C,purchase_orders!G:G)</f>
        <v>46186</v>
      </c>
      <c r="G187" s="5">
        <f t="shared" ca="1" si="8"/>
        <v>-22</v>
      </c>
      <c r="H187" s="2" t="str">
        <f ca="1">IF(G187&lt;=30,"0-30",IF(G187&lt;=60,"31-60",IF(G187&lt;=90,"61-90","90+")))</f>
        <v>0-30</v>
      </c>
      <c r="I187">
        <f>SUMIFS(order_items!D:D,order_items!C:C,inventory!B187)</f>
        <v>62</v>
      </c>
      <c r="J187" t="str">
        <f>IF(D187&gt;I187*3,"Overstock","OK")</f>
        <v>Overstock</v>
      </c>
      <c r="K187">
        <f>IFERROR(_xlfn.XLOOKUP(B187,purchase_orders!C:C,purchase_orders!I:I),0)</f>
        <v>553</v>
      </c>
      <c r="L187">
        <f>(D187+K187)/2</f>
        <v>376</v>
      </c>
      <c r="M187">
        <f t="shared" si="9"/>
        <v>0.16</v>
      </c>
      <c r="N187">
        <f>IFERROR(_xlfn.XLOOKUP(B187,products!A:A,products!E:E),0)</f>
        <v>135.82</v>
      </c>
      <c r="O187">
        <f t="shared" si="10"/>
        <v>27028.18</v>
      </c>
      <c r="P187" t="str">
        <f t="shared" si="11"/>
        <v>Normal</v>
      </c>
      <c r="Q187" t="str">
        <f>IFERROR(_xlfn.XLOOKUP(B187,reorder_point!B:B,reorder_point!I:I),"")</f>
        <v>OK</v>
      </c>
      <c r="R187" t="str">
        <f>_xlfn.XLOOKUP(B187,products!A:A,products!B:B)</f>
        <v>SKU-0091</v>
      </c>
    </row>
    <row r="188" spans="1:18">
      <c r="A188">
        <v>187</v>
      </c>
      <c r="B188">
        <v>91</v>
      </c>
      <c r="C188" t="s">
        <v>119</v>
      </c>
      <c r="D188">
        <v>325</v>
      </c>
      <c r="E188" s="1">
        <v>46120</v>
      </c>
      <c r="F188" s="1">
        <f>_xlfn.XLOOKUP(B188,purchase_orders!C:C,purchase_orders!G:G)</f>
        <v>46186</v>
      </c>
      <c r="G188" s="5">
        <f t="shared" ca="1" si="8"/>
        <v>-22</v>
      </c>
      <c r="H188" s="2" t="str">
        <f ca="1">IF(G188&lt;=30,"0-30",IF(G188&lt;=60,"31-60",IF(G188&lt;=90,"61-90","90+")))</f>
        <v>0-30</v>
      </c>
      <c r="I188">
        <f>SUMIFS(order_items!D:D,order_items!C:C,inventory!B188)</f>
        <v>62</v>
      </c>
      <c r="J188" t="str">
        <f>IF(D188&gt;I188*3,"Overstock","OK")</f>
        <v>Overstock</v>
      </c>
      <c r="K188">
        <f>IFERROR(_xlfn.XLOOKUP(B188,purchase_orders!C:C,purchase_orders!I:I),0)</f>
        <v>553</v>
      </c>
      <c r="L188">
        <f>(D188+K188)/2</f>
        <v>439</v>
      </c>
      <c r="M188">
        <f t="shared" si="9"/>
        <v>0.14000000000000001</v>
      </c>
      <c r="N188">
        <f>IFERROR(_xlfn.XLOOKUP(B188,products!A:A,products!E:E),0)</f>
        <v>135.82</v>
      </c>
      <c r="O188">
        <f t="shared" si="10"/>
        <v>44141.5</v>
      </c>
      <c r="P188" t="str">
        <f t="shared" si="11"/>
        <v>Normal</v>
      </c>
      <c r="Q188" t="str">
        <f>IFERROR(_xlfn.XLOOKUP(B188,reorder_point!B:B,reorder_point!I:I),"")</f>
        <v>OK</v>
      </c>
      <c r="R188" t="str">
        <f>_xlfn.XLOOKUP(B188,products!A:A,products!B:B)</f>
        <v>SKU-0091</v>
      </c>
    </row>
    <row r="189" spans="1:18">
      <c r="A189">
        <v>188</v>
      </c>
      <c r="B189">
        <v>92</v>
      </c>
      <c r="C189" t="s">
        <v>119</v>
      </c>
      <c r="D189">
        <v>403</v>
      </c>
      <c r="E189" s="1">
        <v>46128</v>
      </c>
      <c r="F189" s="1">
        <f>_xlfn.XLOOKUP(B189,purchase_orders!C:C,purchase_orders!G:G)</f>
        <v>46171</v>
      </c>
      <c r="G189" s="5">
        <f t="shared" ca="1" si="8"/>
        <v>-7</v>
      </c>
      <c r="H189" s="2" t="str">
        <f ca="1">IF(G189&lt;=30,"0-30",IF(G189&lt;=60,"31-60",IF(G189&lt;=90,"61-90","90+")))</f>
        <v>0-30</v>
      </c>
      <c r="I189">
        <f>SUMIFS(order_items!D:D,order_items!C:C,inventory!B189)</f>
        <v>32</v>
      </c>
      <c r="J189" t="str">
        <f>IF(D189&gt;I189*3,"Overstock","OK")</f>
        <v>Overstock</v>
      </c>
      <c r="K189">
        <f>IFERROR(_xlfn.XLOOKUP(B189,purchase_orders!C:C,purchase_orders!I:I),0)</f>
        <v>934</v>
      </c>
      <c r="L189">
        <f>(D189+K189)/2</f>
        <v>668.5</v>
      </c>
      <c r="M189">
        <f t="shared" si="9"/>
        <v>0.05</v>
      </c>
      <c r="N189">
        <f>IFERROR(_xlfn.XLOOKUP(B189,products!A:A,products!E:E),0)</f>
        <v>81.27</v>
      </c>
      <c r="O189">
        <f t="shared" si="10"/>
        <v>32751.809999999998</v>
      </c>
      <c r="P189" t="str">
        <f t="shared" si="11"/>
        <v>Normal</v>
      </c>
      <c r="Q189" t="str">
        <f>IFERROR(_xlfn.XLOOKUP(B189,reorder_point!B:B,reorder_point!I:I),"")</f>
        <v>OK</v>
      </c>
      <c r="R189" t="str">
        <f>_xlfn.XLOOKUP(B189,products!A:A,products!B:B)</f>
        <v>SKU-0092</v>
      </c>
    </row>
    <row r="190" spans="1:18">
      <c r="A190">
        <v>189</v>
      </c>
      <c r="B190">
        <v>92</v>
      </c>
      <c r="C190" t="s">
        <v>122</v>
      </c>
      <c r="D190">
        <v>375</v>
      </c>
      <c r="E190" s="1">
        <v>46137</v>
      </c>
      <c r="F190" s="1">
        <f>_xlfn.XLOOKUP(B190,purchase_orders!C:C,purchase_orders!G:G)</f>
        <v>46171</v>
      </c>
      <c r="G190" s="5">
        <f t="shared" ca="1" si="8"/>
        <v>-7</v>
      </c>
      <c r="H190" s="2" t="str">
        <f ca="1">IF(G190&lt;=30,"0-30",IF(G190&lt;=60,"31-60",IF(G190&lt;=90,"61-90","90+")))</f>
        <v>0-30</v>
      </c>
      <c r="I190">
        <f>SUMIFS(order_items!D:D,order_items!C:C,inventory!B190)</f>
        <v>32</v>
      </c>
      <c r="J190" t="str">
        <f>IF(D190&gt;I190*3,"Overstock","OK")</f>
        <v>Overstock</v>
      </c>
      <c r="K190">
        <f>IFERROR(_xlfn.XLOOKUP(B190,purchase_orders!C:C,purchase_orders!I:I),0)</f>
        <v>934</v>
      </c>
      <c r="L190">
        <f>(D190+K190)/2</f>
        <v>654.5</v>
      </c>
      <c r="M190">
        <f t="shared" si="9"/>
        <v>0.05</v>
      </c>
      <c r="N190">
        <f>IFERROR(_xlfn.XLOOKUP(B190,products!A:A,products!E:E),0)</f>
        <v>81.27</v>
      </c>
      <c r="O190">
        <f t="shared" si="10"/>
        <v>30476.25</v>
      </c>
      <c r="P190" t="str">
        <f t="shared" si="11"/>
        <v>Normal</v>
      </c>
      <c r="Q190" t="str">
        <f>IFERROR(_xlfn.XLOOKUP(B190,reorder_point!B:B,reorder_point!I:I),"")</f>
        <v>OK</v>
      </c>
      <c r="R190" t="str">
        <f>_xlfn.XLOOKUP(B190,products!A:A,products!B:B)</f>
        <v>SKU-0092</v>
      </c>
    </row>
    <row r="191" spans="1:18">
      <c r="A191">
        <v>190</v>
      </c>
      <c r="B191">
        <v>93</v>
      </c>
      <c r="C191" t="s">
        <v>122</v>
      </c>
      <c r="D191">
        <v>180</v>
      </c>
      <c r="E191" s="1">
        <v>46091</v>
      </c>
      <c r="F191" s="1" t="e">
        <f>_xlfn.XLOOKUP(B191,purchase_orders!C:C,purchase_orders!G:G)</f>
        <v>#N/A</v>
      </c>
      <c r="G191" s="5" t="e">
        <f t="shared" ca="1" si="8"/>
        <v>#N/A</v>
      </c>
      <c r="H191" s="2" t="e">
        <f ca="1">IF(G191&lt;=30,"0-30",IF(G191&lt;=60,"31-60",IF(G191&lt;=90,"61-90","90+")))</f>
        <v>#N/A</v>
      </c>
      <c r="I191">
        <f>SUMIFS(order_items!D:D,order_items!C:C,inventory!B191)</f>
        <v>31</v>
      </c>
      <c r="J191" t="str">
        <f>IF(D191&gt;I191*3,"Overstock","OK")</f>
        <v>Overstock</v>
      </c>
      <c r="K191">
        <f>IFERROR(_xlfn.XLOOKUP(B191,purchase_orders!C:C,purchase_orders!I:I),0)</f>
        <v>0</v>
      </c>
      <c r="L191">
        <f>(D191+K191)/2</f>
        <v>90</v>
      </c>
      <c r="M191">
        <f t="shared" si="9"/>
        <v>0.34</v>
      </c>
      <c r="N191">
        <f>IFERROR(_xlfn.XLOOKUP(B191,products!A:A,products!E:E),0)</f>
        <v>152.09</v>
      </c>
      <c r="O191">
        <f t="shared" si="10"/>
        <v>27376.2</v>
      </c>
      <c r="P191" t="str">
        <f t="shared" si="11"/>
        <v>Normal</v>
      </c>
      <c r="Q191" t="str">
        <f>IFERROR(_xlfn.XLOOKUP(B191,reorder_point!B:B,reorder_point!I:I),"")</f>
        <v/>
      </c>
      <c r="R191" t="str">
        <f>_xlfn.XLOOKUP(B191,products!A:A,products!B:B)</f>
        <v>SKU-0093</v>
      </c>
    </row>
    <row r="192" spans="1:18">
      <c r="A192">
        <v>191</v>
      </c>
      <c r="B192">
        <v>93</v>
      </c>
      <c r="C192" t="s">
        <v>118</v>
      </c>
      <c r="D192">
        <v>329</v>
      </c>
      <c r="E192" s="1">
        <v>46094</v>
      </c>
      <c r="F192" s="1" t="e">
        <f>_xlfn.XLOOKUP(B192,purchase_orders!C:C,purchase_orders!G:G)</f>
        <v>#N/A</v>
      </c>
      <c r="G192" s="5" t="e">
        <f t="shared" ca="1" si="8"/>
        <v>#N/A</v>
      </c>
      <c r="H192" s="2" t="e">
        <f ca="1">IF(G192&lt;=30,"0-30",IF(G192&lt;=60,"31-60",IF(G192&lt;=90,"61-90","90+")))</f>
        <v>#N/A</v>
      </c>
      <c r="I192">
        <f>SUMIFS(order_items!D:D,order_items!C:C,inventory!B192)</f>
        <v>31</v>
      </c>
      <c r="J192" t="str">
        <f>IF(D192&gt;I192*3,"Overstock","OK")</f>
        <v>Overstock</v>
      </c>
      <c r="K192">
        <f>IFERROR(_xlfn.XLOOKUP(B192,purchase_orders!C:C,purchase_orders!I:I),0)</f>
        <v>0</v>
      </c>
      <c r="L192">
        <f>(D192+K192)/2</f>
        <v>164.5</v>
      </c>
      <c r="M192">
        <f t="shared" si="9"/>
        <v>0.19</v>
      </c>
      <c r="N192">
        <f>IFERROR(_xlfn.XLOOKUP(B192,products!A:A,products!E:E),0)</f>
        <v>152.09</v>
      </c>
      <c r="O192">
        <f t="shared" si="10"/>
        <v>50037.61</v>
      </c>
      <c r="P192" t="str">
        <f t="shared" si="11"/>
        <v>Normal</v>
      </c>
      <c r="Q192" t="str">
        <f>IFERROR(_xlfn.XLOOKUP(B192,reorder_point!B:B,reorder_point!I:I),"")</f>
        <v/>
      </c>
      <c r="R192" t="str">
        <f>_xlfn.XLOOKUP(B192,products!A:A,products!B:B)</f>
        <v>SKU-0093</v>
      </c>
    </row>
    <row r="193" spans="1:18">
      <c r="A193">
        <v>192</v>
      </c>
      <c r="B193">
        <v>93</v>
      </c>
      <c r="C193" t="s">
        <v>119</v>
      </c>
      <c r="D193">
        <v>350</v>
      </c>
      <c r="E193" s="1">
        <v>46099</v>
      </c>
      <c r="F193" s="1" t="e">
        <f>_xlfn.XLOOKUP(B193,purchase_orders!C:C,purchase_orders!G:G)</f>
        <v>#N/A</v>
      </c>
      <c r="G193" s="5" t="e">
        <f t="shared" ca="1" si="8"/>
        <v>#N/A</v>
      </c>
      <c r="H193" s="2" t="e">
        <f ca="1">IF(G193&lt;=30,"0-30",IF(G193&lt;=60,"31-60",IF(G193&lt;=90,"61-90","90+")))</f>
        <v>#N/A</v>
      </c>
      <c r="I193">
        <f>SUMIFS(order_items!D:D,order_items!C:C,inventory!B193)</f>
        <v>31</v>
      </c>
      <c r="J193" t="str">
        <f>IF(D193&gt;I193*3,"Overstock","OK")</f>
        <v>Overstock</v>
      </c>
      <c r="K193">
        <f>IFERROR(_xlfn.XLOOKUP(B193,purchase_orders!C:C,purchase_orders!I:I),0)</f>
        <v>0</v>
      </c>
      <c r="L193">
        <f>(D193+K193)/2</f>
        <v>175</v>
      </c>
      <c r="M193">
        <f t="shared" si="9"/>
        <v>0.18</v>
      </c>
      <c r="N193">
        <f>IFERROR(_xlfn.XLOOKUP(B193,products!A:A,products!E:E),0)</f>
        <v>152.09</v>
      </c>
      <c r="O193">
        <f t="shared" si="10"/>
        <v>53231.5</v>
      </c>
      <c r="P193" t="str">
        <f t="shared" si="11"/>
        <v>Normal</v>
      </c>
      <c r="Q193" t="str">
        <f>IFERROR(_xlfn.XLOOKUP(B193,reorder_point!B:B,reorder_point!I:I),"")</f>
        <v/>
      </c>
      <c r="R193" t="str">
        <f>_xlfn.XLOOKUP(B193,products!A:A,products!B:B)</f>
        <v>SKU-0093</v>
      </c>
    </row>
    <row r="194" spans="1:18">
      <c r="A194">
        <v>193</v>
      </c>
      <c r="B194">
        <v>94</v>
      </c>
      <c r="C194" t="s">
        <v>118</v>
      </c>
      <c r="D194">
        <v>32</v>
      </c>
      <c r="E194" s="1">
        <v>46083</v>
      </c>
      <c r="F194" s="1">
        <f>_xlfn.XLOOKUP(B194,purchase_orders!C:C,purchase_orders!G:G)</f>
        <v>46128</v>
      </c>
      <c r="G194" s="5">
        <f t="shared" ca="1" si="8"/>
        <v>36</v>
      </c>
      <c r="H194" s="2" t="str">
        <f ca="1">IF(G194&lt;=30,"0-30",IF(G194&lt;=60,"31-60",IF(G194&lt;=90,"61-90","90+")))</f>
        <v>31-60</v>
      </c>
      <c r="I194">
        <f>SUMIFS(order_items!D:D,order_items!C:C,inventory!B194)</f>
        <v>34</v>
      </c>
      <c r="J194" t="str">
        <f>IF(D194&gt;I194*3,"Overstock","OK")</f>
        <v>OK</v>
      </c>
      <c r="K194">
        <f>IFERROR(_xlfn.XLOOKUP(B194,purchase_orders!C:C,purchase_orders!I:I),0)</f>
        <v>828</v>
      </c>
      <c r="L194">
        <f>(D194+K194)/2</f>
        <v>430</v>
      </c>
      <c r="M194">
        <f t="shared" si="9"/>
        <v>0.08</v>
      </c>
      <c r="N194">
        <f>IFERROR(_xlfn.XLOOKUP(B194,products!A:A,products!E:E),0)</f>
        <v>117.48</v>
      </c>
      <c r="O194">
        <f t="shared" si="10"/>
        <v>3759.36</v>
      </c>
      <c r="P194" t="str">
        <f t="shared" si="11"/>
        <v>Normal</v>
      </c>
      <c r="Q194" t="str">
        <f>IFERROR(_xlfn.XLOOKUP(B194,reorder_point!B:B,reorder_point!I:I),"")</f>
        <v>OK</v>
      </c>
      <c r="R194" t="str">
        <f>_xlfn.XLOOKUP(B194,products!A:A,products!B:B)</f>
        <v>SKU-0094</v>
      </c>
    </row>
    <row r="195" spans="1:18">
      <c r="A195">
        <v>194</v>
      </c>
      <c r="B195">
        <v>94</v>
      </c>
      <c r="C195" t="s">
        <v>121</v>
      </c>
      <c r="D195">
        <v>234</v>
      </c>
      <c r="E195" s="1">
        <v>46131</v>
      </c>
      <c r="F195" s="1">
        <f>_xlfn.XLOOKUP(B195,purchase_orders!C:C,purchase_orders!G:G)</f>
        <v>46128</v>
      </c>
      <c r="G195" s="5">
        <f t="shared" ref="G195:G258" ca="1" si="12">TODAY()-F195</f>
        <v>36</v>
      </c>
      <c r="H195" s="2" t="str">
        <f ca="1">IF(G195&lt;=30,"0-30",IF(G195&lt;=60,"31-60",IF(G195&lt;=90,"61-90","90+")))</f>
        <v>31-60</v>
      </c>
      <c r="I195">
        <f>SUMIFS(order_items!D:D,order_items!C:C,inventory!B195)</f>
        <v>34</v>
      </c>
      <c r="J195" t="str">
        <f>IF(D195&gt;I195*3,"Overstock","OK")</f>
        <v>Overstock</v>
      </c>
      <c r="K195">
        <f>IFERROR(_xlfn.XLOOKUP(B195,purchase_orders!C:C,purchase_orders!I:I),0)</f>
        <v>828</v>
      </c>
      <c r="L195">
        <f>(D195+K195)/2</f>
        <v>531</v>
      </c>
      <c r="M195">
        <f t="shared" ref="M195:M258" si="13">IFERROR(ROUND(I195/L195,2),0)</f>
        <v>0.06</v>
      </c>
      <c r="N195">
        <f>IFERROR(_xlfn.XLOOKUP(B195,products!A:A,products!E:E),0)</f>
        <v>117.48</v>
      </c>
      <c r="O195">
        <f t="shared" ref="O195:O258" si="14">IF(N195="NULL",0,N195*D195)</f>
        <v>27490.32</v>
      </c>
      <c r="P195" t="str">
        <f t="shared" ref="P195:P258" si="15">IF(I195&lt;10,"Slow Moving","Normal")</f>
        <v>Normal</v>
      </c>
      <c r="Q195" t="str">
        <f>IFERROR(_xlfn.XLOOKUP(B195,reorder_point!B:B,reorder_point!I:I),"")</f>
        <v>OK</v>
      </c>
      <c r="R195" t="str">
        <f>_xlfn.XLOOKUP(B195,products!A:A,products!B:B)</f>
        <v>SKU-0094</v>
      </c>
    </row>
    <row r="196" spans="1:18">
      <c r="A196">
        <v>195</v>
      </c>
      <c r="B196">
        <v>95</v>
      </c>
      <c r="C196" t="s">
        <v>118</v>
      </c>
      <c r="D196">
        <v>453</v>
      </c>
      <c r="E196" s="1">
        <v>46084</v>
      </c>
      <c r="F196" s="1">
        <f>_xlfn.XLOOKUP(B196,purchase_orders!C:C,purchase_orders!G:G)</f>
        <v>46016</v>
      </c>
      <c r="G196" s="5">
        <f t="shared" ca="1" si="12"/>
        <v>148</v>
      </c>
      <c r="H196" s="2" t="str">
        <f ca="1">IF(G196&lt;=30,"0-30",IF(G196&lt;=60,"31-60",IF(G196&lt;=90,"61-90","90+")))</f>
        <v>90+</v>
      </c>
      <c r="I196">
        <f>SUMIFS(order_items!D:D,order_items!C:C,inventory!B196)</f>
        <v>23</v>
      </c>
      <c r="J196" t="str">
        <f>IF(D196&gt;I196*3,"Overstock","OK")</f>
        <v>Overstock</v>
      </c>
      <c r="K196">
        <f>IFERROR(_xlfn.XLOOKUP(B196,purchase_orders!C:C,purchase_orders!I:I),0)</f>
        <v>885</v>
      </c>
      <c r="L196">
        <f>(D196+K196)/2</f>
        <v>669</v>
      </c>
      <c r="M196">
        <f t="shared" si="13"/>
        <v>0.03</v>
      </c>
      <c r="N196">
        <f>IFERROR(_xlfn.XLOOKUP(B196,products!A:A,products!E:E),0)</f>
        <v>71.34</v>
      </c>
      <c r="O196">
        <f t="shared" si="14"/>
        <v>32317.02</v>
      </c>
      <c r="P196" t="str">
        <f t="shared" si="15"/>
        <v>Normal</v>
      </c>
      <c r="Q196" t="str">
        <f>IFERROR(_xlfn.XLOOKUP(B196,reorder_point!B:B,reorder_point!I:I),"")</f>
        <v>OK</v>
      </c>
      <c r="R196" t="str">
        <f>_xlfn.XLOOKUP(B196,products!A:A,products!B:B)</f>
        <v>SKU-0095</v>
      </c>
    </row>
    <row r="197" spans="1:18">
      <c r="A197">
        <v>196</v>
      </c>
      <c r="B197">
        <v>96</v>
      </c>
      <c r="C197" t="s">
        <v>121</v>
      </c>
      <c r="D197">
        <v>417</v>
      </c>
      <c r="E197" s="1">
        <v>46127</v>
      </c>
      <c r="F197" s="1">
        <f>_xlfn.XLOOKUP(B197,purchase_orders!C:C,purchase_orders!G:G)</f>
        <v>46184</v>
      </c>
      <c r="G197" s="5">
        <f t="shared" ca="1" si="12"/>
        <v>-20</v>
      </c>
      <c r="H197" s="2" t="str">
        <f ca="1">IF(G197&lt;=30,"0-30",IF(G197&lt;=60,"31-60",IF(G197&lt;=90,"61-90","90+")))</f>
        <v>0-30</v>
      </c>
      <c r="I197">
        <f>SUMIFS(order_items!D:D,order_items!C:C,inventory!B197)</f>
        <v>30</v>
      </c>
      <c r="J197" t="str">
        <f>IF(D197&gt;I197*3,"Overstock","OK")</f>
        <v>Overstock</v>
      </c>
      <c r="K197">
        <f>IFERROR(_xlfn.XLOOKUP(B197,purchase_orders!C:C,purchase_orders!I:I),0)</f>
        <v>284</v>
      </c>
      <c r="L197">
        <f>(D197+K197)/2</f>
        <v>350.5</v>
      </c>
      <c r="M197">
        <f t="shared" si="13"/>
        <v>0.09</v>
      </c>
      <c r="N197">
        <f>IFERROR(_xlfn.XLOOKUP(B197,products!A:A,products!E:E),0)</f>
        <v>136.6</v>
      </c>
      <c r="O197">
        <f t="shared" si="14"/>
        <v>56962.2</v>
      </c>
      <c r="P197" t="str">
        <f t="shared" si="15"/>
        <v>Normal</v>
      </c>
      <c r="Q197" t="str">
        <f>IFERROR(_xlfn.XLOOKUP(B197,reorder_point!B:B,reorder_point!I:I),"")</f>
        <v>OK</v>
      </c>
      <c r="R197" t="str">
        <f>_xlfn.XLOOKUP(B197,products!A:A,products!B:B)</f>
        <v>SKU-0096</v>
      </c>
    </row>
    <row r="198" spans="1:18">
      <c r="A198">
        <v>197</v>
      </c>
      <c r="B198">
        <v>96</v>
      </c>
      <c r="C198" t="s">
        <v>117</v>
      </c>
      <c r="D198">
        <v>18</v>
      </c>
      <c r="E198" s="1">
        <v>46131</v>
      </c>
      <c r="F198" s="1">
        <f>_xlfn.XLOOKUP(B198,purchase_orders!C:C,purchase_orders!G:G)</f>
        <v>46184</v>
      </c>
      <c r="G198" s="5">
        <f t="shared" ca="1" si="12"/>
        <v>-20</v>
      </c>
      <c r="H198" s="2" t="str">
        <f ca="1">IF(G198&lt;=30,"0-30",IF(G198&lt;=60,"31-60",IF(G198&lt;=90,"61-90","90+")))</f>
        <v>0-30</v>
      </c>
      <c r="I198">
        <f>SUMIFS(order_items!D:D,order_items!C:C,inventory!B198)</f>
        <v>30</v>
      </c>
      <c r="J198" t="str">
        <f>IF(D198&gt;I198*3,"Overstock","OK")</f>
        <v>OK</v>
      </c>
      <c r="K198">
        <f>IFERROR(_xlfn.XLOOKUP(B198,purchase_orders!C:C,purchase_orders!I:I),0)</f>
        <v>284</v>
      </c>
      <c r="L198">
        <f>(D198+K198)/2</f>
        <v>151</v>
      </c>
      <c r="M198">
        <f t="shared" si="13"/>
        <v>0.2</v>
      </c>
      <c r="N198">
        <f>IFERROR(_xlfn.XLOOKUP(B198,products!A:A,products!E:E),0)</f>
        <v>136.6</v>
      </c>
      <c r="O198">
        <f t="shared" si="14"/>
        <v>2458.7999999999997</v>
      </c>
      <c r="P198" t="str">
        <f t="shared" si="15"/>
        <v>Normal</v>
      </c>
      <c r="Q198" t="str">
        <f>IFERROR(_xlfn.XLOOKUP(B198,reorder_point!B:B,reorder_point!I:I),"")</f>
        <v>OK</v>
      </c>
      <c r="R198" t="str">
        <f>_xlfn.XLOOKUP(B198,products!A:A,products!B:B)</f>
        <v>SKU-0096</v>
      </c>
    </row>
    <row r="199" spans="1:18">
      <c r="A199">
        <v>198</v>
      </c>
      <c r="B199">
        <v>97</v>
      </c>
      <c r="C199" t="s">
        <v>122</v>
      </c>
      <c r="D199">
        <v>443</v>
      </c>
      <c r="E199" s="1">
        <v>46126</v>
      </c>
      <c r="F199" s="1">
        <f>_xlfn.XLOOKUP(B199,purchase_orders!C:C,purchase_orders!G:G)</f>
        <v>46026</v>
      </c>
      <c r="G199" s="5">
        <f t="shared" ca="1" si="12"/>
        <v>138</v>
      </c>
      <c r="H199" s="2" t="str">
        <f ca="1">IF(G199&lt;=30,"0-30",IF(G199&lt;=60,"31-60",IF(G199&lt;=90,"61-90","90+")))</f>
        <v>90+</v>
      </c>
      <c r="I199">
        <f>SUMIFS(order_items!D:D,order_items!C:C,inventory!B199)</f>
        <v>19</v>
      </c>
      <c r="J199" t="str">
        <f>IF(D199&gt;I199*3,"Overstock","OK")</f>
        <v>Overstock</v>
      </c>
      <c r="K199">
        <f>IFERROR(_xlfn.XLOOKUP(B199,purchase_orders!C:C,purchase_orders!I:I),0)</f>
        <v>284</v>
      </c>
      <c r="L199">
        <f>(D199+K199)/2</f>
        <v>363.5</v>
      </c>
      <c r="M199">
        <f t="shared" si="13"/>
        <v>0.05</v>
      </c>
      <c r="N199">
        <f>IFERROR(_xlfn.XLOOKUP(B199,products!A:A,products!E:E),0)</f>
        <v>8.39</v>
      </c>
      <c r="O199">
        <f t="shared" si="14"/>
        <v>3716.7700000000004</v>
      </c>
      <c r="P199" t="str">
        <f t="shared" si="15"/>
        <v>Normal</v>
      </c>
      <c r="Q199" t="str">
        <f>IFERROR(_xlfn.XLOOKUP(B199,reorder_point!B:B,reorder_point!I:I),"")</f>
        <v>OK</v>
      </c>
      <c r="R199" t="str">
        <f>_xlfn.XLOOKUP(B199,products!A:A,products!B:B)</f>
        <v>SKU-0097</v>
      </c>
    </row>
    <row r="200" spans="1:18">
      <c r="A200">
        <v>199</v>
      </c>
      <c r="B200">
        <v>97</v>
      </c>
      <c r="C200" t="s">
        <v>119</v>
      </c>
      <c r="D200">
        <v>63</v>
      </c>
      <c r="E200" s="1">
        <v>46116</v>
      </c>
      <c r="F200" s="1">
        <f>_xlfn.XLOOKUP(B200,purchase_orders!C:C,purchase_orders!G:G)</f>
        <v>46026</v>
      </c>
      <c r="G200" s="5">
        <f t="shared" ca="1" si="12"/>
        <v>138</v>
      </c>
      <c r="H200" s="2" t="str">
        <f ca="1">IF(G200&lt;=30,"0-30",IF(G200&lt;=60,"31-60",IF(G200&lt;=90,"61-90","90+")))</f>
        <v>90+</v>
      </c>
      <c r="I200">
        <f>SUMIFS(order_items!D:D,order_items!C:C,inventory!B200)</f>
        <v>19</v>
      </c>
      <c r="J200" t="str">
        <f>IF(D200&gt;I200*3,"Overstock","OK")</f>
        <v>Overstock</v>
      </c>
      <c r="K200">
        <f>IFERROR(_xlfn.XLOOKUP(B200,purchase_orders!C:C,purchase_orders!I:I),0)</f>
        <v>284</v>
      </c>
      <c r="L200">
        <f>(D200+K200)/2</f>
        <v>173.5</v>
      </c>
      <c r="M200">
        <f t="shared" si="13"/>
        <v>0.11</v>
      </c>
      <c r="N200">
        <f>IFERROR(_xlfn.XLOOKUP(B200,products!A:A,products!E:E),0)</f>
        <v>8.39</v>
      </c>
      <c r="O200">
        <f t="shared" si="14"/>
        <v>528.57000000000005</v>
      </c>
      <c r="P200" t="str">
        <f t="shared" si="15"/>
        <v>Normal</v>
      </c>
      <c r="Q200" t="str">
        <f>IFERROR(_xlfn.XLOOKUP(B200,reorder_point!B:B,reorder_point!I:I),"")</f>
        <v>OK</v>
      </c>
      <c r="R200" t="str">
        <f>_xlfn.XLOOKUP(B200,products!A:A,products!B:B)</f>
        <v>SKU-0097</v>
      </c>
    </row>
    <row r="201" spans="1:18">
      <c r="A201">
        <v>200</v>
      </c>
      <c r="B201">
        <v>98</v>
      </c>
      <c r="C201" t="s">
        <v>117</v>
      </c>
      <c r="D201">
        <v>173</v>
      </c>
      <c r="E201" s="1">
        <v>46112</v>
      </c>
      <c r="F201" s="1" t="str">
        <f>_xlfn.XLOOKUP(B201,purchase_orders!C:C,purchase_orders!G:G)</f>
        <v>NULL</v>
      </c>
      <c r="G201" s="5" t="e">
        <f t="shared" ca="1" si="12"/>
        <v>#VALUE!</v>
      </c>
      <c r="H201" s="2" t="e">
        <f ca="1">IF(G201&lt;=30,"0-30",IF(G201&lt;=60,"31-60",IF(G201&lt;=90,"61-90","90+")))</f>
        <v>#VALUE!</v>
      </c>
      <c r="I201">
        <f>SUMIFS(order_items!D:D,order_items!C:C,inventory!B201)</f>
        <v>58</v>
      </c>
      <c r="J201" t="str">
        <f>IF(D201&gt;I201*3,"Overstock","OK")</f>
        <v>OK</v>
      </c>
      <c r="K201">
        <f>IFERROR(_xlfn.XLOOKUP(B201,purchase_orders!C:C,purchase_orders!I:I),0)</f>
        <v>0</v>
      </c>
      <c r="L201">
        <f>(D201+K201)/2</f>
        <v>86.5</v>
      </c>
      <c r="M201">
        <f t="shared" si="13"/>
        <v>0.67</v>
      </c>
      <c r="N201">
        <f>IFERROR(_xlfn.XLOOKUP(B201,products!A:A,products!E:E),0)</f>
        <v>136.99</v>
      </c>
      <c r="O201">
        <f t="shared" si="14"/>
        <v>23699.27</v>
      </c>
      <c r="P201" t="str">
        <f t="shared" si="15"/>
        <v>Normal</v>
      </c>
      <c r="Q201" t="str">
        <f>IFERROR(_xlfn.XLOOKUP(B201,reorder_point!B:B,reorder_point!I:I),"")</f>
        <v/>
      </c>
      <c r="R201" t="str">
        <f>_xlfn.XLOOKUP(B201,products!A:A,products!B:B)</f>
        <v>SKU-0098</v>
      </c>
    </row>
    <row r="202" spans="1:18">
      <c r="A202">
        <v>201</v>
      </c>
      <c r="B202">
        <v>98</v>
      </c>
      <c r="C202" t="s">
        <v>117</v>
      </c>
      <c r="D202">
        <v>354</v>
      </c>
      <c r="E202" s="1">
        <v>46084</v>
      </c>
      <c r="F202" s="1" t="str">
        <f>_xlfn.XLOOKUP(B202,purchase_orders!C:C,purchase_orders!G:G)</f>
        <v>NULL</v>
      </c>
      <c r="G202" s="5" t="e">
        <f t="shared" ca="1" si="12"/>
        <v>#VALUE!</v>
      </c>
      <c r="H202" s="2" t="e">
        <f ca="1">IF(G202&lt;=30,"0-30",IF(G202&lt;=60,"31-60",IF(G202&lt;=90,"61-90","90+")))</f>
        <v>#VALUE!</v>
      </c>
      <c r="I202">
        <f>SUMIFS(order_items!D:D,order_items!C:C,inventory!B202)</f>
        <v>58</v>
      </c>
      <c r="J202" t="str">
        <f>IF(D202&gt;I202*3,"Overstock","OK")</f>
        <v>Overstock</v>
      </c>
      <c r="K202">
        <f>IFERROR(_xlfn.XLOOKUP(B202,purchase_orders!C:C,purchase_orders!I:I),0)</f>
        <v>0</v>
      </c>
      <c r="L202">
        <f>(D202+K202)/2</f>
        <v>177</v>
      </c>
      <c r="M202">
        <f t="shared" si="13"/>
        <v>0.33</v>
      </c>
      <c r="N202">
        <f>IFERROR(_xlfn.XLOOKUP(B202,products!A:A,products!E:E),0)</f>
        <v>136.99</v>
      </c>
      <c r="O202">
        <f t="shared" si="14"/>
        <v>48494.460000000006</v>
      </c>
      <c r="P202" t="str">
        <f t="shared" si="15"/>
        <v>Normal</v>
      </c>
      <c r="Q202" t="str">
        <f>IFERROR(_xlfn.XLOOKUP(B202,reorder_point!B:B,reorder_point!I:I),"")</f>
        <v/>
      </c>
      <c r="R202" t="str">
        <f>_xlfn.XLOOKUP(B202,products!A:A,products!B:B)</f>
        <v>SKU-0098</v>
      </c>
    </row>
    <row r="203" spans="1:18">
      <c r="A203">
        <v>202</v>
      </c>
      <c r="B203">
        <v>99</v>
      </c>
      <c r="C203" t="s">
        <v>120</v>
      </c>
      <c r="D203">
        <v>217</v>
      </c>
      <c r="E203" s="1">
        <v>46105</v>
      </c>
      <c r="F203" s="1">
        <f>_xlfn.XLOOKUP(B203,purchase_orders!C:C,purchase_orders!G:G)</f>
        <v>46133</v>
      </c>
      <c r="G203" s="5">
        <f t="shared" ca="1" si="12"/>
        <v>31</v>
      </c>
      <c r="H203" s="2" t="str">
        <f ca="1">IF(G203&lt;=30,"0-30",IF(G203&lt;=60,"31-60",IF(G203&lt;=90,"61-90","90+")))</f>
        <v>31-60</v>
      </c>
      <c r="I203">
        <f>SUMIFS(order_items!D:D,order_items!C:C,inventory!B203)</f>
        <v>36</v>
      </c>
      <c r="J203" t="str">
        <f>IF(D203&gt;I203*3,"Overstock","OK")</f>
        <v>Overstock</v>
      </c>
      <c r="K203">
        <f>IFERROR(_xlfn.XLOOKUP(B203,purchase_orders!C:C,purchase_orders!I:I),0)</f>
        <v>626</v>
      </c>
      <c r="L203">
        <f>(D203+K203)/2</f>
        <v>421.5</v>
      </c>
      <c r="M203">
        <f t="shared" si="13"/>
        <v>0.09</v>
      </c>
      <c r="N203">
        <f>IFERROR(_xlfn.XLOOKUP(B203,products!A:A,products!E:E),0)</f>
        <v>31.67</v>
      </c>
      <c r="O203">
        <f t="shared" si="14"/>
        <v>6872.39</v>
      </c>
      <c r="P203" t="str">
        <f t="shared" si="15"/>
        <v>Normal</v>
      </c>
      <c r="Q203" t="str">
        <f>IFERROR(_xlfn.XLOOKUP(B203,reorder_point!B:B,reorder_point!I:I),"")</f>
        <v>OK</v>
      </c>
      <c r="R203" t="str">
        <f>_xlfn.XLOOKUP(B203,products!A:A,products!B:B)</f>
        <v>SKU-0099</v>
      </c>
    </row>
    <row r="204" spans="1:18">
      <c r="A204">
        <v>203</v>
      </c>
      <c r="B204">
        <v>99</v>
      </c>
      <c r="C204" t="s">
        <v>119</v>
      </c>
      <c r="D204">
        <v>421</v>
      </c>
      <c r="E204" s="1">
        <v>46125</v>
      </c>
      <c r="F204" s="1">
        <f>_xlfn.XLOOKUP(B204,purchase_orders!C:C,purchase_orders!G:G)</f>
        <v>46133</v>
      </c>
      <c r="G204" s="5">
        <f t="shared" ca="1" si="12"/>
        <v>31</v>
      </c>
      <c r="H204" s="2" t="str">
        <f ca="1">IF(G204&lt;=30,"0-30",IF(G204&lt;=60,"31-60",IF(G204&lt;=90,"61-90","90+")))</f>
        <v>31-60</v>
      </c>
      <c r="I204">
        <f>SUMIFS(order_items!D:D,order_items!C:C,inventory!B204)</f>
        <v>36</v>
      </c>
      <c r="J204" t="str">
        <f>IF(D204&gt;I204*3,"Overstock","OK")</f>
        <v>Overstock</v>
      </c>
      <c r="K204">
        <f>IFERROR(_xlfn.XLOOKUP(B204,purchase_orders!C:C,purchase_orders!I:I),0)</f>
        <v>626</v>
      </c>
      <c r="L204">
        <f>(D204+K204)/2</f>
        <v>523.5</v>
      </c>
      <c r="M204">
        <f t="shared" si="13"/>
        <v>7.0000000000000007E-2</v>
      </c>
      <c r="N204">
        <f>IFERROR(_xlfn.XLOOKUP(B204,products!A:A,products!E:E),0)</f>
        <v>31.67</v>
      </c>
      <c r="O204">
        <f t="shared" si="14"/>
        <v>13333.070000000002</v>
      </c>
      <c r="P204" t="str">
        <f t="shared" si="15"/>
        <v>Normal</v>
      </c>
      <c r="Q204" t="str">
        <f>IFERROR(_xlfn.XLOOKUP(B204,reorder_point!B:B,reorder_point!I:I),"")</f>
        <v>OK</v>
      </c>
      <c r="R204" t="str">
        <f>_xlfn.XLOOKUP(B204,products!A:A,products!B:B)</f>
        <v>SKU-0099</v>
      </c>
    </row>
    <row r="205" spans="1:18">
      <c r="A205">
        <v>204</v>
      </c>
      <c r="B205">
        <v>99</v>
      </c>
      <c r="C205" t="s">
        <v>122</v>
      </c>
      <c r="D205">
        <v>164</v>
      </c>
      <c r="E205" s="1">
        <v>46123</v>
      </c>
      <c r="F205" s="1">
        <f>_xlfn.XLOOKUP(B205,purchase_orders!C:C,purchase_orders!G:G)</f>
        <v>46133</v>
      </c>
      <c r="G205" s="5">
        <f t="shared" ca="1" si="12"/>
        <v>31</v>
      </c>
      <c r="H205" s="2" t="str">
        <f ca="1">IF(G205&lt;=30,"0-30",IF(G205&lt;=60,"31-60",IF(G205&lt;=90,"61-90","90+")))</f>
        <v>31-60</v>
      </c>
      <c r="I205">
        <f>SUMIFS(order_items!D:D,order_items!C:C,inventory!B205)</f>
        <v>36</v>
      </c>
      <c r="J205" t="str">
        <f>IF(D205&gt;I205*3,"Overstock","OK")</f>
        <v>Overstock</v>
      </c>
      <c r="K205">
        <f>IFERROR(_xlfn.XLOOKUP(B205,purchase_orders!C:C,purchase_orders!I:I),0)</f>
        <v>626</v>
      </c>
      <c r="L205">
        <f>(D205+K205)/2</f>
        <v>395</v>
      </c>
      <c r="M205">
        <f t="shared" si="13"/>
        <v>0.09</v>
      </c>
      <c r="N205">
        <f>IFERROR(_xlfn.XLOOKUP(B205,products!A:A,products!E:E),0)</f>
        <v>31.67</v>
      </c>
      <c r="O205">
        <f t="shared" si="14"/>
        <v>5193.88</v>
      </c>
      <c r="P205" t="str">
        <f t="shared" si="15"/>
        <v>Normal</v>
      </c>
      <c r="Q205" t="str">
        <f>IFERROR(_xlfn.XLOOKUP(B205,reorder_point!B:B,reorder_point!I:I),"")</f>
        <v>OK</v>
      </c>
      <c r="R205" t="str">
        <f>_xlfn.XLOOKUP(B205,products!A:A,products!B:B)</f>
        <v>SKU-0099</v>
      </c>
    </row>
    <row r="206" spans="1:18">
      <c r="A206">
        <v>205</v>
      </c>
      <c r="B206">
        <v>100</v>
      </c>
      <c r="C206" t="s">
        <v>120</v>
      </c>
      <c r="D206">
        <v>308</v>
      </c>
      <c r="E206" s="1">
        <v>46133</v>
      </c>
      <c r="F206" s="1">
        <f>_xlfn.XLOOKUP(B206,purchase_orders!C:C,purchase_orders!G:G)</f>
        <v>46173</v>
      </c>
      <c r="G206" s="5">
        <f t="shared" ca="1" si="12"/>
        <v>-9</v>
      </c>
      <c r="H206" s="2" t="str">
        <f ca="1">IF(G206&lt;=30,"0-30",IF(G206&lt;=60,"31-60",IF(G206&lt;=90,"61-90","90+")))</f>
        <v>0-30</v>
      </c>
      <c r="I206">
        <f>SUMIFS(order_items!D:D,order_items!C:C,inventory!B206)</f>
        <v>22</v>
      </c>
      <c r="J206" t="str">
        <f>IF(D206&gt;I206*3,"Overstock","OK")</f>
        <v>Overstock</v>
      </c>
      <c r="K206">
        <f>IFERROR(_xlfn.XLOOKUP(B206,purchase_orders!C:C,purchase_orders!I:I),0)</f>
        <v>477</v>
      </c>
      <c r="L206">
        <f>(D206+K206)/2</f>
        <v>392.5</v>
      </c>
      <c r="M206">
        <f t="shared" si="13"/>
        <v>0.06</v>
      </c>
      <c r="N206">
        <f>IFERROR(_xlfn.XLOOKUP(B206,products!A:A,products!E:E),0)</f>
        <v>127.41</v>
      </c>
      <c r="O206">
        <f t="shared" si="14"/>
        <v>39242.28</v>
      </c>
      <c r="P206" t="str">
        <f t="shared" si="15"/>
        <v>Normal</v>
      </c>
      <c r="Q206" t="str">
        <f>IFERROR(_xlfn.XLOOKUP(B206,reorder_point!B:B,reorder_point!I:I),"")</f>
        <v>OK</v>
      </c>
      <c r="R206" t="str">
        <f>_xlfn.XLOOKUP(B206,products!A:A,products!B:B)</f>
        <v>SKU-0100</v>
      </c>
    </row>
    <row r="207" spans="1:18">
      <c r="A207">
        <v>206</v>
      </c>
      <c r="B207">
        <v>100</v>
      </c>
      <c r="C207" t="s">
        <v>121</v>
      </c>
      <c r="D207">
        <v>353</v>
      </c>
      <c r="E207" s="1">
        <v>46115</v>
      </c>
      <c r="F207" s="1">
        <f>_xlfn.XLOOKUP(B207,purchase_orders!C:C,purchase_orders!G:G)</f>
        <v>46173</v>
      </c>
      <c r="G207" s="5">
        <f t="shared" ca="1" si="12"/>
        <v>-9</v>
      </c>
      <c r="H207" s="2" t="str">
        <f ca="1">IF(G207&lt;=30,"0-30",IF(G207&lt;=60,"31-60",IF(G207&lt;=90,"61-90","90+")))</f>
        <v>0-30</v>
      </c>
      <c r="I207">
        <f>SUMIFS(order_items!D:D,order_items!C:C,inventory!B207)</f>
        <v>22</v>
      </c>
      <c r="J207" t="str">
        <f>IF(D207&gt;I207*3,"Overstock","OK")</f>
        <v>Overstock</v>
      </c>
      <c r="K207">
        <f>IFERROR(_xlfn.XLOOKUP(B207,purchase_orders!C:C,purchase_orders!I:I),0)</f>
        <v>477</v>
      </c>
      <c r="L207">
        <f>(D207+K207)/2</f>
        <v>415</v>
      </c>
      <c r="M207">
        <f t="shared" si="13"/>
        <v>0.05</v>
      </c>
      <c r="N207">
        <f>IFERROR(_xlfn.XLOOKUP(B207,products!A:A,products!E:E),0)</f>
        <v>127.41</v>
      </c>
      <c r="O207">
        <f t="shared" si="14"/>
        <v>44975.729999999996</v>
      </c>
      <c r="P207" t="str">
        <f t="shared" si="15"/>
        <v>Normal</v>
      </c>
      <c r="Q207" t="str">
        <f>IFERROR(_xlfn.XLOOKUP(B207,reorder_point!B:B,reorder_point!I:I),"")</f>
        <v>OK</v>
      </c>
      <c r="R207" t="str">
        <f>_xlfn.XLOOKUP(B207,products!A:A,products!B:B)</f>
        <v>SKU-0100</v>
      </c>
    </row>
    <row r="208" spans="1:18">
      <c r="A208">
        <v>207</v>
      </c>
      <c r="B208">
        <v>100</v>
      </c>
      <c r="C208" t="s">
        <v>118</v>
      </c>
      <c r="D208">
        <v>21</v>
      </c>
      <c r="E208" s="1">
        <v>46085</v>
      </c>
      <c r="F208" s="1">
        <f>_xlfn.XLOOKUP(B208,purchase_orders!C:C,purchase_orders!G:G)</f>
        <v>46173</v>
      </c>
      <c r="G208" s="5">
        <f t="shared" ca="1" si="12"/>
        <v>-9</v>
      </c>
      <c r="H208" s="2" t="str">
        <f ca="1">IF(G208&lt;=30,"0-30",IF(G208&lt;=60,"31-60",IF(G208&lt;=90,"61-90","90+")))</f>
        <v>0-30</v>
      </c>
      <c r="I208">
        <f>SUMIFS(order_items!D:D,order_items!C:C,inventory!B208)</f>
        <v>22</v>
      </c>
      <c r="J208" t="str">
        <f>IF(D208&gt;I208*3,"Overstock","OK")</f>
        <v>OK</v>
      </c>
      <c r="K208">
        <f>IFERROR(_xlfn.XLOOKUP(B208,purchase_orders!C:C,purchase_orders!I:I),0)</f>
        <v>477</v>
      </c>
      <c r="L208">
        <f>(D208+K208)/2</f>
        <v>249</v>
      </c>
      <c r="M208">
        <f t="shared" si="13"/>
        <v>0.09</v>
      </c>
      <c r="N208">
        <f>IFERROR(_xlfn.XLOOKUP(B208,products!A:A,products!E:E),0)</f>
        <v>127.41</v>
      </c>
      <c r="O208">
        <f t="shared" si="14"/>
        <v>2675.61</v>
      </c>
      <c r="P208" t="str">
        <f t="shared" si="15"/>
        <v>Normal</v>
      </c>
      <c r="Q208" t="str">
        <f>IFERROR(_xlfn.XLOOKUP(B208,reorder_point!B:B,reorder_point!I:I),"")</f>
        <v>OK</v>
      </c>
      <c r="R208" t="str">
        <f>_xlfn.XLOOKUP(B208,products!A:A,products!B:B)</f>
        <v>SKU-0100</v>
      </c>
    </row>
    <row r="209" spans="1:18">
      <c r="A209">
        <v>208</v>
      </c>
      <c r="B209">
        <v>101</v>
      </c>
      <c r="C209" t="s">
        <v>117</v>
      </c>
      <c r="D209">
        <v>327</v>
      </c>
      <c r="E209" s="1">
        <v>46083</v>
      </c>
      <c r="F209" s="1">
        <f>_xlfn.XLOOKUP(B209,purchase_orders!C:C,purchase_orders!G:G)</f>
        <v>46067</v>
      </c>
      <c r="G209" s="5">
        <f t="shared" ca="1" si="12"/>
        <v>97</v>
      </c>
      <c r="H209" s="2" t="str">
        <f ca="1">IF(G209&lt;=30,"0-30",IF(G209&lt;=60,"31-60",IF(G209&lt;=90,"61-90","90+")))</f>
        <v>90+</v>
      </c>
      <c r="I209">
        <f>SUMIFS(order_items!D:D,order_items!C:C,inventory!B209)</f>
        <v>25</v>
      </c>
      <c r="J209" t="str">
        <f>IF(D209&gt;I209*3,"Overstock","OK")</f>
        <v>Overstock</v>
      </c>
      <c r="K209">
        <f>IFERROR(_xlfn.XLOOKUP(B209,purchase_orders!C:C,purchase_orders!I:I),0)</f>
        <v>260</v>
      </c>
      <c r="L209">
        <f>(D209+K209)/2</f>
        <v>293.5</v>
      </c>
      <c r="M209">
        <f t="shared" si="13"/>
        <v>0.09</v>
      </c>
      <c r="N209">
        <f>IFERROR(_xlfn.XLOOKUP(B209,products!A:A,products!E:E),0)</f>
        <v>173.83</v>
      </c>
      <c r="O209">
        <f t="shared" si="14"/>
        <v>56842.41</v>
      </c>
      <c r="P209" t="str">
        <f t="shared" si="15"/>
        <v>Normal</v>
      </c>
      <c r="Q209" t="str">
        <f>IFERROR(_xlfn.XLOOKUP(B209,reorder_point!B:B,reorder_point!I:I),"")</f>
        <v>OK</v>
      </c>
      <c r="R209" t="str">
        <f>_xlfn.XLOOKUP(B209,products!A:A,products!B:B)</f>
        <v>SKU-0101</v>
      </c>
    </row>
    <row r="210" spans="1:18">
      <c r="A210">
        <v>209</v>
      </c>
      <c r="B210">
        <v>101</v>
      </c>
      <c r="C210" t="s">
        <v>120</v>
      </c>
      <c r="D210">
        <v>29</v>
      </c>
      <c r="E210" s="1">
        <v>46103</v>
      </c>
      <c r="F210" s="1">
        <f>_xlfn.XLOOKUP(B210,purchase_orders!C:C,purchase_orders!G:G)</f>
        <v>46067</v>
      </c>
      <c r="G210" s="5">
        <f t="shared" ca="1" si="12"/>
        <v>97</v>
      </c>
      <c r="H210" s="2" t="str">
        <f ca="1">IF(G210&lt;=30,"0-30",IF(G210&lt;=60,"31-60",IF(G210&lt;=90,"61-90","90+")))</f>
        <v>90+</v>
      </c>
      <c r="I210">
        <f>SUMIFS(order_items!D:D,order_items!C:C,inventory!B210)</f>
        <v>25</v>
      </c>
      <c r="J210" t="str">
        <f>IF(D210&gt;I210*3,"Overstock","OK")</f>
        <v>OK</v>
      </c>
      <c r="K210">
        <f>IFERROR(_xlfn.XLOOKUP(B210,purchase_orders!C:C,purchase_orders!I:I),0)</f>
        <v>260</v>
      </c>
      <c r="L210">
        <f>(D210+K210)/2</f>
        <v>144.5</v>
      </c>
      <c r="M210">
        <f t="shared" si="13"/>
        <v>0.17</v>
      </c>
      <c r="N210">
        <f>IFERROR(_xlfn.XLOOKUP(B210,products!A:A,products!E:E),0)</f>
        <v>173.83</v>
      </c>
      <c r="O210">
        <f t="shared" si="14"/>
        <v>5041.0700000000006</v>
      </c>
      <c r="P210" t="str">
        <f t="shared" si="15"/>
        <v>Normal</v>
      </c>
      <c r="Q210" t="str">
        <f>IFERROR(_xlfn.XLOOKUP(B210,reorder_point!B:B,reorder_point!I:I),"")</f>
        <v>OK</v>
      </c>
      <c r="R210" t="str">
        <f>_xlfn.XLOOKUP(B210,products!A:A,products!B:B)</f>
        <v>SKU-0101</v>
      </c>
    </row>
    <row r="211" spans="1:18">
      <c r="A211">
        <v>210</v>
      </c>
      <c r="B211">
        <v>102</v>
      </c>
      <c r="C211" t="s">
        <v>122</v>
      </c>
      <c r="D211">
        <v>487</v>
      </c>
      <c r="E211" s="1">
        <v>46089</v>
      </c>
      <c r="F211" s="1">
        <f>_xlfn.XLOOKUP(B211,purchase_orders!C:C,purchase_orders!G:G)</f>
        <v>46070</v>
      </c>
      <c r="G211" s="5">
        <f t="shared" ca="1" si="12"/>
        <v>94</v>
      </c>
      <c r="H211" s="2" t="str">
        <f ca="1">IF(G211&lt;=30,"0-30",IF(G211&lt;=60,"31-60",IF(G211&lt;=90,"61-90","90+")))</f>
        <v>90+</v>
      </c>
      <c r="I211">
        <f>SUMIFS(order_items!D:D,order_items!C:C,inventory!B211)</f>
        <v>40</v>
      </c>
      <c r="J211" t="str">
        <f>IF(D211&gt;I211*3,"Overstock","OK")</f>
        <v>Overstock</v>
      </c>
      <c r="K211">
        <f>IFERROR(_xlfn.XLOOKUP(B211,purchase_orders!C:C,purchase_orders!I:I),0)</f>
        <v>206</v>
      </c>
      <c r="L211">
        <f>(D211+K211)/2</f>
        <v>346.5</v>
      </c>
      <c r="M211">
        <f t="shared" si="13"/>
        <v>0.12</v>
      </c>
      <c r="N211">
        <f>IFERROR(_xlfn.XLOOKUP(B211,products!A:A,products!E:E),0)</f>
        <v>169.76</v>
      </c>
      <c r="O211">
        <f t="shared" si="14"/>
        <v>82673.119999999995</v>
      </c>
      <c r="P211" t="str">
        <f t="shared" si="15"/>
        <v>Normal</v>
      </c>
      <c r="Q211" t="str">
        <f>IFERROR(_xlfn.XLOOKUP(B211,reorder_point!B:B,reorder_point!I:I),"")</f>
        <v>OK</v>
      </c>
      <c r="R211" t="str">
        <f>_xlfn.XLOOKUP(B211,products!A:A,products!B:B)</f>
        <v>SKU-0102</v>
      </c>
    </row>
    <row r="212" spans="1:18">
      <c r="A212">
        <v>211</v>
      </c>
      <c r="B212">
        <v>102</v>
      </c>
      <c r="C212" t="s">
        <v>118</v>
      </c>
      <c r="D212">
        <v>311</v>
      </c>
      <c r="E212" s="1">
        <v>46115</v>
      </c>
      <c r="F212" s="1">
        <f>_xlfn.XLOOKUP(B212,purchase_orders!C:C,purchase_orders!G:G)</f>
        <v>46070</v>
      </c>
      <c r="G212" s="5">
        <f t="shared" ca="1" si="12"/>
        <v>94</v>
      </c>
      <c r="H212" s="2" t="str">
        <f ca="1">IF(G212&lt;=30,"0-30",IF(G212&lt;=60,"31-60",IF(G212&lt;=90,"61-90","90+")))</f>
        <v>90+</v>
      </c>
      <c r="I212">
        <f>SUMIFS(order_items!D:D,order_items!C:C,inventory!B212)</f>
        <v>40</v>
      </c>
      <c r="J212" t="str">
        <f>IF(D212&gt;I212*3,"Overstock","OK")</f>
        <v>Overstock</v>
      </c>
      <c r="K212">
        <f>IFERROR(_xlfn.XLOOKUP(B212,purchase_orders!C:C,purchase_orders!I:I),0)</f>
        <v>206</v>
      </c>
      <c r="L212">
        <f>(D212+K212)/2</f>
        <v>258.5</v>
      </c>
      <c r="M212">
        <f t="shared" si="13"/>
        <v>0.15</v>
      </c>
      <c r="N212">
        <f>IFERROR(_xlfn.XLOOKUP(B212,products!A:A,products!E:E),0)</f>
        <v>169.76</v>
      </c>
      <c r="O212">
        <f t="shared" si="14"/>
        <v>52795.360000000001</v>
      </c>
      <c r="P212" t="str">
        <f t="shared" si="15"/>
        <v>Normal</v>
      </c>
      <c r="Q212" t="str">
        <f>IFERROR(_xlfn.XLOOKUP(B212,reorder_point!B:B,reorder_point!I:I),"")</f>
        <v>OK</v>
      </c>
      <c r="R212" t="str">
        <f>_xlfn.XLOOKUP(B212,products!A:A,products!B:B)</f>
        <v>SKU-0102</v>
      </c>
    </row>
    <row r="213" spans="1:18">
      <c r="A213">
        <v>212</v>
      </c>
      <c r="B213">
        <v>103</v>
      </c>
      <c r="C213" t="s">
        <v>118</v>
      </c>
      <c r="D213">
        <v>34</v>
      </c>
      <c r="E213" s="1">
        <v>46102</v>
      </c>
      <c r="F213" s="1">
        <f>_xlfn.XLOOKUP(B213,purchase_orders!C:C,purchase_orders!G:G)</f>
        <v>46149</v>
      </c>
      <c r="G213" s="5">
        <f t="shared" ca="1" si="12"/>
        <v>15</v>
      </c>
      <c r="H213" s="2" t="str">
        <f ca="1">IF(G213&lt;=30,"0-30",IF(G213&lt;=60,"31-60",IF(G213&lt;=90,"61-90","90+")))</f>
        <v>0-30</v>
      </c>
      <c r="I213">
        <f>SUMIFS(order_items!D:D,order_items!C:C,inventory!B213)</f>
        <v>21</v>
      </c>
      <c r="J213" t="str">
        <f>IF(D213&gt;I213*3,"Overstock","OK")</f>
        <v>OK</v>
      </c>
      <c r="K213">
        <f>IFERROR(_xlfn.XLOOKUP(B213,purchase_orders!C:C,purchase_orders!I:I),0)</f>
        <v>479</v>
      </c>
      <c r="L213">
        <f>(D213+K213)/2</f>
        <v>256.5</v>
      </c>
      <c r="M213">
        <f t="shared" si="13"/>
        <v>0.08</v>
      </c>
      <c r="N213">
        <f>IFERROR(_xlfn.XLOOKUP(B213,products!A:A,products!E:E),0)</f>
        <v>145.97</v>
      </c>
      <c r="O213">
        <f t="shared" si="14"/>
        <v>4962.9799999999996</v>
      </c>
      <c r="P213" t="str">
        <f t="shared" si="15"/>
        <v>Normal</v>
      </c>
      <c r="Q213" t="str">
        <f>IFERROR(_xlfn.XLOOKUP(B213,reorder_point!B:B,reorder_point!I:I),"")</f>
        <v>OK</v>
      </c>
      <c r="R213" t="str">
        <f>_xlfn.XLOOKUP(B213,products!A:A,products!B:B)</f>
        <v>SKU-0103</v>
      </c>
    </row>
    <row r="214" spans="1:18">
      <c r="A214">
        <v>213</v>
      </c>
      <c r="B214">
        <v>104</v>
      </c>
      <c r="C214" t="s">
        <v>122</v>
      </c>
      <c r="D214">
        <v>486</v>
      </c>
      <c r="E214" s="1">
        <v>46105</v>
      </c>
      <c r="F214" s="1">
        <f>_xlfn.XLOOKUP(B214,purchase_orders!C:C,purchase_orders!G:G)</f>
        <v>46128</v>
      </c>
      <c r="G214" s="5">
        <f t="shared" ca="1" si="12"/>
        <v>36</v>
      </c>
      <c r="H214" s="2" t="str">
        <f ca="1">IF(G214&lt;=30,"0-30",IF(G214&lt;=60,"31-60",IF(G214&lt;=90,"61-90","90+")))</f>
        <v>31-60</v>
      </c>
      <c r="I214">
        <f>SUMIFS(order_items!D:D,order_items!C:C,inventory!B214)</f>
        <v>27</v>
      </c>
      <c r="J214" t="str">
        <f>IF(D214&gt;I214*3,"Overstock","OK")</f>
        <v>Overstock</v>
      </c>
      <c r="K214">
        <f>IFERROR(_xlfn.XLOOKUP(B214,purchase_orders!C:C,purchase_orders!I:I),0)</f>
        <v>528</v>
      </c>
      <c r="L214">
        <f>(D214+K214)/2</f>
        <v>507</v>
      </c>
      <c r="M214">
        <f t="shared" si="13"/>
        <v>0.05</v>
      </c>
      <c r="N214">
        <f>IFERROR(_xlfn.XLOOKUP(B214,products!A:A,products!E:E),0)</f>
        <v>17.07</v>
      </c>
      <c r="O214">
        <f t="shared" si="14"/>
        <v>8296.02</v>
      </c>
      <c r="P214" t="str">
        <f t="shared" si="15"/>
        <v>Normal</v>
      </c>
      <c r="Q214" t="str">
        <f>IFERROR(_xlfn.XLOOKUP(B214,reorder_point!B:B,reorder_point!I:I),"")</f>
        <v>OK</v>
      </c>
      <c r="R214" t="str">
        <f>_xlfn.XLOOKUP(B214,products!A:A,products!B:B)</f>
        <v>SKU-0104</v>
      </c>
    </row>
    <row r="215" spans="1:18">
      <c r="A215">
        <v>214</v>
      </c>
      <c r="B215">
        <v>104</v>
      </c>
      <c r="C215" t="s">
        <v>117</v>
      </c>
      <c r="D215">
        <v>78</v>
      </c>
      <c r="E215" s="1">
        <v>46083</v>
      </c>
      <c r="F215" s="1">
        <f>_xlfn.XLOOKUP(B215,purchase_orders!C:C,purchase_orders!G:G)</f>
        <v>46128</v>
      </c>
      <c r="G215" s="5">
        <f t="shared" ca="1" si="12"/>
        <v>36</v>
      </c>
      <c r="H215" s="2" t="str">
        <f ca="1">IF(G215&lt;=30,"0-30",IF(G215&lt;=60,"31-60",IF(G215&lt;=90,"61-90","90+")))</f>
        <v>31-60</v>
      </c>
      <c r="I215">
        <f>SUMIFS(order_items!D:D,order_items!C:C,inventory!B215)</f>
        <v>27</v>
      </c>
      <c r="J215" t="str">
        <f>IF(D215&gt;I215*3,"Overstock","OK")</f>
        <v>OK</v>
      </c>
      <c r="K215">
        <f>IFERROR(_xlfn.XLOOKUP(B215,purchase_orders!C:C,purchase_orders!I:I),0)</f>
        <v>528</v>
      </c>
      <c r="L215">
        <f>(D215+K215)/2</f>
        <v>303</v>
      </c>
      <c r="M215">
        <f t="shared" si="13"/>
        <v>0.09</v>
      </c>
      <c r="N215">
        <f>IFERROR(_xlfn.XLOOKUP(B215,products!A:A,products!E:E),0)</f>
        <v>17.07</v>
      </c>
      <c r="O215">
        <f t="shared" si="14"/>
        <v>1331.46</v>
      </c>
      <c r="P215" t="str">
        <f t="shared" si="15"/>
        <v>Normal</v>
      </c>
      <c r="Q215" t="str">
        <f>IFERROR(_xlfn.XLOOKUP(B215,reorder_point!B:B,reorder_point!I:I),"")</f>
        <v>OK</v>
      </c>
      <c r="R215" t="str">
        <f>_xlfn.XLOOKUP(B215,products!A:A,products!B:B)</f>
        <v>SKU-0104</v>
      </c>
    </row>
    <row r="216" spans="1:18">
      <c r="A216">
        <v>215</v>
      </c>
      <c r="B216">
        <v>105</v>
      </c>
      <c r="C216" t="s">
        <v>122</v>
      </c>
      <c r="D216">
        <v>390</v>
      </c>
      <c r="E216" s="1">
        <v>46135</v>
      </c>
      <c r="F216" s="1" t="str">
        <f>_xlfn.XLOOKUP(B216,purchase_orders!C:C,purchase_orders!G:G)</f>
        <v>NULL</v>
      </c>
      <c r="G216" s="5" t="e">
        <f t="shared" ca="1" si="12"/>
        <v>#VALUE!</v>
      </c>
      <c r="H216" s="2" t="e">
        <f ca="1">IF(G216&lt;=30,"0-30",IF(G216&lt;=60,"31-60",IF(G216&lt;=90,"61-90","90+")))</f>
        <v>#VALUE!</v>
      </c>
      <c r="I216">
        <f>SUMIFS(order_items!D:D,order_items!C:C,inventory!B216)</f>
        <v>14</v>
      </c>
      <c r="J216" t="str">
        <f>IF(D216&gt;I216*3,"Overstock","OK")</f>
        <v>Overstock</v>
      </c>
      <c r="K216">
        <f>IFERROR(_xlfn.XLOOKUP(B216,purchase_orders!C:C,purchase_orders!I:I),0)</f>
        <v>0</v>
      </c>
      <c r="L216">
        <f>(D216+K216)/2</f>
        <v>195</v>
      </c>
      <c r="M216">
        <f t="shared" si="13"/>
        <v>7.0000000000000007E-2</v>
      </c>
      <c r="N216">
        <f>IFERROR(_xlfn.XLOOKUP(B216,products!A:A,products!E:E),0)</f>
        <v>23.47</v>
      </c>
      <c r="O216">
        <f t="shared" si="14"/>
        <v>9153.2999999999993</v>
      </c>
      <c r="P216" t="str">
        <f t="shared" si="15"/>
        <v>Normal</v>
      </c>
      <c r="Q216" t="str">
        <f>IFERROR(_xlfn.XLOOKUP(B216,reorder_point!B:B,reorder_point!I:I),"")</f>
        <v/>
      </c>
      <c r="R216" t="str">
        <f>_xlfn.XLOOKUP(B216,products!A:A,products!B:B)</f>
        <v>SKU-0105</v>
      </c>
    </row>
    <row r="217" spans="1:18">
      <c r="A217">
        <v>216</v>
      </c>
      <c r="B217">
        <v>105</v>
      </c>
      <c r="C217" t="s">
        <v>117</v>
      </c>
      <c r="D217">
        <v>271</v>
      </c>
      <c r="E217" s="1">
        <v>46123</v>
      </c>
      <c r="F217" s="1" t="str">
        <f>_xlfn.XLOOKUP(B217,purchase_orders!C:C,purchase_orders!G:G)</f>
        <v>NULL</v>
      </c>
      <c r="G217" s="5" t="e">
        <f t="shared" ca="1" si="12"/>
        <v>#VALUE!</v>
      </c>
      <c r="H217" s="2" t="e">
        <f ca="1">IF(G217&lt;=30,"0-30",IF(G217&lt;=60,"31-60",IF(G217&lt;=90,"61-90","90+")))</f>
        <v>#VALUE!</v>
      </c>
      <c r="I217">
        <f>SUMIFS(order_items!D:D,order_items!C:C,inventory!B217)</f>
        <v>14</v>
      </c>
      <c r="J217" t="str">
        <f>IF(D217&gt;I217*3,"Overstock","OK")</f>
        <v>Overstock</v>
      </c>
      <c r="K217">
        <f>IFERROR(_xlfn.XLOOKUP(B217,purchase_orders!C:C,purchase_orders!I:I),0)</f>
        <v>0</v>
      </c>
      <c r="L217">
        <f>(D217+K217)/2</f>
        <v>135.5</v>
      </c>
      <c r="M217">
        <f t="shared" si="13"/>
        <v>0.1</v>
      </c>
      <c r="N217">
        <f>IFERROR(_xlfn.XLOOKUP(B217,products!A:A,products!E:E),0)</f>
        <v>23.47</v>
      </c>
      <c r="O217">
        <f t="shared" si="14"/>
        <v>6360.37</v>
      </c>
      <c r="P217" t="str">
        <f t="shared" si="15"/>
        <v>Normal</v>
      </c>
      <c r="Q217" t="str">
        <f>IFERROR(_xlfn.XLOOKUP(B217,reorder_point!B:B,reorder_point!I:I),"")</f>
        <v/>
      </c>
      <c r="R217" t="str">
        <f>_xlfn.XLOOKUP(B217,products!A:A,products!B:B)</f>
        <v>SKU-0105</v>
      </c>
    </row>
    <row r="218" spans="1:18">
      <c r="A218">
        <v>217</v>
      </c>
      <c r="B218">
        <v>106</v>
      </c>
      <c r="C218" t="s">
        <v>120</v>
      </c>
      <c r="D218">
        <v>13</v>
      </c>
      <c r="E218" s="1">
        <v>46112</v>
      </c>
      <c r="F218" s="1">
        <f>_xlfn.XLOOKUP(B218,purchase_orders!C:C,purchase_orders!G:G)</f>
        <v>46037</v>
      </c>
      <c r="G218" s="5">
        <f t="shared" ca="1" si="12"/>
        <v>127</v>
      </c>
      <c r="H218" s="2" t="str">
        <f ca="1">IF(G218&lt;=30,"0-30",IF(G218&lt;=60,"31-60",IF(G218&lt;=90,"61-90","90+")))</f>
        <v>90+</v>
      </c>
      <c r="I218">
        <f>SUMIFS(order_items!D:D,order_items!C:C,inventory!B218)</f>
        <v>34</v>
      </c>
      <c r="J218" t="str">
        <f>IF(D218&gt;I218*3,"Overstock","OK")</f>
        <v>OK</v>
      </c>
      <c r="K218">
        <f>IFERROR(_xlfn.XLOOKUP(B218,purchase_orders!C:C,purchase_orders!I:I),0)</f>
        <v>904</v>
      </c>
      <c r="L218">
        <f>(D218+K218)/2</f>
        <v>458.5</v>
      </c>
      <c r="M218">
        <f t="shared" si="13"/>
        <v>7.0000000000000007E-2</v>
      </c>
      <c r="N218" t="str">
        <f>IFERROR(_xlfn.XLOOKUP(B218,products!A:A,products!E:E),0)</f>
        <v>NULL</v>
      </c>
      <c r="O218">
        <f t="shared" si="14"/>
        <v>0</v>
      </c>
      <c r="P218" t="str">
        <f t="shared" si="15"/>
        <v>Normal</v>
      </c>
      <c r="Q218" t="str">
        <f>IFERROR(_xlfn.XLOOKUP(B218,reorder_point!B:B,reorder_point!I:I),"")</f>
        <v>OK</v>
      </c>
      <c r="R218" t="str">
        <f>_xlfn.XLOOKUP(B218,products!A:A,products!B:B)</f>
        <v>SKU-0106</v>
      </c>
    </row>
    <row r="219" spans="1:18">
      <c r="A219">
        <v>218</v>
      </c>
      <c r="B219">
        <v>106</v>
      </c>
      <c r="C219" t="s">
        <v>118</v>
      </c>
      <c r="D219">
        <v>265</v>
      </c>
      <c r="E219" s="1">
        <v>46108</v>
      </c>
      <c r="F219" s="1">
        <f>_xlfn.XLOOKUP(B219,purchase_orders!C:C,purchase_orders!G:G)</f>
        <v>46037</v>
      </c>
      <c r="G219" s="5">
        <f t="shared" ca="1" si="12"/>
        <v>127</v>
      </c>
      <c r="H219" s="2" t="str">
        <f ca="1">IF(G219&lt;=30,"0-30",IF(G219&lt;=60,"31-60",IF(G219&lt;=90,"61-90","90+")))</f>
        <v>90+</v>
      </c>
      <c r="I219">
        <f>SUMIFS(order_items!D:D,order_items!C:C,inventory!B219)</f>
        <v>34</v>
      </c>
      <c r="J219" t="str">
        <f>IF(D219&gt;I219*3,"Overstock","OK")</f>
        <v>Overstock</v>
      </c>
      <c r="K219">
        <f>IFERROR(_xlfn.XLOOKUP(B219,purchase_orders!C:C,purchase_orders!I:I),0)</f>
        <v>904</v>
      </c>
      <c r="L219">
        <f>(D219+K219)/2</f>
        <v>584.5</v>
      </c>
      <c r="M219">
        <f t="shared" si="13"/>
        <v>0.06</v>
      </c>
      <c r="N219" t="str">
        <f>IFERROR(_xlfn.XLOOKUP(B219,products!A:A,products!E:E),0)</f>
        <v>NULL</v>
      </c>
      <c r="O219">
        <f t="shared" si="14"/>
        <v>0</v>
      </c>
      <c r="P219" t="str">
        <f t="shared" si="15"/>
        <v>Normal</v>
      </c>
      <c r="Q219" t="str">
        <f>IFERROR(_xlfn.XLOOKUP(B219,reorder_point!B:B,reorder_point!I:I),"")</f>
        <v>OK</v>
      </c>
      <c r="R219" t="str">
        <f>_xlfn.XLOOKUP(B219,products!A:A,products!B:B)</f>
        <v>SKU-0106</v>
      </c>
    </row>
    <row r="220" spans="1:18">
      <c r="A220">
        <v>219</v>
      </c>
      <c r="B220">
        <v>106</v>
      </c>
      <c r="C220" t="s">
        <v>119</v>
      </c>
      <c r="D220">
        <v>60</v>
      </c>
      <c r="E220" s="1">
        <v>46127</v>
      </c>
      <c r="F220" s="1">
        <f>_xlfn.XLOOKUP(B220,purchase_orders!C:C,purchase_orders!G:G)</f>
        <v>46037</v>
      </c>
      <c r="G220" s="5">
        <f t="shared" ca="1" si="12"/>
        <v>127</v>
      </c>
      <c r="H220" s="2" t="str">
        <f ca="1">IF(G220&lt;=30,"0-30",IF(G220&lt;=60,"31-60",IF(G220&lt;=90,"61-90","90+")))</f>
        <v>90+</v>
      </c>
      <c r="I220">
        <f>SUMIFS(order_items!D:D,order_items!C:C,inventory!B220)</f>
        <v>34</v>
      </c>
      <c r="J220" t="str">
        <f>IF(D220&gt;I220*3,"Overstock","OK")</f>
        <v>OK</v>
      </c>
      <c r="K220">
        <f>IFERROR(_xlfn.XLOOKUP(B220,purchase_orders!C:C,purchase_orders!I:I),0)</f>
        <v>904</v>
      </c>
      <c r="L220">
        <f>(D220+K220)/2</f>
        <v>482</v>
      </c>
      <c r="M220">
        <f t="shared" si="13"/>
        <v>7.0000000000000007E-2</v>
      </c>
      <c r="N220" t="str">
        <f>IFERROR(_xlfn.XLOOKUP(B220,products!A:A,products!E:E),0)</f>
        <v>NULL</v>
      </c>
      <c r="O220">
        <f t="shared" si="14"/>
        <v>0</v>
      </c>
      <c r="P220" t="str">
        <f t="shared" si="15"/>
        <v>Normal</v>
      </c>
      <c r="Q220" t="str">
        <f>IFERROR(_xlfn.XLOOKUP(B220,reorder_point!B:B,reorder_point!I:I),"")</f>
        <v>OK</v>
      </c>
      <c r="R220" t="str">
        <f>_xlfn.XLOOKUP(B220,products!A:A,products!B:B)</f>
        <v>SKU-0106</v>
      </c>
    </row>
    <row r="221" spans="1:18">
      <c r="A221">
        <v>220</v>
      </c>
      <c r="B221">
        <v>107</v>
      </c>
      <c r="C221" t="s">
        <v>117</v>
      </c>
      <c r="D221">
        <v>146</v>
      </c>
      <c r="E221" s="1">
        <v>46112</v>
      </c>
      <c r="F221" s="1">
        <f>_xlfn.XLOOKUP(B221,purchase_orders!C:C,purchase_orders!G:G)</f>
        <v>46077</v>
      </c>
      <c r="G221" s="5">
        <f t="shared" ca="1" si="12"/>
        <v>87</v>
      </c>
      <c r="H221" s="2" t="str">
        <f ca="1">IF(G221&lt;=30,"0-30",IF(G221&lt;=60,"31-60",IF(G221&lt;=90,"61-90","90+")))</f>
        <v>61-90</v>
      </c>
      <c r="I221">
        <f>SUMIFS(order_items!D:D,order_items!C:C,inventory!B221)</f>
        <v>46</v>
      </c>
      <c r="J221" t="str">
        <f>IF(D221&gt;I221*3,"Overstock","OK")</f>
        <v>Overstock</v>
      </c>
      <c r="K221">
        <f>IFERROR(_xlfn.XLOOKUP(B221,purchase_orders!C:C,purchase_orders!I:I),0)</f>
        <v>152</v>
      </c>
      <c r="L221">
        <f>(D221+K221)/2</f>
        <v>149</v>
      </c>
      <c r="M221">
        <f t="shared" si="13"/>
        <v>0.31</v>
      </c>
      <c r="N221">
        <f>IFERROR(_xlfn.XLOOKUP(B221,products!A:A,products!E:E),0)</f>
        <v>81.23</v>
      </c>
      <c r="O221">
        <f t="shared" si="14"/>
        <v>11859.58</v>
      </c>
      <c r="P221" t="str">
        <f t="shared" si="15"/>
        <v>Normal</v>
      </c>
      <c r="Q221" t="str">
        <f>IFERROR(_xlfn.XLOOKUP(B221,reorder_point!B:B,reorder_point!I:I),"")</f>
        <v>OK</v>
      </c>
      <c r="R221" t="str">
        <f>_xlfn.XLOOKUP(B221,products!A:A,products!B:B)</f>
        <v>SKU-0107</v>
      </c>
    </row>
    <row r="222" spans="1:18">
      <c r="A222">
        <v>221</v>
      </c>
      <c r="B222">
        <v>107</v>
      </c>
      <c r="C222" t="s">
        <v>118</v>
      </c>
      <c r="D222">
        <v>102</v>
      </c>
      <c r="E222" s="1">
        <v>46089</v>
      </c>
      <c r="F222" s="1">
        <f>_xlfn.XLOOKUP(B222,purchase_orders!C:C,purchase_orders!G:G)</f>
        <v>46077</v>
      </c>
      <c r="G222" s="5">
        <f t="shared" ca="1" si="12"/>
        <v>87</v>
      </c>
      <c r="H222" s="2" t="str">
        <f ca="1">IF(G222&lt;=30,"0-30",IF(G222&lt;=60,"31-60",IF(G222&lt;=90,"61-90","90+")))</f>
        <v>61-90</v>
      </c>
      <c r="I222">
        <f>SUMIFS(order_items!D:D,order_items!C:C,inventory!B222)</f>
        <v>46</v>
      </c>
      <c r="J222" t="str">
        <f>IF(D222&gt;I222*3,"Overstock","OK")</f>
        <v>OK</v>
      </c>
      <c r="K222">
        <f>IFERROR(_xlfn.XLOOKUP(B222,purchase_orders!C:C,purchase_orders!I:I),0)</f>
        <v>152</v>
      </c>
      <c r="L222">
        <f>(D222+K222)/2</f>
        <v>127</v>
      </c>
      <c r="M222">
        <f t="shared" si="13"/>
        <v>0.36</v>
      </c>
      <c r="N222">
        <f>IFERROR(_xlfn.XLOOKUP(B222,products!A:A,products!E:E),0)</f>
        <v>81.23</v>
      </c>
      <c r="O222">
        <f t="shared" si="14"/>
        <v>8285.4600000000009</v>
      </c>
      <c r="P222" t="str">
        <f t="shared" si="15"/>
        <v>Normal</v>
      </c>
      <c r="Q222" t="str">
        <f>IFERROR(_xlfn.XLOOKUP(B222,reorder_point!B:B,reorder_point!I:I),"")</f>
        <v>OK</v>
      </c>
      <c r="R222" t="str">
        <f>_xlfn.XLOOKUP(B222,products!A:A,products!B:B)</f>
        <v>SKU-0107</v>
      </c>
    </row>
    <row r="223" spans="1:18">
      <c r="A223">
        <v>222</v>
      </c>
      <c r="B223">
        <v>107</v>
      </c>
      <c r="C223" t="s">
        <v>120</v>
      </c>
      <c r="D223">
        <v>37</v>
      </c>
      <c r="E223" s="1">
        <v>46086</v>
      </c>
      <c r="F223" s="1">
        <f>_xlfn.XLOOKUP(B223,purchase_orders!C:C,purchase_orders!G:G)</f>
        <v>46077</v>
      </c>
      <c r="G223" s="5">
        <f t="shared" ca="1" si="12"/>
        <v>87</v>
      </c>
      <c r="H223" s="2" t="str">
        <f ca="1">IF(G223&lt;=30,"0-30",IF(G223&lt;=60,"31-60",IF(G223&lt;=90,"61-90","90+")))</f>
        <v>61-90</v>
      </c>
      <c r="I223">
        <f>SUMIFS(order_items!D:D,order_items!C:C,inventory!B223)</f>
        <v>46</v>
      </c>
      <c r="J223" t="str">
        <f>IF(D223&gt;I223*3,"Overstock","OK")</f>
        <v>OK</v>
      </c>
      <c r="K223">
        <f>IFERROR(_xlfn.XLOOKUP(B223,purchase_orders!C:C,purchase_orders!I:I),0)</f>
        <v>152</v>
      </c>
      <c r="L223">
        <f>(D223+K223)/2</f>
        <v>94.5</v>
      </c>
      <c r="M223">
        <f t="shared" si="13"/>
        <v>0.49</v>
      </c>
      <c r="N223">
        <f>IFERROR(_xlfn.XLOOKUP(B223,products!A:A,products!E:E),0)</f>
        <v>81.23</v>
      </c>
      <c r="O223">
        <f t="shared" si="14"/>
        <v>3005.51</v>
      </c>
      <c r="P223" t="str">
        <f t="shared" si="15"/>
        <v>Normal</v>
      </c>
      <c r="Q223" t="str">
        <f>IFERROR(_xlfn.XLOOKUP(B223,reorder_point!B:B,reorder_point!I:I),"")</f>
        <v>OK</v>
      </c>
      <c r="R223" t="str">
        <f>_xlfn.XLOOKUP(B223,products!A:A,products!B:B)</f>
        <v>SKU-0107</v>
      </c>
    </row>
    <row r="224" spans="1:18">
      <c r="A224">
        <v>223</v>
      </c>
      <c r="B224">
        <v>108</v>
      </c>
      <c r="C224" t="s">
        <v>117</v>
      </c>
      <c r="D224">
        <v>349</v>
      </c>
      <c r="E224" s="1">
        <v>46123</v>
      </c>
      <c r="F224" s="1" t="str">
        <f>_xlfn.XLOOKUP(B224,purchase_orders!C:C,purchase_orders!G:G)</f>
        <v>NULL</v>
      </c>
      <c r="G224" s="5" t="e">
        <f t="shared" ca="1" si="12"/>
        <v>#VALUE!</v>
      </c>
      <c r="H224" s="2" t="e">
        <f ca="1">IF(G224&lt;=30,"0-30",IF(G224&lt;=60,"31-60",IF(G224&lt;=90,"61-90","90+")))</f>
        <v>#VALUE!</v>
      </c>
      <c r="I224">
        <f>SUMIFS(order_items!D:D,order_items!C:C,inventory!B224)</f>
        <v>37</v>
      </c>
      <c r="J224" t="str">
        <f>IF(D224&gt;I224*3,"Overstock","OK")</f>
        <v>Overstock</v>
      </c>
      <c r="K224">
        <f>IFERROR(_xlfn.XLOOKUP(B224,purchase_orders!C:C,purchase_orders!I:I),0)</f>
        <v>0</v>
      </c>
      <c r="L224">
        <f>(D224+K224)/2</f>
        <v>174.5</v>
      </c>
      <c r="M224">
        <f t="shared" si="13"/>
        <v>0.21</v>
      </c>
      <c r="N224">
        <f>IFERROR(_xlfn.XLOOKUP(B224,products!A:A,products!E:E),0)</f>
        <v>53.81</v>
      </c>
      <c r="O224">
        <f t="shared" si="14"/>
        <v>18779.690000000002</v>
      </c>
      <c r="P224" t="str">
        <f t="shared" si="15"/>
        <v>Normal</v>
      </c>
      <c r="Q224" t="str">
        <f>IFERROR(_xlfn.XLOOKUP(B224,reorder_point!B:B,reorder_point!I:I),"")</f>
        <v/>
      </c>
      <c r="R224" t="str">
        <f>_xlfn.XLOOKUP(B224,products!A:A,products!B:B)</f>
        <v>SKU-0108</v>
      </c>
    </row>
    <row r="225" spans="1:18">
      <c r="A225">
        <v>224</v>
      </c>
      <c r="B225">
        <v>108</v>
      </c>
      <c r="C225" t="s">
        <v>119</v>
      </c>
      <c r="D225">
        <v>341</v>
      </c>
      <c r="E225" s="1">
        <v>46139</v>
      </c>
      <c r="F225" s="1" t="str">
        <f>_xlfn.XLOOKUP(B225,purchase_orders!C:C,purchase_orders!G:G)</f>
        <v>NULL</v>
      </c>
      <c r="G225" s="5" t="e">
        <f t="shared" ca="1" si="12"/>
        <v>#VALUE!</v>
      </c>
      <c r="H225" s="2" t="e">
        <f ca="1">IF(G225&lt;=30,"0-30",IF(G225&lt;=60,"31-60",IF(G225&lt;=90,"61-90","90+")))</f>
        <v>#VALUE!</v>
      </c>
      <c r="I225">
        <f>SUMIFS(order_items!D:D,order_items!C:C,inventory!B225)</f>
        <v>37</v>
      </c>
      <c r="J225" t="str">
        <f>IF(D225&gt;I225*3,"Overstock","OK")</f>
        <v>Overstock</v>
      </c>
      <c r="K225">
        <f>IFERROR(_xlfn.XLOOKUP(B225,purchase_orders!C:C,purchase_orders!I:I),0)</f>
        <v>0</v>
      </c>
      <c r="L225">
        <f>(D225+K225)/2</f>
        <v>170.5</v>
      </c>
      <c r="M225">
        <f t="shared" si="13"/>
        <v>0.22</v>
      </c>
      <c r="N225">
        <f>IFERROR(_xlfn.XLOOKUP(B225,products!A:A,products!E:E),0)</f>
        <v>53.81</v>
      </c>
      <c r="O225">
        <f t="shared" si="14"/>
        <v>18349.21</v>
      </c>
      <c r="P225" t="str">
        <f t="shared" si="15"/>
        <v>Normal</v>
      </c>
      <c r="Q225" t="str">
        <f>IFERROR(_xlfn.XLOOKUP(B225,reorder_point!B:B,reorder_point!I:I),"")</f>
        <v/>
      </c>
      <c r="R225" t="str">
        <f>_xlfn.XLOOKUP(B225,products!A:A,products!B:B)</f>
        <v>SKU-0108</v>
      </c>
    </row>
    <row r="226" spans="1:18">
      <c r="A226">
        <v>225</v>
      </c>
      <c r="B226">
        <v>108</v>
      </c>
      <c r="C226" t="s">
        <v>117</v>
      </c>
      <c r="D226">
        <v>281</v>
      </c>
      <c r="E226" s="1">
        <v>46086</v>
      </c>
      <c r="F226" s="1" t="str">
        <f>_xlfn.XLOOKUP(B226,purchase_orders!C:C,purchase_orders!G:G)</f>
        <v>NULL</v>
      </c>
      <c r="G226" s="5" t="e">
        <f t="shared" ca="1" si="12"/>
        <v>#VALUE!</v>
      </c>
      <c r="H226" s="2" t="e">
        <f ca="1">IF(G226&lt;=30,"0-30",IF(G226&lt;=60,"31-60",IF(G226&lt;=90,"61-90","90+")))</f>
        <v>#VALUE!</v>
      </c>
      <c r="I226">
        <f>SUMIFS(order_items!D:D,order_items!C:C,inventory!B226)</f>
        <v>37</v>
      </c>
      <c r="J226" t="str">
        <f>IF(D226&gt;I226*3,"Overstock","OK")</f>
        <v>Overstock</v>
      </c>
      <c r="K226">
        <f>IFERROR(_xlfn.XLOOKUP(B226,purchase_orders!C:C,purchase_orders!I:I),0)</f>
        <v>0</v>
      </c>
      <c r="L226">
        <f>(D226+K226)/2</f>
        <v>140.5</v>
      </c>
      <c r="M226">
        <f t="shared" si="13"/>
        <v>0.26</v>
      </c>
      <c r="N226">
        <f>IFERROR(_xlfn.XLOOKUP(B226,products!A:A,products!E:E),0)</f>
        <v>53.81</v>
      </c>
      <c r="O226">
        <f t="shared" si="14"/>
        <v>15120.61</v>
      </c>
      <c r="P226" t="str">
        <f t="shared" si="15"/>
        <v>Normal</v>
      </c>
      <c r="Q226" t="str">
        <f>IFERROR(_xlfn.XLOOKUP(B226,reorder_point!B:B,reorder_point!I:I),"")</f>
        <v/>
      </c>
      <c r="R226" t="str">
        <f>_xlfn.XLOOKUP(B226,products!A:A,products!B:B)</f>
        <v>SKU-0108</v>
      </c>
    </row>
    <row r="227" spans="1:18">
      <c r="A227">
        <v>226</v>
      </c>
      <c r="B227">
        <v>109</v>
      </c>
      <c r="C227" t="s">
        <v>118</v>
      </c>
      <c r="D227">
        <v>406</v>
      </c>
      <c r="E227" s="1">
        <v>46129</v>
      </c>
      <c r="F227" s="1">
        <f>_xlfn.XLOOKUP(B227,purchase_orders!C:C,purchase_orders!G:G)</f>
        <v>46072</v>
      </c>
      <c r="G227" s="5">
        <f t="shared" ca="1" si="12"/>
        <v>92</v>
      </c>
      <c r="H227" s="2" t="str">
        <f ca="1">IF(G227&lt;=30,"0-30",IF(G227&lt;=60,"31-60",IF(G227&lt;=90,"61-90","90+")))</f>
        <v>90+</v>
      </c>
      <c r="I227">
        <f>SUMIFS(order_items!D:D,order_items!C:C,inventory!B227)</f>
        <v>56</v>
      </c>
      <c r="J227" t="str">
        <f>IF(D227&gt;I227*3,"Overstock","OK")</f>
        <v>Overstock</v>
      </c>
      <c r="K227">
        <f>IFERROR(_xlfn.XLOOKUP(B227,purchase_orders!C:C,purchase_orders!I:I),0)</f>
        <v>834</v>
      </c>
      <c r="L227">
        <f>(D227+K227)/2</f>
        <v>620</v>
      </c>
      <c r="M227">
        <f t="shared" si="13"/>
        <v>0.09</v>
      </c>
      <c r="N227">
        <f>IFERROR(_xlfn.XLOOKUP(B227,products!A:A,products!E:E),0)</f>
        <v>10.02</v>
      </c>
      <c r="O227">
        <f t="shared" si="14"/>
        <v>4068.12</v>
      </c>
      <c r="P227" t="str">
        <f t="shared" si="15"/>
        <v>Normal</v>
      </c>
      <c r="Q227" t="str">
        <f>IFERROR(_xlfn.XLOOKUP(B227,reorder_point!B:B,reorder_point!I:I),"")</f>
        <v>OK</v>
      </c>
      <c r="R227" t="str">
        <f>_xlfn.XLOOKUP(B227,products!A:A,products!B:B)</f>
        <v>SKU-0109</v>
      </c>
    </row>
    <row r="228" spans="1:18">
      <c r="A228">
        <v>227</v>
      </c>
      <c r="B228">
        <v>109</v>
      </c>
      <c r="C228" t="s">
        <v>121</v>
      </c>
      <c r="D228">
        <v>62</v>
      </c>
      <c r="E228" s="1">
        <v>46093</v>
      </c>
      <c r="F228" s="1">
        <f>_xlfn.XLOOKUP(B228,purchase_orders!C:C,purchase_orders!G:G)</f>
        <v>46072</v>
      </c>
      <c r="G228" s="5">
        <f t="shared" ca="1" si="12"/>
        <v>92</v>
      </c>
      <c r="H228" s="2" t="str">
        <f ca="1">IF(G228&lt;=30,"0-30",IF(G228&lt;=60,"31-60",IF(G228&lt;=90,"61-90","90+")))</f>
        <v>90+</v>
      </c>
      <c r="I228">
        <f>SUMIFS(order_items!D:D,order_items!C:C,inventory!B228)</f>
        <v>56</v>
      </c>
      <c r="J228" t="str">
        <f>IF(D228&gt;I228*3,"Overstock","OK")</f>
        <v>OK</v>
      </c>
      <c r="K228">
        <f>IFERROR(_xlfn.XLOOKUP(B228,purchase_orders!C:C,purchase_orders!I:I),0)</f>
        <v>834</v>
      </c>
      <c r="L228">
        <f>(D228+K228)/2</f>
        <v>448</v>
      </c>
      <c r="M228">
        <f t="shared" si="13"/>
        <v>0.13</v>
      </c>
      <c r="N228">
        <f>IFERROR(_xlfn.XLOOKUP(B228,products!A:A,products!E:E),0)</f>
        <v>10.02</v>
      </c>
      <c r="O228">
        <f t="shared" si="14"/>
        <v>621.24</v>
      </c>
      <c r="P228" t="str">
        <f t="shared" si="15"/>
        <v>Normal</v>
      </c>
      <c r="Q228" t="str">
        <f>IFERROR(_xlfn.XLOOKUP(B228,reorder_point!B:B,reorder_point!I:I),"")</f>
        <v>OK</v>
      </c>
      <c r="R228" t="str">
        <f>_xlfn.XLOOKUP(B228,products!A:A,products!B:B)</f>
        <v>SKU-0109</v>
      </c>
    </row>
    <row r="229" spans="1:18">
      <c r="A229">
        <v>228</v>
      </c>
      <c r="B229">
        <v>110</v>
      </c>
      <c r="C229" t="s">
        <v>118</v>
      </c>
      <c r="D229">
        <v>404</v>
      </c>
      <c r="E229" s="1">
        <v>46120</v>
      </c>
      <c r="F229" s="1">
        <f>_xlfn.XLOOKUP(B229,purchase_orders!C:C,purchase_orders!G:G)</f>
        <v>46187</v>
      </c>
      <c r="G229" s="5">
        <f t="shared" ca="1" si="12"/>
        <v>-23</v>
      </c>
      <c r="H229" s="2" t="str">
        <f ca="1">IF(G229&lt;=30,"0-30",IF(G229&lt;=60,"31-60",IF(G229&lt;=90,"61-90","90+")))</f>
        <v>0-30</v>
      </c>
      <c r="I229">
        <f>SUMIFS(order_items!D:D,order_items!C:C,inventory!B229)</f>
        <v>38</v>
      </c>
      <c r="J229" t="str">
        <f>IF(D229&gt;I229*3,"Overstock","OK")</f>
        <v>Overstock</v>
      </c>
      <c r="K229">
        <f>IFERROR(_xlfn.XLOOKUP(B229,purchase_orders!C:C,purchase_orders!I:I),0)</f>
        <v>398</v>
      </c>
      <c r="L229">
        <f>(D229+K229)/2</f>
        <v>401</v>
      </c>
      <c r="M229">
        <f t="shared" si="13"/>
        <v>0.09</v>
      </c>
      <c r="N229">
        <f>IFERROR(_xlfn.XLOOKUP(B229,products!A:A,products!E:E),0)</f>
        <v>144.62</v>
      </c>
      <c r="O229">
        <f t="shared" si="14"/>
        <v>58426.48</v>
      </c>
      <c r="P229" t="str">
        <f t="shared" si="15"/>
        <v>Normal</v>
      </c>
      <c r="Q229" t="str">
        <f>IFERROR(_xlfn.XLOOKUP(B229,reorder_point!B:B,reorder_point!I:I),"")</f>
        <v>OK</v>
      </c>
      <c r="R229" t="str">
        <f>_xlfn.XLOOKUP(B229,products!A:A,products!B:B)</f>
        <v>SKU-0110</v>
      </c>
    </row>
    <row r="230" spans="1:18">
      <c r="A230">
        <v>229</v>
      </c>
      <c r="B230">
        <v>111</v>
      </c>
      <c r="C230" t="s">
        <v>122</v>
      </c>
      <c r="D230">
        <v>282</v>
      </c>
      <c r="E230" s="1">
        <v>46087</v>
      </c>
      <c r="F230" s="1" t="str">
        <f>_xlfn.XLOOKUP(B230,purchase_orders!C:C,purchase_orders!G:G)</f>
        <v>NULL</v>
      </c>
      <c r="G230" s="5" t="e">
        <f t="shared" ca="1" si="12"/>
        <v>#VALUE!</v>
      </c>
      <c r="H230" s="2" t="e">
        <f ca="1">IF(G230&lt;=30,"0-30",IF(G230&lt;=60,"31-60",IF(G230&lt;=90,"61-90","90+")))</f>
        <v>#VALUE!</v>
      </c>
      <c r="I230">
        <f>SUMIFS(order_items!D:D,order_items!C:C,inventory!B230)</f>
        <v>22</v>
      </c>
      <c r="J230" t="str">
        <f>IF(D230&gt;I230*3,"Overstock","OK")</f>
        <v>Overstock</v>
      </c>
      <c r="K230">
        <f>IFERROR(_xlfn.XLOOKUP(B230,purchase_orders!C:C,purchase_orders!I:I),0)</f>
        <v>0</v>
      </c>
      <c r="L230">
        <f>(D230+K230)/2</f>
        <v>141</v>
      </c>
      <c r="M230">
        <f t="shared" si="13"/>
        <v>0.16</v>
      </c>
      <c r="N230">
        <f>IFERROR(_xlfn.XLOOKUP(B230,products!A:A,products!E:E),0)</f>
        <v>170.91</v>
      </c>
      <c r="O230">
        <f t="shared" si="14"/>
        <v>48196.62</v>
      </c>
      <c r="P230" t="str">
        <f t="shared" si="15"/>
        <v>Normal</v>
      </c>
      <c r="Q230" t="str">
        <f>IFERROR(_xlfn.XLOOKUP(B230,reorder_point!B:B,reorder_point!I:I),"")</f>
        <v/>
      </c>
      <c r="R230" t="str">
        <f>_xlfn.XLOOKUP(B230,products!A:A,products!B:B)</f>
        <v>SKU0111</v>
      </c>
    </row>
    <row r="231" spans="1:18">
      <c r="A231">
        <v>230</v>
      </c>
      <c r="B231">
        <v>111</v>
      </c>
      <c r="C231" t="s">
        <v>117</v>
      </c>
      <c r="D231">
        <v>44</v>
      </c>
      <c r="E231" s="1">
        <v>46118</v>
      </c>
      <c r="F231" s="1" t="str">
        <f>_xlfn.XLOOKUP(B231,purchase_orders!C:C,purchase_orders!G:G)</f>
        <v>NULL</v>
      </c>
      <c r="G231" s="5" t="e">
        <f t="shared" ca="1" si="12"/>
        <v>#VALUE!</v>
      </c>
      <c r="H231" s="2" t="e">
        <f ca="1">IF(G231&lt;=30,"0-30",IF(G231&lt;=60,"31-60",IF(G231&lt;=90,"61-90","90+")))</f>
        <v>#VALUE!</v>
      </c>
      <c r="I231">
        <f>SUMIFS(order_items!D:D,order_items!C:C,inventory!B231)</f>
        <v>22</v>
      </c>
      <c r="J231" t="str">
        <f>IF(D231&gt;I231*3,"Overstock","OK")</f>
        <v>OK</v>
      </c>
      <c r="K231">
        <f>IFERROR(_xlfn.XLOOKUP(B231,purchase_orders!C:C,purchase_orders!I:I),0)</f>
        <v>0</v>
      </c>
      <c r="L231">
        <f>(D231+K231)/2</f>
        <v>22</v>
      </c>
      <c r="M231">
        <f t="shared" si="13"/>
        <v>1</v>
      </c>
      <c r="N231">
        <f>IFERROR(_xlfn.XLOOKUP(B231,products!A:A,products!E:E),0)</f>
        <v>170.91</v>
      </c>
      <c r="O231">
        <f t="shared" si="14"/>
        <v>7520.04</v>
      </c>
      <c r="P231" t="str">
        <f t="shared" si="15"/>
        <v>Normal</v>
      </c>
      <c r="Q231" t="str">
        <f>IFERROR(_xlfn.XLOOKUP(B231,reorder_point!B:B,reorder_point!I:I),"")</f>
        <v/>
      </c>
      <c r="R231" t="str">
        <f>_xlfn.XLOOKUP(B231,products!A:A,products!B:B)</f>
        <v>SKU0111</v>
      </c>
    </row>
    <row r="232" spans="1:18">
      <c r="A232">
        <v>231</v>
      </c>
      <c r="B232">
        <v>111</v>
      </c>
      <c r="C232" t="s">
        <v>117</v>
      </c>
      <c r="D232">
        <v>367</v>
      </c>
      <c r="E232" s="1">
        <v>46110</v>
      </c>
      <c r="F232" s="1" t="str">
        <f>_xlfn.XLOOKUP(B232,purchase_orders!C:C,purchase_orders!G:G)</f>
        <v>NULL</v>
      </c>
      <c r="G232" s="5" t="e">
        <f t="shared" ca="1" si="12"/>
        <v>#VALUE!</v>
      </c>
      <c r="H232" s="2" t="e">
        <f ca="1">IF(G232&lt;=30,"0-30",IF(G232&lt;=60,"31-60",IF(G232&lt;=90,"61-90","90+")))</f>
        <v>#VALUE!</v>
      </c>
      <c r="I232">
        <f>SUMIFS(order_items!D:D,order_items!C:C,inventory!B232)</f>
        <v>22</v>
      </c>
      <c r="J232" t="str">
        <f>IF(D232&gt;I232*3,"Overstock","OK")</f>
        <v>Overstock</v>
      </c>
      <c r="K232">
        <f>IFERROR(_xlfn.XLOOKUP(B232,purchase_orders!C:C,purchase_orders!I:I),0)</f>
        <v>0</v>
      </c>
      <c r="L232">
        <f>(D232+K232)/2</f>
        <v>183.5</v>
      </c>
      <c r="M232">
        <f t="shared" si="13"/>
        <v>0.12</v>
      </c>
      <c r="N232">
        <f>IFERROR(_xlfn.XLOOKUP(B232,products!A:A,products!E:E),0)</f>
        <v>170.91</v>
      </c>
      <c r="O232">
        <f t="shared" si="14"/>
        <v>62723.97</v>
      </c>
      <c r="P232" t="str">
        <f t="shared" si="15"/>
        <v>Normal</v>
      </c>
      <c r="Q232" t="str">
        <f>IFERROR(_xlfn.XLOOKUP(B232,reorder_point!B:B,reorder_point!I:I),"")</f>
        <v/>
      </c>
      <c r="R232" t="str">
        <f>_xlfn.XLOOKUP(B232,products!A:A,products!B:B)</f>
        <v>SKU0111</v>
      </c>
    </row>
    <row r="233" spans="1:18">
      <c r="A233">
        <v>232</v>
      </c>
      <c r="B233">
        <v>112</v>
      </c>
      <c r="C233" t="s">
        <v>117</v>
      </c>
      <c r="D233">
        <v>64</v>
      </c>
      <c r="E233" s="1">
        <v>46102</v>
      </c>
      <c r="F233" s="1">
        <f>_xlfn.XLOOKUP(B233,purchase_orders!C:C,purchase_orders!G:G)</f>
        <v>46039</v>
      </c>
      <c r="G233" s="5">
        <f t="shared" ca="1" si="12"/>
        <v>125</v>
      </c>
      <c r="H233" s="2" t="str">
        <f ca="1">IF(G233&lt;=30,"0-30",IF(G233&lt;=60,"31-60",IF(G233&lt;=90,"61-90","90+")))</f>
        <v>90+</v>
      </c>
      <c r="I233">
        <f>SUMIFS(order_items!D:D,order_items!C:C,inventory!B233)</f>
        <v>41</v>
      </c>
      <c r="J233" t="str">
        <f>IF(D233&gt;I233*3,"Overstock","OK")</f>
        <v>OK</v>
      </c>
      <c r="K233">
        <f>IFERROR(_xlfn.XLOOKUP(B233,purchase_orders!C:C,purchase_orders!I:I),0)</f>
        <v>905</v>
      </c>
      <c r="L233">
        <f>(D233+K233)/2</f>
        <v>484.5</v>
      </c>
      <c r="M233">
        <f t="shared" si="13"/>
        <v>0.08</v>
      </c>
      <c r="N233">
        <f>IFERROR(_xlfn.XLOOKUP(B233,products!A:A,products!E:E),0)</f>
        <v>118.03</v>
      </c>
      <c r="O233">
        <f t="shared" si="14"/>
        <v>7553.92</v>
      </c>
      <c r="P233" t="str">
        <f t="shared" si="15"/>
        <v>Normal</v>
      </c>
      <c r="Q233" t="str">
        <f>IFERROR(_xlfn.XLOOKUP(B233,reorder_point!B:B,reorder_point!I:I),"")</f>
        <v>OK</v>
      </c>
      <c r="R233" t="str">
        <f>_xlfn.XLOOKUP(B233,products!A:A,products!B:B)</f>
        <v>SKU-0112</v>
      </c>
    </row>
    <row r="234" spans="1:18">
      <c r="A234">
        <v>233</v>
      </c>
      <c r="B234">
        <v>112</v>
      </c>
      <c r="C234" t="s">
        <v>119</v>
      </c>
      <c r="D234">
        <v>37</v>
      </c>
      <c r="E234" s="1">
        <v>46100</v>
      </c>
      <c r="F234" s="1">
        <f>_xlfn.XLOOKUP(B234,purchase_orders!C:C,purchase_orders!G:G)</f>
        <v>46039</v>
      </c>
      <c r="G234" s="5">
        <f t="shared" ca="1" si="12"/>
        <v>125</v>
      </c>
      <c r="H234" s="2" t="str">
        <f ca="1">IF(G234&lt;=30,"0-30",IF(G234&lt;=60,"31-60",IF(G234&lt;=90,"61-90","90+")))</f>
        <v>90+</v>
      </c>
      <c r="I234">
        <f>SUMIFS(order_items!D:D,order_items!C:C,inventory!B234)</f>
        <v>41</v>
      </c>
      <c r="J234" t="str">
        <f>IF(D234&gt;I234*3,"Overstock","OK")</f>
        <v>OK</v>
      </c>
      <c r="K234">
        <f>IFERROR(_xlfn.XLOOKUP(B234,purchase_orders!C:C,purchase_orders!I:I),0)</f>
        <v>905</v>
      </c>
      <c r="L234">
        <f>(D234+K234)/2</f>
        <v>471</v>
      </c>
      <c r="M234">
        <f t="shared" si="13"/>
        <v>0.09</v>
      </c>
      <c r="N234">
        <f>IFERROR(_xlfn.XLOOKUP(B234,products!A:A,products!E:E),0)</f>
        <v>118.03</v>
      </c>
      <c r="O234">
        <f t="shared" si="14"/>
        <v>4367.1099999999997</v>
      </c>
      <c r="P234" t="str">
        <f t="shared" si="15"/>
        <v>Normal</v>
      </c>
      <c r="Q234" t="str">
        <f>IFERROR(_xlfn.XLOOKUP(B234,reorder_point!B:B,reorder_point!I:I),"")</f>
        <v>OK</v>
      </c>
      <c r="R234" t="str">
        <f>_xlfn.XLOOKUP(B234,products!A:A,products!B:B)</f>
        <v>SKU-0112</v>
      </c>
    </row>
    <row r="235" spans="1:18">
      <c r="A235">
        <v>234</v>
      </c>
      <c r="B235">
        <v>113</v>
      </c>
      <c r="C235" t="s">
        <v>122</v>
      </c>
      <c r="D235">
        <v>399</v>
      </c>
      <c r="E235" s="1">
        <v>46106</v>
      </c>
      <c r="F235" s="1">
        <f>_xlfn.XLOOKUP(B235,purchase_orders!C:C,purchase_orders!G:G)</f>
        <v>46133</v>
      </c>
      <c r="G235" s="5">
        <f t="shared" ca="1" si="12"/>
        <v>31</v>
      </c>
      <c r="H235" s="2" t="str">
        <f ca="1">IF(G235&lt;=30,"0-30",IF(G235&lt;=60,"31-60",IF(G235&lt;=90,"61-90","90+")))</f>
        <v>31-60</v>
      </c>
      <c r="I235">
        <f>SUMIFS(order_items!D:D,order_items!C:C,inventory!B235)</f>
        <v>21</v>
      </c>
      <c r="J235" t="str">
        <f>IF(D235&gt;I235*3,"Overstock","OK")</f>
        <v>Overstock</v>
      </c>
      <c r="K235">
        <f>IFERROR(_xlfn.XLOOKUP(B235,purchase_orders!C:C,purchase_orders!I:I),0)</f>
        <v>845</v>
      </c>
      <c r="L235">
        <f>(D235+K235)/2</f>
        <v>622</v>
      </c>
      <c r="M235">
        <f t="shared" si="13"/>
        <v>0.03</v>
      </c>
      <c r="N235">
        <f>IFERROR(_xlfn.XLOOKUP(B235,products!A:A,products!E:E),0)</f>
        <v>75.77</v>
      </c>
      <c r="O235">
        <f t="shared" si="14"/>
        <v>30232.23</v>
      </c>
      <c r="P235" t="str">
        <f t="shared" si="15"/>
        <v>Normal</v>
      </c>
      <c r="Q235" t="str">
        <f>IFERROR(_xlfn.XLOOKUP(B235,reorder_point!B:B,reorder_point!I:I),"")</f>
        <v>OK</v>
      </c>
      <c r="R235" t="str">
        <f>_xlfn.XLOOKUP(B235,products!A:A,products!B:B)</f>
        <v>SKU-0113</v>
      </c>
    </row>
    <row r="236" spans="1:18">
      <c r="A236">
        <v>235</v>
      </c>
      <c r="B236">
        <v>113</v>
      </c>
      <c r="C236" t="s">
        <v>118</v>
      </c>
      <c r="D236">
        <v>93</v>
      </c>
      <c r="E236" s="1">
        <v>46135</v>
      </c>
      <c r="F236" s="1">
        <f>_xlfn.XLOOKUP(B236,purchase_orders!C:C,purchase_orders!G:G)</f>
        <v>46133</v>
      </c>
      <c r="G236" s="5">
        <f t="shared" ca="1" si="12"/>
        <v>31</v>
      </c>
      <c r="H236" s="2" t="str">
        <f ca="1">IF(G236&lt;=30,"0-30",IF(G236&lt;=60,"31-60",IF(G236&lt;=90,"61-90","90+")))</f>
        <v>31-60</v>
      </c>
      <c r="I236">
        <f>SUMIFS(order_items!D:D,order_items!C:C,inventory!B236)</f>
        <v>21</v>
      </c>
      <c r="J236" t="str">
        <f>IF(D236&gt;I236*3,"Overstock","OK")</f>
        <v>Overstock</v>
      </c>
      <c r="K236">
        <f>IFERROR(_xlfn.XLOOKUP(B236,purchase_orders!C:C,purchase_orders!I:I),0)</f>
        <v>845</v>
      </c>
      <c r="L236">
        <f>(D236+K236)/2</f>
        <v>469</v>
      </c>
      <c r="M236">
        <f t="shared" si="13"/>
        <v>0.04</v>
      </c>
      <c r="N236">
        <f>IFERROR(_xlfn.XLOOKUP(B236,products!A:A,products!E:E),0)</f>
        <v>75.77</v>
      </c>
      <c r="O236">
        <f t="shared" si="14"/>
        <v>7046.61</v>
      </c>
      <c r="P236" t="str">
        <f t="shared" si="15"/>
        <v>Normal</v>
      </c>
      <c r="Q236" t="str">
        <f>IFERROR(_xlfn.XLOOKUP(B236,reorder_point!B:B,reorder_point!I:I),"")</f>
        <v>OK</v>
      </c>
      <c r="R236" t="str">
        <f>_xlfn.XLOOKUP(B236,products!A:A,products!B:B)</f>
        <v>SKU-0113</v>
      </c>
    </row>
    <row r="237" spans="1:18">
      <c r="A237">
        <v>236</v>
      </c>
      <c r="B237">
        <v>113</v>
      </c>
      <c r="C237" t="s">
        <v>117</v>
      </c>
      <c r="D237">
        <v>221</v>
      </c>
      <c r="E237" s="1">
        <v>46088</v>
      </c>
      <c r="F237" s="1">
        <f>_xlfn.XLOOKUP(B237,purchase_orders!C:C,purchase_orders!G:G)</f>
        <v>46133</v>
      </c>
      <c r="G237" s="5">
        <f t="shared" ca="1" si="12"/>
        <v>31</v>
      </c>
      <c r="H237" s="2" t="str">
        <f ca="1">IF(G237&lt;=30,"0-30",IF(G237&lt;=60,"31-60",IF(G237&lt;=90,"61-90","90+")))</f>
        <v>31-60</v>
      </c>
      <c r="I237">
        <f>SUMIFS(order_items!D:D,order_items!C:C,inventory!B237)</f>
        <v>21</v>
      </c>
      <c r="J237" t="str">
        <f>IF(D237&gt;I237*3,"Overstock","OK")</f>
        <v>Overstock</v>
      </c>
      <c r="K237">
        <f>IFERROR(_xlfn.XLOOKUP(B237,purchase_orders!C:C,purchase_orders!I:I),0)</f>
        <v>845</v>
      </c>
      <c r="L237">
        <f>(D237+K237)/2</f>
        <v>533</v>
      </c>
      <c r="M237">
        <f t="shared" si="13"/>
        <v>0.04</v>
      </c>
      <c r="N237">
        <f>IFERROR(_xlfn.XLOOKUP(B237,products!A:A,products!E:E),0)</f>
        <v>75.77</v>
      </c>
      <c r="O237">
        <f t="shared" si="14"/>
        <v>16745.169999999998</v>
      </c>
      <c r="P237" t="str">
        <f t="shared" si="15"/>
        <v>Normal</v>
      </c>
      <c r="Q237" t="str">
        <f>IFERROR(_xlfn.XLOOKUP(B237,reorder_point!B:B,reorder_point!I:I),"")</f>
        <v>OK</v>
      </c>
      <c r="R237" t="str">
        <f>_xlfn.XLOOKUP(B237,products!A:A,products!B:B)</f>
        <v>SKU-0113</v>
      </c>
    </row>
    <row r="238" spans="1:18">
      <c r="A238">
        <v>237</v>
      </c>
      <c r="B238">
        <v>114</v>
      </c>
      <c r="C238" t="s">
        <v>119</v>
      </c>
      <c r="D238">
        <v>265</v>
      </c>
      <c r="E238" s="1">
        <v>46133</v>
      </c>
      <c r="F238" s="1">
        <f>_xlfn.XLOOKUP(B238,purchase_orders!C:C,purchase_orders!G:G)</f>
        <v>46045</v>
      </c>
      <c r="G238" s="5">
        <f t="shared" ca="1" si="12"/>
        <v>119</v>
      </c>
      <c r="H238" s="2" t="str">
        <f ca="1">IF(G238&lt;=30,"0-30",IF(G238&lt;=60,"31-60",IF(G238&lt;=90,"61-90","90+")))</f>
        <v>90+</v>
      </c>
      <c r="I238">
        <f>SUMIFS(order_items!D:D,order_items!C:C,inventory!B238)</f>
        <v>25</v>
      </c>
      <c r="J238" t="str">
        <f>IF(D238&gt;I238*3,"Overstock","OK")</f>
        <v>Overstock</v>
      </c>
      <c r="K238">
        <f>IFERROR(_xlfn.XLOOKUP(B238,purchase_orders!C:C,purchase_orders!I:I),0)</f>
        <v>518</v>
      </c>
      <c r="L238">
        <f>(D238+K238)/2</f>
        <v>391.5</v>
      </c>
      <c r="M238">
        <f t="shared" si="13"/>
        <v>0.06</v>
      </c>
      <c r="N238">
        <f>IFERROR(_xlfn.XLOOKUP(B238,products!A:A,products!E:E),0)</f>
        <v>179.41</v>
      </c>
      <c r="O238">
        <f t="shared" si="14"/>
        <v>47543.65</v>
      </c>
      <c r="P238" t="str">
        <f t="shared" si="15"/>
        <v>Normal</v>
      </c>
      <c r="Q238" t="str">
        <f>IFERROR(_xlfn.XLOOKUP(B238,reorder_point!B:B,reorder_point!I:I),"")</f>
        <v>OK</v>
      </c>
      <c r="R238" t="str">
        <f>_xlfn.XLOOKUP(B238,products!A:A,products!B:B)</f>
        <v>SKU-0114</v>
      </c>
    </row>
    <row r="239" spans="1:18">
      <c r="A239">
        <v>238</v>
      </c>
      <c r="B239">
        <v>115</v>
      </c>
      <c r="C239" t="s">
        <v>122</v>
      </c>
      <c r="D239">
        <v>478</v>
      </c>
      <c r="E239" s="1">
        <v>46121</v>
      </c>
      <c r="F239" s="1">
        <f>_xlfn.XLOOKUP(B239,purchase_orders!C:C,purchase_orders!G:G)</f>
        <v>46027</v>
      </c>
      <c r="G239" s="5">
        <f t="shared" ca="1" si="12"/>
        <v>137</v>
      </c>
      <c r="H239" s="2" t="str">
        <f ca="1">IF(G239&lt;=30,"0-30",IF(G239&lt;=60,"31-60",IF(G239&lt;=90,"61-90","90+")))</f>
        <v>90+</v>
      </c>
      <c r="I239">
        <f>SUMIFS(order_items!D:D,order_items!C:C,inventory!B239)</f>
        <v>22</v>
      </c>
      <c r="J239" t="str">
        <f>IF(D239&gt;I239*3,"Overstock","OK")</f>
        <v>Overstock</v>
      </c>
      <c r="K239">
        <f>IFERROR(_xlfn.XLOOKUP(B239,purchase_orders!C:C,purchase_orders!I:I),0)</f>
        <v>922</v>
      </c>
      <c r="L239">
        <f>(D239+K239)/2</f>
        <v>700</v>
      </c>
      <c r="M239">
        <f t="shared" si="13"/>
        <v>0.03</v>
      </c>
      <c r="N239">
        <f>IFERROR(_xlfn.XLOOKUP(B239,products!A:A,products!E:E),0)</f>
        <v>58.66</v>
      </c>
      <c r="O239">
        <f t="shared" si="14"/>
        <v>28039.48</v>
      </c>
      <c r="P239" t="str">
        <f t="shared" si="15"/>
        <v>Normal</v>
      </c>
      <c r="Q239" t="str">
        <f>IFERROR(_xlfn.XLOOKUP(B239,reorder_point!B:B,reorder_point!I:I),"")</f>
        <v>OK</v>
      </c>
      <c r="R239" t="str">
        <f>_xlfn.XLOOKUP(B239,products!A:A,products!B:B)</f>
        <v>SKU-0115</v>
      </c>
    </row>
    <row r="240" spans="1:18">
      <c r="A240">
        <v>239</v>
      </c>
      <c r="B240">
        <v>116</v>
      </c>
      <c r="C240" t="s">
        <v>120</v>
      </c>
      <c r="D240">
        <v>100</v>
      </c>
      <c r="E240" s="1">
        <v>46108</v>
      </c>
      <c r="F240" s="1">
        <f>_xlfn.XLOOKUP(B240,purchase_orders!C:C,purchase_orders!G:G)</f>
        <v>46153</v>
      </c>
      <c r="G240" s="5">
        <f t="shared" ca="1" si="12"/>
        <v>11</v>
      </c>
      <c r="H240" s="2" t="str">
        <f ca="1">IF(G240&lt;=30,"0-30",IF(G240&lt;=60,"31-60",IF(G240&lt;=90,"61-90","90+")))</f>
        <v>0-30</v>
      </c>
      <c r="I240">
        <f>SUMIFS(order_items!D:D,order_items!C:C,inventory!B240)</f>
        <v>14</v>
      </c>
      <c r="J240" t="str">
        <f>IF(D240&gt;I240*3,"Overstock","OK")</f>
        <v>Overstock</v>
      </c>
      <c r="K240">
        <f>IFERROR(_xlfn.XLOOKUP(B240,purchase_orders!C:C,purchase_orders!I:I),0)</f>
        <v>500</v>
      </c>
      <c r="L240">
        <f>(D240+K240)/2</f>
        <v>300</v>
      </c>
      <c r="M240">
        <f t="shared" si="13"/>
        <v>0.05</v>
      </c>
      <c r="N240">
        <f>IFERROR(_xlfn.XLOOKUP(B240,products!A:A,products!E:E),0)</f>
        <v>171.4</v>
      </c>
      <c r="O240">
        <f t="shared" si="14"/>
        <v>17140</v>
      </c>
      <c r="P240" t="str">
        <f t="shared" si="15"/>
        <v>Normal</v>
      </c>
      <c r="Q240" t="str">
        <f>IFERROR(_xlfn.XLOOKUP(B240,reorder_point!B:B,reorder_point!I:I),"")</f>
        <v>OK</v>
      </c>
      <c r="R240" t="str">
        <f>_xlfn.XLOOKUP(B240,products!A:A,products!B:B)</f>
        <v>SKU-0116</v>
      </c>
    </row>
    <row r="241" spans="1:18">
      <c r="A241">
        <v>240</v>
      </c>
      <c r="B241">
        <v>116</v>
      </c>
      <c r="C241" t="s">
        <v>119</v>
      </c>
      <c r="D241">
        <v>140</v>
      </c>
      <c r="E241" s="1">
        <v>46124</v>
      </c>
      <c r="F241" s="1">
        <f>_xlfn.XLOOKUP(B241,purchase_orders!C:C,purchase_orders!G:G)</f>
        <v>46153</v>
      </c>
      <c r="G241" s="5">
        <f t="shared" ca="1" si="12"/>
        <v>11</v>
      </c>
      <c r="H241" s="2" t="str">
        <f ca="1">IF(G241&lt;=30,"0-30",IF(G241&lt;=60,"31-60",IF(G241&lt;=90,"61-90","90+")))</f>
        <v>0-30</v>
      </c>
      <c r="I241">
        <f>SUMIFS(order_items!D:D,order_items!C:C,inventory!B241)</f>
        <v>14</v>
      </c>
      <c r="J241" t="str">
        <f>IF(D241&gt;I241*3,"Overstock","OK")</f>
        <v>Overstock</v>
      </c>
      <c r="K241">
        <f>IFERROR(_xlfn.XLOOKUP(B241,purchase_orders!C:C,purchase_orders!I:I),0)</f>
        <v>500</v>
      </c>
      <c r="L241">
        <f>(D241+K241)/2</f>
        <v>320</v>
      </c>
      <c r="M241">
        <f t="shared" si="13"/>
        <v>0.04</v>
      </c>
      <c r="N241">
        <f>IFERROR(_xlfn.XLOOKUP(B241,products!A:A,products!E:E),0)</f>
        <v>171.4</v>
      </c>
      <c r="O241">
        <f t="shared" si="14"/>
        <v>23996</v>
      </c>
      <c r="P241" t="str">
        <f t="shared" si="15"/>
        <v>Normal</v>
      </c>
      <c r="Q241" t="str">
        <f>IFERROR(_xlfn.XLOOKUP(B241,reorder_point!B:B,reorder_point!I:I),"")</f>
        <v>OK</v>
      </c>
      <c r="R241" t="str">
        <f>_xlfn.XLOOKUP(B241,products!A:A,products!B:B)</f>
        <v>SKU-0116</v>
      </c>
    </row>
    <row r="242" spans="1:18">
      <c r="A242">
        <v>241</v>
      </c>
      <c r="B242">
        <v>116</v>
      </c>
      <c r="C242" t="s">
        <v>118</v>
      </c>
      <c r="D242">
        <v>314</v>
      </c>
      <c r="E242" s="1">
        <v>46111</v>
      </c>
      <c r="F242" s="1">
        <f>_xlfn.XLOOKUP(B242,purchase_orders!C:C,purchase_orders!G:G)</f>
        <v>46153</v>
      </c>
      <c r="G242" s="5">
        <f t="shared" ca="1" si="12"/>
        <v>11</v>
      </c>
      <c r="H242" s="2" t="str">
        <f ca="1">IF(G242&lt;=30,"0-30",IF(G242&lt;=60,"31-60",IF(G242&lt;=90,"61-90","90+")))</f>
        <v>0-30</v>
      </c>
      <c r="I242">
        <f>SUMIFS(order_items!D:D,order_items!C:C,inventory!B242)</f>
        <v>14</v>
      </c>
      <c r="J242" t="str">
        <f>IF(D242&gt;I242*3,"Overstock","OK")</f>
        <v>Overstock</v>
      </c>
      <c r="K242">
        <f>IFERROR(_xlfn.XLOOKUP(B242,purchase_orders!C:C,purchase_orders!I:I),0)</f>
        <v>500</v>
      </c>
      <c r="L242">
        <f>(D242+K242)/2</f>
        <v>407</v>
      </c>
      <c r="M242">
        <f t="shared" si="13"/>
        <v>0.03</v>
      </c>
      <c r="N242">
        <f>IFERROR(_xlfn.XLOOKUP(B242,products!A:A,products!E:E),0)</f>
        <v>171.4</v>
      </c>
      <c r="O242">
        <f t="shared" si="14"/>
        <v>53819.6</v>
      </c>
      <c r="P242" t="str">
        <f t="shared" si="15"/>
        <v>Normal</v>
      </c>
      <c r="Q242" t="str">
        <f>IFERROR(_xlfn.XLOOKUP(B242,reorder_point!B:B,reorder_point!I:I),"")</f>
        <v>OK</v>
      </c>
      <c r="R242" t="str">
        <f>_xlfn.XLOOKUP(B242,products!A:A,products!B:B)</f>
        <v>SKU-0116</v>
      </c>
    </row>
    <row r="243" spans="1:18">
      <c r="A243">
        <v>242</v>
      </c>
      <c r="B243">
        <v>117</v>
      </c>
      <c r="C243" t="s">
        <v>118</v>
      </c>
      <c r="D243">
        <v>337</v>
      </c>
      <c r="E243" s="1">
        <v>46086</v>
      </c>
      <c r="F243" s="1">
        <f>_xlfn.XLOOKUP(B243,purchase_orders!C:C,purchase_orders!G:G)</f>
        <v>46119</v>
      </c>
      <c r="G243" s="5">
        <f t="shared" ca="1" si="12"/>
        <v>45</v>
      </c>
      <c r="H243" s="2" t="str">
        <f ca="1">IF(G243&lt;=30,"0-30",IF(G243&lt;=60,"31-60",IF(G243&lt;=90,"61-90","90+")))</f>
        <v>31-60</v>
      </c>
      <c r="I243">
        <f>SUMIFS(order_items!D:D,order_items!C:C,inventory!B243)</f>
        <v>55</v>
      </c>
      <c r="J243" t="str">
        <f>IF(D243&gt;I243*3,"Overstock","OK")</f>
        <v>Overstock</v>
      </c>
      <c r="K243">
        <f>IFERROR(_xlfn.XLOOKUP(B243,purchase_orders!C:C,purchase_orders!I:I),0)</f>
        <v>285</v>
      </c>
      <c r="L243">
        <f>(D243+K243)/2</f>
        <v>311</v>
      </c>
      <c r="M243">
        <f t="shared" si="13"/>
        <v>0.18</v>
      </c>
      <c r="N243">
        <f>IFERROR(_xlfn.XLOOKUP(B243,products!A:A,products!E:E),0)</f>
        <v>131.80000000000001</v>
      </c>
      <c r="O243">
        <f t="shared" si="14"/>
        <v>44416.600000000006</v>
      </c>
      <c r="P243" t="str">
        <f t="shared" si="15"/>
        <v>Normal</v>
      </c>
      <c r="Q243" t="str">
        <f>IFERROR(_xlfn.XLOOKUP(B243,reorder_point!B:B,reorder_point!I:I),"")</f>
        <v>OK</v>
      </c>
      <c r="R243" t="str">
        <f>_xlfn.XLOOKUP(B243,products!A:A,products!B:B)</f>
        <v>SKU-0117</v>
      </c>
    </row>
    <row r="244" spans="1:18">
      <c r="A244">
        <v>243</v>
      </c>
      <c r="B244">
        <v>117</v>
      </c>
      <c r="C244" t="s">
        <v>121</v>
      </c>
      <c r="D244">
        <v>309</v>
      </c>
      <c r="E244" s="1">
        <v>46084</v>
      </c>
      <c r="F244" s="1">
        <f>_xlfn.XLOOKUP(B244,purchase_orders!C:C,purchase_orders!G:G)</f>
        <v>46119</v>
      </c>
      <c r="G244" s="5">
        <f t="shared" ca="1" si="12"/>
        <v>45</v>
      </c>
      <c r="H244" s="2" t="str">
        <f ca="1">IF(G244&lt;=30,"0-30",IF(G244&lt;=60,"31-60",IF(G244&lt;=90,"61-90","90+")))</f>
        <v>31-60</v>
      </c>
      <c r="I244">
        <f>SUMIFS(order_items!D:D,order_items!C:C,inventory!B244)</f>
        <v>55</v>
      </c>
      <c r="J244" t="str">
        <f>IF(D244&gt;I244*3,"Overstock","OK")</f>
        <v>Overstock</v>
      </c>
      <c r="K244">
        <f>IFERROR(_xlfn.XLOOKUP(B244,purchase_orders!C:C,purchase_orders!I:I),0)</f>
        <v>285</v>
      </c>
      <c r="L244">
        <f>(D244+K244)/2</f>
        <v>297</v>
      </c>
      <c r="M244">
        <f t="shared" si="13"/>
        <v>0.19</v>
      </c>
      <c r="N244">
        <f>IFERROR(_xlfn.XLOOKUP(B244,products!A:A,products!E:E),0)</f>
        <v>131.80000000000001</v>
      </c>
      <c r="O244">
        <f t="shared" si="14"/>
        <v>40726.200000000004</v>
      </c>
      <c r="P244" t="str">
        <f t="shared" si="15"/>
        <v>Normal</v>
      </c>
      <c r="Q244" t="str">
        <f>IFERROR(_xlfn.XLOOKUP(B244,reorder_point!B:B,reorder_point!I:I),"")</f>
        <v>OK</v>
      </c>
      <c r="R244" t="str">
        <f>_xlfn.XLOOKUP(B244,products!A:A,products!B:B)</f>
        <v>SKU-0117</v>
      </c>
    </row>
    <row r="245" spans="1:18">
      <c r="A245">
        <v>244</v>
      </c>
      <c r="B245">
        <v>117</v>
      </c>
      <c r="C245" t="s">
        <v>119</v>
      </c>
      <c r="D245">
        <v>288</v>
      </c>
      <c r="E245" s="1">
        <v>46088</v>
      </c>
      <c r="F245" s="1">
        <f>_xlfn.XLOOKUP(B245,purchase_orders!C:C,purchase_orders!G:G)</f>
        <v>46119</v>
      </c>
      <c r="G245" s="5">
        <f t="shared" ca="1" si="12"/>
        <v>45</v>
      </c>
      <c r="H245" s="2" t="str">
        <f ca="1">IF(G245&lt;=30,"0-30",IF(G245&lt;=60,"31-60",IF(G245&lt;=90,"61-90","90+")))</f>
        <v>31-60</v>
      </c>
      <c r="I245">
        <f>SUMIFS(order_items!D:D,order_items!C:C,inventory!B245)</f>
        <v>55</v>
      </c>
      <c r="J245" t="str">
        <f>IF(D245&gt;I245*3,"Overstock","OK")</f>
        <v>Overstock</v>
      </c>
      <c r="K245">
        <f>IFERROR(_xlfn.XLOOKUP(B245,purchase_orders!C:C,purchase_orders!I:I),0)</f>
        <v>285</v>
      </c>
      <c r="L245">
        <f>(D245+K245)/2</f>
        <v>286.5</v>
      </c>
      <c r="M245">
        <f t="shared" si="13"/>
        <v>0.19</v>
      </c>
      <c r="N245">
        <f>IFERROR(_xlfn.XLOOKUP(B245,products!A:A,products!E:E),0)</f>
        <v>131.80000000000001</v>
      </c>
      <c r="O245">
        <f t="shared" si="14"/>
        <v>37958.400000000001</v>
      </c>
      <c r="P245" t="str">
        <f t="shared" si="15"/>
        <v>Normal</v>
      </c>
      <c r="Q245" t="str">
        <f>IFERROR(_xlfn.XLOOKUP(B245,reorder_point!B:B,reorder_point!I:I),"")</f>
        <v>OK</v>
      </c>
      <c r="R245" t="str">
        <f>_xlfn.XLOOKUP(B245,products!A:A,products!B:B)</f>
        <v>SKU-0117</v>
      </c>
    </row>
    <row r="246" spans="1:18">
      <c r="A246">
        <v>245</v>
      </c>
      <c r="B246">
        <v>118</v>
      </c>
      <c r="C246" t="s">
        <v>119</v>
      </c>
      <c r="D246">
        <v>23</v>
      </c>
      <c r="E246" s="1">
        <v>46094</v>
      </c>
      <c r="F246" s="1">
        <f>_xlfn.XLOOKUP(B246,purchase_orders!C:C,purchase_orders!G:G)</f>
        <v>46010</v>
      </c>
      <c r="G246" s="5">
        <f t="shared" ca="1" si="12"/>
        <v>154</v>
      </c>
      <c r="H246" s="2" t="str">
        <f ca="1">IF(G246&lt;=30,"0-30",IF(G246&lt;=60,"31-60",IF(G246&lt;=90,"61-90","90+")))</f>
        <v>90+</v>
      </c>
      <c r="I246">
        <f>SUMIFS(order_items!D:D,order_items!C:C,inventory!B246)</f>
        <v>30</v>
      </c>
      <c r="J246" t="str">
        <f>IF(D246&gt;I246*3,"Overstock","OK")</f>
        <v>OK</v>
      </c>
      <c r="K246">
        <f>IFERROR(_xlfn.XLOOKUP(B246,purchase_orders!C:C,purchase_orders!I:I),0)</f>
        <v>146</v>
      </c>
      <c r="L246">
        <f>(D246+K246)/2</f>
        <v>84.5</v>
      </c>
      <c r="M246">
        <f t="shared" si="13"/>
        <v>0.36</v>
      </c>
      <c r="N246">
        <f>IFERROR(_xlfn.XLOOKUP(B246,products!A:A,products!E:E),0)</f>
        <v>44.81</v>
      </c>
      <c r="O246">
        <f t="shared" si="14"/>
        <v>1030.6300000000001</v>
      </c>
      <c r="P246" t="str">
        <f t="shared" si="15"/>
        <v>Normal</v>
      </c>
      <c r="Q246" t="str">
        <f>IFERROR(_xlfn.XLOOKUP(B246,reorder_point!B:B,reorder_point!I:I),"")</f>
        <v>OK</v>
      </c>
      <c r="R246" t="str">
        <f>_xlfn.XLOOKUP(B246,products!A:A,products!B:B)</f>
        <v>SKU-0118</v>
      </c>
    </row>
    <row r="247" spans="1:18">
      <c r="A247">
        <v>246</v>
      </c>
      <c r="B247">
        <v>119</v>
      </c>
      <c r="C247" t="s">
        <v>120</v>
      </c>
      <c r="D247">
        <v>292</v>
      </c>
      <c r="E247" s="1">
        <v>46103</v>
      </c>
      <c r="F247" s="1">
        <f>_xlfn.XLOOKUP(B247,purchase_orders!C:C,purchase_orders!G:G)</f>
        <v>46073</v>
      </c>
      <c r="G247" s="5">
        <f t="shared" ca="1" si="12"/>
        <v>91</v>
      </c>
      <c r="H247" s="2" t="str">
        <f ca="1">IF(G247&lt;=30,"0-30",IF(G247&lt;=60,"31-60",IF(G247&lt;=90,"61-90","90+")))</f>
        <v>90+</v>
      </c>
      <c r="I247">
        <f>SUMIFS(order_items!D:D,order_items!C:C,inventory!B247)</f>
        <v>51</v>
      </c>
      <c r="J247" t="str">
        <f>IF(D247&gt;I247*3,"Overstock","OK")</f>
        <v>Overstock</v>
      </c>
      <c r="K247">
        <f>IFERROR(_xlfn.XLOOKUP(B247,purchase_orders!C:C,purchase_orders!I:I),0)</f>
        <v>752</v>
      </c>
      <c r="L247">
        <f>(D247+K247)/2</f>
        <v>522</v>
      </c>
      <c r="M247">
        <f t="shared" si="13"/>
        <v>0.1</v>
      </c>
      <c r="N247">
        <f>IFERROR(_xlfn.XLOOKUP(B247,products!A:A,products!E:E),0)</f>
        <v>27.15</v>
      </c>
      <c r="O247">
        <f t="shared" si="14"/>
        <v>7927.7999999999993</v>
      </c>
      <c r="P247" t="str">
        <f t="shared" si="15"/>
        <v>Normal</v>
      </c>
      <c r="Q247" t="str">
        <f>IFERROR(_xlfn.XLOOKUP(B247,reorder_point!B:B,reorder_point!I:I),"")</f>
        <v>OK</v>
      </c>
      <c r="R247" t="str">
        <f>_xlfn.XLOOKUP(B247,products!A:A,products!B:B)</f>
        <v>SKU-0119</v>
      </c>
    </row>
    <row r="248" spans="1:18">
      <c r="A248">
        <v>247</v>
      </c>
      <c r="B248">
        <v>119</v>
      </c>
      <c r="C248" t="s">
        <v>118</v>
      </c>
      <c r="D248">
        <v>15</v>
      </c>
      <c r="E248" s="1">
        <v>46103</v>
      </c>
      <c r="F248" s="1">
        <f>_xlfn.XLOOKUP(B248,purchase_orders!C:C,purchase_orders!G:G)</f>
        <v>46073</v>
      </c>
      <c r="G248" s="5">
        <f t="shared" ca="1" si="12"/>
        <v>91</v>
      </c>
      <c r="H248" s="2" t="str">
        <f ca="1">IF(G248&lt;=30,"0-30",IF(G248&lt;=60,"31-60",IF(G248&lt;=90,"61-90","90+")))</f>
        <v>90+</v>
      </c>
      <c r="I248">
        <f>SUMIFS(order_items!D:D,order_items!C:C,inventory!B248)</f>
        <v>51</v>
      </c>
      <c r="J248" t="str">
        <f>IF(D248&gt;I248*3,"Overstock","OK")</f>
        <v>OK</v>
      </c>
      <c r="K248">
        <f>IFERROR(_xlfn.XLOOKUP(B248,purchase_orders!C:C,purchase_orders!I:I),0)</f>
        <v>752</v>
      </c>
      <c r="L248">
        <f>(D248+K248)/2</f>
        <v>383.5</v>
      </c>
      <c r="M248">
        <f t="shared" si="13"/>
        <v>0.13</v>
      </c>
      <c r="N248">
        <f>IFERROR(_xlfn.XLOOKUP(B248,products!A:A,products!E:E),0)</f>
        <v>27.15</v>
      </c>
      <c r="O248">
        <f t="shared" si="14"/>
        <v>407.25</v>
      </c>
      <c r="P248" t="str">
        <f t="shared" si="15"/>
        <v>Normal</v>
      </c>
      <c r="Q248" t="str">
        <f>IFERROR(_xlfn.XLOOKUP(B248,reorder_point!B:B,reorder_point!I:I),"")</f>
        <v>OK</v>
      </c>
      <c r="R248" t="str">
        <f>_xlfn.XLOOKUP(B248,products!A:A,products!B:B)</f>
        <v>SKU-0119</v>
      </c>
    </row>
    <row r="249" spans="1:18">
      <c r="A249">
        <v>248</v>
      </c>
      <c r="B249">
        <v>119</v>
      </c>
      <c r="C249" t="s">
        <v>117</v>
      </c>
      <c r="D249">
        <v>279</v>
      </c>
      <c r="E249" s="1">
        <v>46124</v>
      </c>
      <c r="F249" s="1">
        <f>_xlfn.XLOOKUP(B249,purchase_orders!C:C,purchase_orders!G:G)</f>
        <v>46073</v>
      </c>
      <c r="G249" s="5">
        <f t="shared" ca="1" si="12"/>
        <v>91</v>
      </c>
      <c r="H249" s="2" t="str">
        <f ca="1">IF(G249&lt;=30,"0-30",IF(G249&lt;=60,"31-60",IF(G249&lt;=90,"61-90","90+")))</f>
        <v>90+</v>
      </c>
      <c r="I249">
        <f>SUMIFS(order_items!D:D,order_items!C:C,inventory!B249)</f>
        <v>51</v>
      </c>
      <c r="J249" t="str">
        <f>IF(D249&gt;I249*3,"Overstock","OK")</f>
        <v>Overstock</v>
      </c>
      <c r="K249">
        <f>IFERROR(_xlfn.XLOOKUP(B249,purchase_orders!C:C,purchase_orders!I:I),0)</f>
        <v>752</v>
      </c>
      <c r="L249">
        <f>(D249+K249)/2</f>
        <v>515.5</v>
      </c>
      <c r="M249">
        <f t="shared" si="13"/>
        <v>0.1</v>
      </c>
      <c r="N249">
        <f>IFERROR(_xlfn.XLOOKUP(B249,products!A:A,products!E:E),0)</f>
        <v>27.15</v>
      </c>
      <c r="O249">
        <f t="shared" si="14"/>
        <v>7574.8499999999995</v>
      </c>
      <c r="P249" t="str">
        <f t="shared" si="15"/>
        <v>Normal</v>
      </c>
      <c r="Q249" t="str">
        <f>IFERROR(_xlfn.XLOOKUP(B249,reorder_point!B:B,reorder_point!I:I),"")</f>
        <v>OK</v>
      </c>
      <c r="R249" t="str">
        <f>_xlfn.XLOOKUP(B249,products!A:A,products!B:B)</f>
        <v>SKU-0119</v>
      </c>
    </row>
    <row r="250" spans="1:18">
      <c r="A250">
        <v>249</v>
      </c>
      <c r="B250">
        <v>120</v>
      </c>
      <c r="C250" t="s">
        <v>118</v>
      </c>
      <c r="D250">
        <v>152</v>
      </c>
      <c r="E250" s="1">
        <v>46099</v>
      </c>
      <c r="F250" s="1">
        <f>_xlfn.XLOOKUP(B250,purchase_orders!C:C,purchase_orders!G:G)</f>
        <v>46094</v>
      </c>
      <c r="G250" s="5">
        <f t="shared" ca="1" si="12"/>
        <v>70</v>
      </c>
      <c r="H250" s="2" t="str">
        <f ca="1">IF(G250&lt;=30,"0-30",IF(G250&lt;=60,"31-60",IF(G250&lt;=90,"61-90","90+")))</f>
        <v>61-90</v>
      </c>
      <c r="I250">
        <f>SUMIFS(order_items!D:D,order_items!C:C,inventory!B250)</f>
        <v>30</v>
      </c>
      <c r="J250" t="str">
        <f>IF(D250&gt;I250*3,"Overstock","OK")</f>
        <v>Overstock</v>
      </c>
      <c r="K250">
        <f>IFERROR(_xlfn.XLOOKUP(B250,purchase_orders!C:C,purchase_orders!I:I),0)</f>
        <v>-22</v>
      </c>
      <c r="L250">
        <f>(D250+K250)/2</f>
        <v>65</v>
      </c>
      <c r="M250">
        <f t="shared" si="13"/>
        <v>0.46</v>
      </c>
      <c r="N250">
        <f>IFERROR(_xlfn.XLOOKUP(B250,products!A:A,products!E:E),0)</f>
        <v>116.63</v>
      </c>
      <c r="O250">
        <f t="shared" si="14"/>
        <v>17727.759999999998</v>
      </c>
      <c r="P250" t="str">
        <f t="shared" si="15"/>
        <v>Normal</v>
      </c>
      <c r="Q250" t="str">
        <f>IFERROR(_xlfn.XLOOKUP(B250,reorder_point!B:B,reorder_point!I:I),"")</f>
        <v>OK</v>
      </c>
      <c r="R250" t="str">
        <f>_xlfn.XLOOKUP(B250,products!A:A,products!B:B)</f>
        <v>SKU-0120</v>
      </c>
    </row>
    <row r="251" spans="1:18">
      <c r="A251">
        <v>250</v>
      </c>
      <c r="B251">
        <v>120</v>
      </c>
      <c r="C251" t="s">
        <v>117</v>
      </c>
      <c r="D251">
        <v>30</v>
      </c>
      <c r="E251" s="1">
        <v>46117</v>
      </c>
      <c r="F251" s="1">
        <f>_xlfn.XLOOKUP(B251,purchase_orders!C:C,purchase_orders!G:G)</f>
        <v>46094</v>
      </c>
      <c r="G251" s="5">
        <f t="shared" ca="1" si="12"/>
        <v>70</v>
      </c>
      <c r="H251" s="2" t="str">
        <f ca="1">IF(G251&lt;=30,"0-30",IF(G251&lt;=60,"31-60",IF(G251&lt;=90,"61-90","90+")))</f>
        <v>61-90</v>
      </c>
      <c r="I251">
        <f>SUMIFS(order_items!D:D,order_items!C:C,inventory!B251)</f>
        <v>30</v>
      </c>
      <c r="J251" t="str">
        <f>IF(D251&gt;I251*3,"Overstock","OK")</f>
        <v>OK</v>
      </c>
      <c r="K251">
        <f>IFERROR(_xlfn.XLOOKUP(B251,purchase_orders!C:C,purchase_orders!I:I),0)</f>
        <v>-22</v>
      </c>
      <c r="L251">
        <f>(D251+K251)/2</f>
        <v>4</v>
      </c>
      <c r="M251">
        <f t="shared" si="13"/>
        <v>7.5</v>
      </c>
      <c r="N251">
        <f>IFERROR(_xlfn.XLOOKUP(B251,products!A:A,products!E:E),0)</f>
        <v>116.63</v>
      </c>
      <c r="O251">
        <f t="shared" si="14"/>
        <v>3498.8999999999996</v>
      </c>
      <c r="P251" t="str">
        <f t="shared" si="15"/>
        <v>Normal</v>
      </c>
      <c r="Q251" t="str">
        <f>IFERROR(_xlfn.XLOOKUP(B251,reorder_point!B:B,reorder_point!I:I),"")</f>
        <v>OK</v>
      </c>
      <c r="R251" t="str">
        <f>_xlfn.XLOOKUP(B251,products!A:A,products!B:B)</f>
        <v>SKU-0120</v>
      </c>
    </row>
    <row r="252" spans="1:18">
      <c r="A252">
        <v>251</v>
      </c>
      <c r="B252">
        <v>121</v>
      </c>
      <c r="C252" t="s">
        <v>117</v>
      </c>
      <c r="D252">
        <v>174</v>
      </c>
      <c r="E252" s="1">
        <v>46123</v>
      </c>
      <c r="F252" s="1">
        <f>_xlfn.XLOOKUP(B252,purchase_orders!C:C,purchase_orders!G:G)</f>
        <v>46165</v>
      </c>
      <c r="G252" s="5">
        <f t="shared" ca="1" si="12"/>
        <v>-1</v>
      </c>
      <c r="H252" s="2" t="str">
        <f ca="1">IF(G252&lt;=30,"0-30",IF(G252&lt;=60,"31-60",IF(G252&lt;=90,"61-90","90+")))</f>
        <v>0-30</v>
      </c>
      <c r="I252">
        <f>SUMIFS(order_items!D:D,order_items!C:C,inventory!B252)</f>
        <v>25</v>
      </c>
      <c r="J252" t="str">
        <f>IF(D252&gt;I252*3,"Overstock","OK")</f>
        <v>Overstock</v>
      </c>
      <c r="K252">
        <f>IFERROR(_xlfn.XLOOKUP(B252,purchase_orders!C:C,purchase_orders!I:I),0)</f>
        <v>909</v>
      </c>
      <c r="L252">
        <f>(D252+K252)/2</f>
        <v>541.5</v>
      </c>
      <c r="M252">
        <f t="shared" si="13"/>
        <v>0.05</v>
      </c>
      <c r="N252">
        <f>IFERROR(_xlfn.XLOOKUP(B252,products!A:A,products!E:E),0)</f>
        <v>54.76</v>
      </c>
      <c r="O252">
        <f t="shared" si="14"/>
        <v>9528.24</v>
      </c>
      <c r="P252" t="str">
        <f t="shared" si="15"/>
        <v>Normal</v>
      </c>
      <c r="Q252" t="str">
        <f>IFERROR(_xlfn.XLOOKUP(B252,reorder_point!B:B,reorder_point!I:I),"")</f>
        <v>OK</v>
      </c>
      <c r="R252" t="str">
        <f>_xlfn.XLOOKUP(B252,products!A:A,products!B:B)</f>
        <v>SKU-0121</v>
      </c>
    </row>
    <row r="253" spans="1:18">
      <c r="A253">
        <v>252</v>
      </c>
      <c r="B253">
        <v>121</v>
      </c>
      <c r="C253" t="s">
        <v>118</v>
      </c>
      <c r="D253">
        <v>441</v>
      </c>
      <c r="E253" s="1">
        <v>46097</v>
      </c>
      <c r="F253" s="1">
        <f>_xlfn.XLOOKUP(B253,purchase_orders!C:C,purchase_orders!G:G)</f>
        <v>46165</v>
      </c>
      <c r="G253" s="5">
        <f t="shared" ca="1" si="12"/>
        <v>-1</v>
      </c>
      <c r="H253" s="2" t="str">
        <f ca="1">IF(G253&lt;=30,"0-30",IF(G253&lt;=60,"31-60",IF(G253&lt;=90,"61-90","90+")))</f>
        <v>0-30</v>
      </c>
      <c r="I253">
        <f>SUMIFS(order_items!D:D,order_items!C:C,inventory!B253)</f>
        <v>25</v>
      </c>
      <c r="J253" t="str">
        <f>IF(D253&gt;I253*3,"Overstock","OK")</f>
        <v>Overstock</v>
      </c>
      <c r="K253">
        <f>IFERROR(_xlfn.XLOOKUP(B253,purchase_orders!C:C,purchase_orders!I:I),0)</f>
        <v>909</v>
      </c>
      <c r="L253">
        <f>(D253+K253)/2</f>
        <v>675</v>
      </c>
      <c r="M253">
        <f t="shared" si="13"/>
        <v>0.04</v>
      </c>
      <c r="N253">
        <f>IFERROR(_xlfn.XLOOKUP(B253,products!A:A,products!E:E),0)</f>
        <v>54.76</v>
      </c>
      <c r="O253">
        <f t="shared" si="14"/>
        <v>24149.16</v>
      </c>
      <c r="P253" t="str">
        <f t="shared" si="15"/>
        <v>Normal</v>
      </c>
      <c r="Q253" t="str">
        <f>IFERROR(_xlfn.XLOOKUP(B253,reorder_point!B:B,reorder_point!I:I),"")</f>
        <v>OK</v>
      </c>
      <c r="R253" t="str">
        <f>_xlfn.XLOOKUP(B253,products!A:A,products!B:B)</f>
        <v>SKU-0121</v>
      </c>
    </row>
    <row r="254" spans="1:18">
      <c r="A254">
        <v>253</v>
      </c>
      <c r="B254">
        <v>122</v>
      </c>
      <c r="C254" t="s">
        <v>117</v>
      </c>
      <c r="D254">
        <v>389</v>
      </c>
      <c r="E254" s="1">
        <v>46108</v>
      </c>
      <c r="F254" s="1" t="str">
        <f>_xlfn.XLOOKUP(B254,purchase_orders!C:C,purchase_orders!G:G)</f>
        <v>NULL</v>
      </c>
      <c r="G254" s="5" t="e">
        <f t="shared" ca="1" si="12"/>
        <v>#VALUE!</v>
      </c>
      <c r="H254" s="2" t="e">
        <f ca="1">IF(G254&lt;=30,"0-30",IF(G254&lt;=60,"31-60",IF(G254&lt;=90,"61-90","90+")))</f>
        <v>#VALUE!</v>
      </c>
      <c r="I254">
        <f>SUMIFS(order_items!D:D,order_items!C:C,inventory!B254)</f>
        <v>47</v>
      </c>
      <c r="J254" t="str">
        <f>IF(D254&gt;I254*3,"Overstock","OK")</f>
        <v>Overstock</v>
      </c>
      <c r="K254">
        <f>IFERROR(_xlfn.XLOOKUP(B254,purchase_orders!C:C,purchase_orders!I:I),0)</f>
        <v>0</v>
      </c>
      <c r="L254">
        <f>(D254+K254)/2</f>
        <v>194.5</v>
      </c>
      <c r="M254">
        <f t="shared" si="13"/>
        <v>0.24</v>
      </c>
      <c r="N254">
        <f>IFERROR(_xlfn.XLOOKUP(B254,products!A:A,products!E:E),0)</f>
        <v>169.69</v>
      </c>
      <c r="O254">
        <f t="shared" si="14"/>
        <v>66009.41</v>
      </c>
      <c r="P254" t="str">
        <f t="shared" si="15"/>
        <v>Normal</v>
      </c>
      <c r="Q254" t="str">
        <f>IFERROR(_xlfn.XLOOKUP(B254,reorder_point!B:B,reorder_point!I:I),"")</f>
        <v/>
      </c>
      <c r="R254" t="str">
        <f>_xlfn.XLOOKUP(B254,products!A:A,products!B:B)</f>
        <v>SKU-0122</v>
      </c>
    </row>
    <row r="255" spans="1:18">
      <c r="A255">
        <v>254</v>
      </c>
      <c r="B255">
        <v>122</v>
      </c>
      <c r="C255" t="s">
        <v>118</v>
      </c>
      <c r="D255">
        <v>54</v>
      </c>
      <c r="E255" s="1">
        <v>46114</v>
      </c>
      <c r="F255" s="1" t="str">
        <f>_xlfn.XLOOKUP(B255,purchase_orders!C:C,purchase_orders!G:G)</f>
        <v>NULL</v>
      </c>
      <c r="G255" s="5" t="e">
        <f t="shared" ca="1" si="12"/>
        <v>#VALUE!</v>
      </c>
      <c r="H255" s="2" t="e">
        <f ca="1">IF(G255&lt;=30,"0-30",IF(G255&lt;=60,"31-60",IF(G255&lt;=90,"61-90","90+")))</f>
        <v>#VALUE!</v>
      </c>
      <c r="I255">
        <f>SUMIFS(order_items!D:D,order_items!C:C,inventory!B255)</f>
        <v>47</v>
      </c>
      <c r="J255" t="str">
        <f>IF(D255&gt;I255*3,"Overstock","OK")</f>
        <v>OK</v>
      </c>
      <c r="K255">
        <f>IFERROR(_xlfn.XLOOKUP(B255,purchase_orders!C:C,purchase_orders!I:I),0)</f>
        <v>0</v>
      </c>
      <c r="L255">
        <f>(D255+K255)/2</f>
        <v>27</v>
      </c>
      <c r="M255">
        <f t="shared" si="13"/>
        <v>1.74</v>
      </c>
      <c r="N255">
        <f>IFERROR(_xlfn.XLOOKUP(B255,products!A:A,products!E:E),0)</f>
        <v>169.69</v>
      </c>
      <c r="O255">
        <f t="shared" si="14"/>
        <v>9163.26</v>
      </c>
      <c r="P255" t="str">
        <f t="shared" si="15"/>
        <v>Normal</v>
      </c>
      <c r="Q255" t="str">
        <f>IFERROR(_xlfn.XLOOKUP(B255,reorder_point!B:B,reorder_point!I:I),"")</f>
        <v/>
      </c>
      <c r="R255" t="str">
        <f>_xlfn.XLOOKUP(B255,products!A:A,products!B:B)</f>
        <v>SKU-0122</v>
      </c>
    </row>
    <row r="256" spans="1:18">
      <c r="A256">
        <v>255</v>
      </c>
      <c r="B256">
        <v>123</v>
      </c>
      <c r="C256" t="s">
        <v>120</v>
      </c>
      <c r="D256">
        <v>230</v>
      </c>
      <c r="E256" s="1">
        <v>46137</v>
      </c>
      <c r="F256" s="1">
        <f>_xlfn.XLOOKUP(B256,purchase_orders!C:C,purchase_orders!G:G)</f>
        <v>46073</v>
      </c>
      <c r="G256" s="5">
        <f t="shared" ca="1" si="12"/>
        <v>91</v>
      </c>
      <c r="H256" s="2" t="str">
        <f ca="1">IF(G256&lt;=30,"0-30",IF(G256&lt;=60,"31-60",IF(G256&lt;=90,"61-90","90+")))</f>
        <v>90+</v>
      </c>
      <c r="I256">
        <f>SUMIFS(order_items!D:D,order_items!C:C,inventory!B256)</f>
        <v>41</v>
      </c>
      <c r="J256" t="str">
        <f>IF(D256&gt;I256*3,"Overstock","OK")</f>
        <v>Overstock</v>
      </c>
      <c r="K256">
        <f>IFERROR(_xlfn.XLOOKUP(B256,purchase_orders!C:C,purchase_orders!I:I),0)</f>
        <v>315</v>
      </c>
      <c r="L256">
        <f>(D256+K256)/2</f>
        <v>272.5</v>
      </c>
      <c r="M256">
        <f t="shared" si="13"/>
        <v>0.15</v>
      </c>
      <c r="N256">
        <f>IFERROR(_xlfn.XLOOKUP(B256,products!A:A,products!E:E),0)</f>
        <v>105.98</v>
      </c>
      <c r="O256">
        <f t="shared" si="14"/>
        <v>24375.4</v>
      </c>
      <c r="P256" t="str">
        <f t="shared" si="15"/>
        <v>Normal</v>
      </c>
      <c r="Q256" t="str">
        <f>IFERROR(_xlfn.XLOOKUP(B256,reorder_point!B:B,reorder_point!I:I),"")</f>
        <v>OK</v>
      </c>
      <c r="R256" t="str">
        <f>_xlfn.XLOOKUP(B256,products!A:A,products!B:B)</f>
        <v>SKU-0123</v>
      </c>
    </row>
    <row r="257" spans="1:18">
      <c r="A257">
        <v>256</v>
      </c>
      <c r="B257">
        <v>124</v>
      </c>
      <c r="C257" t="s">
        <v>120</v>
      </c>
      <c r="D257">
        <v>484</v>
      </c>
      <c r="E257" s="1">
        <v>46104</v>
      </c>
      <c r="F257" s="1" t="str">
        <f>_xlfn.XLOOKUP(B257,purchase_orders!C:C,purchase_orders!G:G)</f>
        <v>NULL</v>
      </c>
      <c r="G257" s="5" t="e">
        <f t="shared" ca="1" si="12"/>
        <v>#VALUE!</v>
      </c>
      <c r="H257" s="2" t="e">
        <f ca="1">IF(G257&lt;=30,"0-30",IF(G257&lt;=60,"31-60",IF(G257&lt;=90,"61-90","90+")))</f>
        <v>#VALUE!</v>
      </c>
      <c r="I257">
        <f>SUMIFS(order_items!D:D,order_items!C:C,inventory!B257)</f>
        <v>38</v>
      </c>
      <c r="J257" t="str">
        <f>IF(D257&gt;I257*3,"Overstock","OK")</f>
        <v>Overstock</v>
      </c>
      <c r="K257">
        <f>IFERROR(_xlfn.XLOOKUP(B257,purchase_orders!C:C,purchase_orders!I:I),0)</f>
        <v>0</v>
      </c>
      <c r="L257">
        <f>(D257+K257)/2</f>
        <v>242</v>
      </c>
      <c r="M257">
        <f t="shared" si="13"/>
        <v>0.16</v>
      </c>
      <c r="N257">
        <f>IFERROR(_xlfn.XLOOKUP(B257,products!A:A,products!E:E),0)</f>
        <v>178.94</v>
      </c>
      <c r="O257">
        <f t="shared" si="14"/>
        <v>86606.959999999992</v>
      </c>
      <c r="P257" t="str">
        <f t="shared" si="15"/>
        <v>Normal</v>
      </c>
      <c r="Q257" t="str">
        <f>IFERROR(_xlfn.XLOOKUP(B257,reorder_point!B:B,reorder_point!I:I),"")</f>
        <v/>
      </c>
      <c r="R257" t="str">
        <f>_xlfn.XLOOKUP(B257,products!A:A,products!B:B)</f>
        <v>SKU-0124</v>
      </c>
    </row>
    <row r="258" spans="1:18">
      <c r="A258">
        <v>257</v>
      </c>
      <c r="B258">
        <v>125</v>
      </c>
      <c r="C258" t="s">
        <v>118</v>
      </c>
      <c r="D258">
        <v>416</v>
      </c>
      <c r="E258" s="1">
        <v>46107</v>
      </c>
      <c r="F258" s="1">
        <f>_xlfn.XLOOKUP(B258,purchase_orders!C:C,purchase_orders!G:G)</f>
        <v>46032</v>
      </c>
      <c r="G258" s="5">
        <f t="shared" ca="1" si="12"/>
        <v>132</v>
      </c>
      <c r="H258" s="2" t="str">
        <f ca="1">IF(G258&lt;=30,"0-30",IF(G258&lt;=60,"31-60",IF(G258&lt;=90,"61-90","90+")))</f>
        <v>90+</v>
      </c>
      <c r="I258">
        <f>SUMIFS(order_items!D:D,order_items!C:C,inventory!B258)</f>
        <v>50</v>
      </c>
      <c r="J258" t="str">
        <f>IF(D258&gt;I258*3,"Overstock","OK")</f>
        <v>Overstock</v>
      </c>
      <c r="K258">
        <f>IFERROR(_xlfn.XLOOKUP(B258,purchase_orders!C:C,purchase_orders!I:I),0)</f>
        <v>497</v>
      </c>
      <c r="L258">
        <f>(D258+K258)/2</f>
        <v>456.5</v>
      </c>
      <c r="M258">
        <f t="shared" si="13"/>
        <v>0.11</v>
      </c>
      <c r="N258">
        <f>IFERROR(_xlfn.XLOOKUP(B258,products!A:A,products!E:E),0)</f>
        <v>71.569999999999993</v>
      </c>
      <c r="O258">
        <f t="shared" si="14"/>
        <v>29773.119999999995</v>
      </c>
      <c r="P258" t="str">
        <f t="shared" si="15"/>
        <v>Normal</v>
      </c>
      <c r="Q258" t="str">
        <f>IFERROR(_xlfn.XLOOKUP(B258,reorder_point!B:B,reorder_point!I:I),"")</f>
        <v>OK</v>
      </c>
      <c r="R258" t="str">
        <f>_xlfn.XLOOKUP(B258,products!A:A,products!B:B)</f>
        <v>SKU-0125</v>
      </c>
    </row>
    <row r="259" spans="1:18">
      <c r="A259">
        <v>258</v>
      </c>
      <c r="B259">
        <v>125</v>
      </c>
      <c r="C259" t="s">
        <v>118</v>
      </c>
      <c r="D259">
        <v>369</v>
      </c>
      <c r="E259" s="1">
        <v>46095</v>
      </c>
      <c r="F259" s="1">
        <f>_xlfn.XLOOKUP(B259,purchase_orders!C:C,purchase_orders!G:G)</f>
        <v>46032</v>
      </c>
      <c r="G259" s="5">
        <f t="shared" ref="G259:G313" ca="1" si="16">TODAY()-F259</f>
        <v>132</v>
      </c>
      <c r="H259" s="2" t="str">
        <f ca="1">IF(G259&lt;=30,"0-30",IF(G259&lt;=60,"31-60",IF(G259&lt;=90,"61-90","90+")))</f>
        <v>90+</v>
      </c>
      <c r="I259">
        <f>SUMIFS(order_items!D:D,order_items!C:C,inventory!B259)</f>
        <v>50</v>
      </c>
      <c r="J259" t="str">
        <f>IF(D259&gt;I259*3,"Overstock","OK")</f>
        <v>Overstock</v>
      </c>
      <c r="K259">
        <f>IFERROR(_xlfn.XLOOKUP(B259,purchase_orders!C:C,purchase_orders!I:I),0)</f>
        <v>497</v>
      </c>
      <c r="L259">
        <f>(D259+K259)/2</f>
        <v>433</v>
      </c>
      <c r="M259">
        <f t="shared" ref="M259:M313" si="17">IFERROR(ROUND(I259/L259,2),0)</f>
        <v>0.12</v>
      </c>
      <c r="N259">
        <f>IFERROR(_xlfn.XLOOKUP(B259,products!A:A,products!E:E),0)</f>
        <v>71.569999999999993</v>
      </c>
      <c r="O259">
        <f t="shared" ref="O259:O313" si="18">IF(N259="NULL",0,N259*D259)</f>
        <v>26409.329999999998</v>
      </c>
      <c r="P259" t="str">
        <f t="shared" ref="P259:P313" si="19">IF(I259&lt;10,"Slow Moving","Normal")</f>
        <v>Normal</v>
      </c>
      <c r="Q259" t="str">
        <f>IFERROR(_xlfn.XLOOKUP(B259,reorder_point!B:B,reorder_point!I:I),"")</f>
        <v>OK</v>
      </c>
      <c r="R259" t="str">
        <f>_xlfn.XLOOKUP(B259,products!A:A,products!B:B)</f>
        <v>SKU-0125</v>
      </c>
    </row>
    <row r="260" spans="1:18">
      <c r="A260">
        <v>259</v>
      </c>
      <c r="B260">
        <v>126</v>
      </c>
      <c r="C260" t="s">
        <v>117</v>
      </c>
      <c r="D260">
        <v>263</v>
      </c>
      <c r="E260" s="1">
        <v>46087</v>
      </c>
      <c r="F260" s="1" t="str">
        <f>_xlfn.XLOOKUP(B260,purchase_orders!C:C,purchase_orders!G:G)</f>
        <v>NULL</v>
      </c>
      <c r="G260" s="5" t="e">
        <f t="shared" ca="1" si="16"/>
        <v>#VALUE!</v>
      </c>
      <c r="H260" s="2" t="e">
        <f ca="1">IF(G260&lt;=30,"0-30",IF(G260&lt;=60,"31-60",IF(G260&lt;=90,"61-90","90+")))</f>
        <v>#VALUE!</v>
      </c>
      <c r="I260">
        <f>SUMIFS(order_items!D:D,order_items!C:C,inventory!B260)</f>
        <v>49</v>
      </c>
      <c r="J260" t="str">
        <f>IF(D260&gt;I260*3,"Overstock","OK")</f>
        <v>Overstock</v>
      </c>
      <c r="K260">
        <f>IFERROR(_xlfn.XLOOKUP(B260,purchase_orders!C:C,purchase_orders!I:I),0)</f>
        <v>0</v>
      </c>
      <c r="L260">
        <f>(D260+K260)/2</f>
        <v>131.5</v>
      </c>
      <c r="M260">
        <f t="shared" si="17"/>
        <v>0.37</v>
      </c>
      <c r="N260">
        <f>IFERROR(_xlfn.XLOOKUP(B260,products!A:A,products!E:E),0)</f>
        <v>104.51</v>
      </c>
      <c r="O260">
        <f t="shared" si="18"/>
        <v>27486.13</v>
      </c>
      <c r="P260" t="str">
        <f t="shared" si="19"/>
        <v>Normal</v>
      </c>
      <c r="Q260" t="str">
        <f>IFERROR(_xlfn.XLOOKUP(B260,reorder_point!B:B,reorder_point!I:I),"")</f>
        <v/>
      </c>
      <c r="R260" t="str">
        <f>_xlfn.XLOOKUP(B260,products!A:A,products!B:B)</f>
        <v>SKU-0126</v>
      </c>
    </row>
    <row r="261" spans="1:18">
      <c r="A261">
        <v>260</v>
      </c>
      <c r="B261">
        <v>127</v>
      </c>
      <c r="C261" t="s">
        <v>117</v>
      </c>
      <c r="D261">
        <v>46</v>
      </c>
      <c r="E261" s="1">
        <v>46111</v>
      </c>
      <c r="F261" s="1">
        <f>_xlfn.XLOOKUP(B261,purchase_orders!C:C,purchase_orders!G:G)</f>
        <v>46084</v>
      </c>
      <c r="G261" s="5">
        <f t="shared" ca="1" si="16"/>
        <v>80</v>
      </c>
      <c r="H261" s="2" t="str">
        <f ca="1">IF(G261&lt;=30,"0-30",IF(G261&lt;=60,"31-60",IF(G261&lt;=90,"61-90","90+")))</f>
        <v>61-90</v>
      </c>
      <c r="I261">
        <f>SUMIFS(order_items!D:D,order_items!C:C,inventory!B261)</f>
        <v>54</v>
      </c>
      <c r="J261" t="str">
        <f>IF(D261&gt;I261*3,"Overstock","OK")</f>
        <v>OK</v>
      </c>
      <c r="K261">
        <f>IFERROR(_xlfn.XLOOKUP(B261,purchase_orders!C:C,purchase_orders!I:I),0)</f>
        <v>76</v>
      </c>
      <c r="L261">
        <f>(D261+K261)/2</f>
        <v>61</v>
      </c>
      <c r="M261">
        <f t="shared" si="17"/>
        <v>0.89</v>
      </c>
      <c r="N261">
        <f>IFERROR(_xlfn.XLOOKUP(B261,products!A:A,products!E:E),0)</f>
        <v>51.31</v>
      </c>
      <c r="O261">
        <f t="shared" si="18"/>
        <v>2360.2600000000002</v>
      </c>
      <c r="P261" t="str">
        <f t="shared" si="19"/>
        <v>Normal</v>
      </c>
      <c r="Q261" t="str">
        <f>IFERROR(_xlfn.XLOOKUP(B261,reorder_point!B:B,reorder_point!I:I),"")</f>
        <v>OK</v>
      </c>
      <c r="R261" t="str">
        <f>_xlfn.XLOOKUP(B261,products!A:A,products!B:B)</f>
        <v>SKU-0127</v>
      </c>
    </row>
    <row r="262" spans="1:18">
      <c r="A262">
        <v>261</v>
      </c>
      <c r="B262">
        <v>127</v>
      </c>
      <c r="C262" t="s">
        <v>119</v>
      </c>
      <c r="D262">
        <v>234</v>
      </c>
      <c r="E262" s="1">
        <v>46130</v>
      </c>
      <c r="F262" s="1">
        <f>_xlfn.XLOOKUP(B262,purchase_orders!C:C,purchase_orders!G:G)</f>
        <v>46084</v>
      </c>
      <c r="G262" s="5">
        <f t="shared" ca="1" si="16"/>
        <v>80</v>
      </c>
      <c r="H262" s="2" t="str">
        <f ca="1">IF(G262&lt;=30,"0-30",IF(G262&lt;=60,"31-60",IF(G262&lt;=90,"61-90","90+")))</f>
        <v>61-90</v>
      </c>
      <c r="I262">
        <f>SUMIFS(order_items!D:D,order_items!C:C,inventory!B262)</f>
        <v>54</v>
      </c>
      <c r="J262" t="str">
        <f>IF(D262&gt;I262*3,"Overstock","OK")</f>
        <v>Overstock</v>
      </c>
      <c r="K262">
        <f>IFERROR(_xlfn.XLOOKUP(B262,purchase_orders!C:C,purchase_orders!I:I),0)</f>
        <v>76</v>
      </c>
      <c r="L262">
        <f>(D262+K262)/2</f>
        <v>155</v>
      </c>
      <c r="M262">
        <f t="shared" si="17"/>
        <v>0.35</v>
      </c>
      <c r="N262">
        <f>IFERROR(_xlfn.XLOOKUP(B262,products!A:A,products!E:E),0)</f>
        <v>51.31</v>
      </c>
      <c r="O262">
        <f t="shared" si="18"/>
        <v>12006.54</v>
      </c>
      <c r="P262" t="str">
        <f t="shared" si="19"/>
        <v>Normal</v>
      </c>
      <c r="Q262" t="str">
        <f>IFERROR(_xlfn.XLOOKUP(B262,reorder_point!B:B,reorder_point!I:I),"")</f>
        <v>OK</v>
      </c>
      <c r="R262" t="str">
        <f>_xlfn.XLOOKUP(B262,products!A:A,products!B:B)</f>
        <v>SKU-0127</v>
      </c>
    </row>
    <row r="263" spans="1:18">
      <c r="A263">
        <v>262</v>
      </c>
      <c r="B263">
        <v>128</v>
      </c>
      <c r="C263" t="s">
        <v>122</v>
      </c>
      <c r="D263">
        <v>144</v>
      </c>
      <c r="E263" s="1">
        <v>46087</v>
      </c>
      <c r="F263" s="1" t="e">
        <f>_xlfn.XLOOKUP(B263,purchase_orders!C:C,purchase_orders!G:G)</f>
        <v>#N/A</v>
      </c>
      <c r="G263" s="5" t="e">
        <f t="shared" ca="1" si="16"/>
        <v>#N/A</v>
      </c>
      <c r="H263" s="2" t="e">
        <f ca="1">IF(G263&lt;=30,"0-30",IF(G263&lt;=60,"31-60",IF(G263&lt;=90,"61-90","90+")))</f>
        <v>#N/A</v>
      </c>
      <c r="I263">
        <f>SUMIFS(order_items!D:D,order_items!C:C,inventory!B263)</f>
        <v>65</v>
      </c>
      <c r="J263" t="str">
        <f>IF(D263&gt;I263*3,"Overstock","OK")</f>
        <v>OK</v>
      </c>
      <c r="K263">
        <f>IFERROR(_xlfn.XLOOKUP(B263,purchase_orders!C:C,purchase_orders!I:I),0)</f>
        <v>0</v>
      </c>
      <c r="L263">
        <f>(D263+K263)/2</f>
        <v>72</v>
      </c>
      <c r="M263">
        <f t="shared" si="17"/>
        <v>0.9</v>
      </c>
      <c r="N263">
        <f>IFERROR(_xlfn.XLOOKUP(B263,products!A:A,products!E:E),0)</f>
        <v>5.47</v>
      </c>
      <c r="O263">
        <f t="shared" si="18"/>
        <v>787.68</v>
      </c>
      <c r="P263" t="str">
        <f t="shared" si="19"/>
        <v>Normal</v>
      </c>
      <c r="Q263" t="str">
        <f>IFERROR(_xlfn.XLOOKUP(B263,reorder_point!B:B,reorder_point!I:I),"")</f>
        <v/>
      </c>
      <c r="R263" t="str">
        <f>_xlfn.XLOOKUP(B263,products!A:A,products!B:B)</f>
        <v>SKU-0128</v>
      </c>
    </row>
    <row r="264" spans="1:18">
      <c r="A264">
        <v>263</v>
      </c>
      <c r="B264">
        <v>128</v>
      </c>
      <c r="C264" t="s">
        <v>119</v>
      </c>
      <c r="D264">
        <v>431</v>
      </c>
      <c r="E264" s="1">
        <v>46113</v>
      </c>
      <c r="F264" s="1" t="e">
        <f>_xlfn.XLOOKUP(B264,purchase_orders!C:C,purchase_orders!G:G)</f>
        <v>#N/A</v>
      </c>
      <c r="G264" s="5" t="e">
        <f t="shared" ca="1" si="16"/>
        <v>#N/A</v>
      </c>
      <c r="H264" s="2" t="e">
        <f ca="1">IF(G264&lt;=30,"0-30",IF(G264&lt;=60,"31-60",IF(G264&lt;=90,"61-90","90+")))</f>
        <v>#N/A</v>
      </c>
      <c r="I264">
        <f>SUMIFS(order_items!D:D,order_items!C:C,inventory!B264)</f>
        <v>65</v>
      </c>
      <c r="J264" t="str">
        <f>IF(D264&gt;I264*3,"Overstock","OK")</f>
        <v>Overstock</v>
      </c>
      <c r="K264">
        <f>IFERROR(_xlfn.XLOOKUP(B264,purchase_orders!C:C,purchase_orders!I:I),0)</f>
        <v>0</v>
      </c>
      <c r="L264">
        <f>(D264+K264)/2</f>
        <v>215.5</v>
      </c>
      <c r="M264">
        <f t="shared" si="17"/>
        <v>0.3</v>
      </c>
      <c r="N264">
        <f>IFERROR(_xlfn.XLOOKUP(B264,products!A:A,products!E:E),0)</f>
        <v>5.47</v>
      </c>
      <c r="O264">
        <f t="shared" si="18"/>
        <v>2357.5699999999997</v>
      </c>
      <c r="P264" t="str">
        <f t="shared" si="19"/>
        <v>Normal</v>
      </c>
      <c r="Q264" t="str">
        <f>IFERROR(_xlfn.XLOOKUP(B264,reorder_point!B:B,reorder_point!I:I),"")</f>
        <v/>
      </c>
      <c r="R264" t="str">
        <f>_xlfn.XLOOKUP(B264,products!A:A,products!B:B)</f>
        <v>SKU-0128</v>
      </c>
    </row>
    <row r="265" spans="1:18">
      <c r="A265">
        <v>264</v>
      </c>
      <c r="B265">
        <v>128</v>
      </c>
      <c r="C265" t="s">
        <v>117</v>
      </c>
      <c r="D265">
        <v>146</v>
      </c>
      <c r="E265" s="1">
        <v>46089</v>
      </c>
      <c r="F265" s="1" t="e">
        <f>_xlfn.XLOOKUP(B265,purchase_orders!C:C,purchase_orders!G:G)</f>
        <v>#N/A</v>
      </c>
      <c r="G265" s="5" t="e">
        <f t="shared" ca="1" si="16"/>
        <v>#N/A</v>
      </c>
      <c r="H265" s="2" t="e">
        <f ca="1">IF(G265&lt;=30,"0-30",IF(G265&lt;=60,"31-60",IF(G265&lt;=90,"61-90","90+")))</f>
        <v>#N/A</v>
      </c>
      <c r="I265">
        <f>SUMIFS(order_items!D:D,order_items!C:C,inventory!B265)</f>
        <v>65</v>
      </c>
      <c r="J265" t="str">
        <f>IF(D265&gt;I265*3,"Overstock","OK")</f>
        <v>OK</v>
      </c>
      <c r="K265">
        <f>IFERROR(_xlfn.XLOOKUP(B265,purchase_orders!C:C,purchase_orders!I:I),0)</f>
        <v>0</v>
      </c>
      <c r="L265">
        <f>(D265+K265)/2</f>
        <v>73</v>
      </c>
      <c r="M265">
        <f t="shared" si="17"/>
        <v>0.89</v>
      </c>
      <c r="N265">
        <f>IFERROR(_xlfn.XLOOKUP(B265,products!A:A,products!E:E),0)</f>
        <v>5.47</v>
      </c>
      <c r="O265">
        <f t="shared" si="18"/>
        <v>798.62</v>
      </c>
      <c r="P265" t="str">
        <f t="shared" si="19"/>
        <v>Normal</v>
      </c>
      <c r="Q265" t="str">
        <f>IFERROR(_xlfn.XLOOKUP(B265,reorder_point!B:B,reorder_point!I:I),"")</f>
        <v/>
      </c>
      <c r="R265" t="str">
        <f>_xlfn.XLOOKUP(B265,products!A:A,products!B:B)</f>
        <v>SKU-0128</v>
      </c>
    </row>
    <row r="266" spans="1:18">
      <c r="A266">
        <v>265</v>
      </c>
      <c r="B266">
        <v>129</v>
      </c>
      <c r="C266" t="s">
        <v>117</v>
      </c>
      <c r="D266">
        <v>68</v>
      </c>
      <c r="E266" s="1">
        <v>46097</v>
      </c>
      <c r="F266" s="1">
        <f>_xlfn.XLOOKUP(B266,purchase_orders!C:C,purchase_orders!G:G)</f>
        <v>46052</v>
      </c>
      <c r="G266" s="5">
        <f t="shared" ca="1" si="16"/>
        <v>112</v>
      </c>
      <c r="H266" s="2" t="str">
        <f ca="1">IF(G266&lt;=30,"0-30",IF(G266&lt;=60,"31-60",IF(G266&lt;=90,"61-90","90+")))</f>
        <v>90+</v>
      </c>
      <c r="I266">
        <f>SUMIFS(order_items!D:D,order_items!C:C,inventory!B266)</f>
        <v>23</v>
      </c>
      <c r="J266" t="str">
        <f>IF(D266&gt;I266*3,"Overstock","OK")</f>
        <v>OK</v>
      </c>
      <c r="K266">
        <f>IFERROR(_xlfn.XLOOKUP(B266,purchase_orders!C:C,purchase_orders!I:I),0)</f>
        <v>790</v>
      </c>
      <c r="L266">
        <f>(D266+K266)/2</f>
        <v>429</v>
      </c>
      <c r="M266">
        <f t="shared" si="17"/>
        <v>0.05</v>
      </c>
      <c r="N266">
        <f>IFERROR(_xlfn.XLOOKUP(B266,products!A:A,products!E:E),0)</f>
        <v>55.42</v>
      </c>
      <c r="O266">
        <f t="shared" si="18"/>
        <v>3768.56</v>
      </c>
      <c r="P266" t="str">
        <f t="shared" si="19"/>
        <v>Normal</v>
      </c>
      <c r="Q266" t="str">
        <f>IFERROR(_xlfn.XLOOKUP(B266,reorder_point!B:B,reorder_point!I:I),"")</f>
        <v>OK</v>
      </c>
      <c r="R266" t="str">
        <f>_xlfn.XLOOKUP(B266,products!A:A,products!B:B)</f>
        <v>SKU-0129</v>
      </c>
    </row>
    <row r="267" spans="1:18">
      <c r="A267">
        <v>266</v>
      </c>
      <c r="B267">
        <v>130</v>
      </c>
      <c r="C267" t="s">
        <v>117</v>
      </c>
      <c r="D267">
        <v>23</v>
      </c>
      <c r="E267" s="1">
        <v>46107</v>
      </c>
      <c r="F267" s="1">
        <f>_xlfn.XLOOKUP(B267,purchase_orders!C:C,purchase_orders!G:G)</f>
        <v>46062</v>
      </c>
      <c r="G267" s="5">
        <f t="shared" ca="1" si="16"/>
        <v>102</v>
      </c>
      <c r="H267" s="2" t="str">
        <f ca="1">IF(G267&lt;=30,"0-30",IF(G267&lt;=60,"31-60",IF(G267&lt;=90,"61-90","90+")))</f>
        <v>90+</v>
      </c>
      <c r="I267">
        <f>SUMIFS(order_items!D:D,order_items!C:C,inventory!B267)</f>
        <v>34</v>
      </c>
      <c r="J267" t="str">
        <f>IF(D267&gt;I267*3,"Overstock","OK")</f>
        <v>OK</v>
      </c>
      <c r="K267">
        <f>IFERROR(_xlfn.XLOOKUP(B267,purchase_orders!C:C,purchase_orders!I:I),0)</f>
        <v>958</v>
      </c>
      <c r="L267">
        <f>(D267+K267)/2</f>
        <v>490.5</v>
      </c>
      <c r="M267">
        <f t="shared" si="17"/>
        <v>7.0000000000000007E-2</v>
      </c>
      <c r="N267">
        <f>IFERROR(_xlfn.XLOOKUP(B267,products!A:A,products!E:E),0)</f>
        <v>142.87</v>
      </c>
      <c r="O267">
        <f t="shared" si="18"/>
        <v>3286.01</v>
      </c>
      <c r="P267" t="str">
        <f t="shared" si="19"/>
        <v>Normal</v>
      </c>
      <c r="Q267" t="str">
        <f>IFERROR(_xlfn.XLOOKUP(B267,reorder_point!B:B,reorder_point!I:I),"")</f>
        <v>OK</v>
      </c>
      <c r="R267" t="str">
        <f>_xlfn.XLOOKUP(B267,products!A:A,products!B:B)</f>
        <v>SKU-0130</v>
      </c>
    </row>
    <row r="268" spans="1:18">
      <c r="A268">
        <v>267</v>
      </c>
      <c r="B268">
        <v>130</v>
      </c>
      <c r="C268" t="s">
        <v>122</v>
      </c>
      <c r="D268">
        <v>287</v>
      </c>
      <c r="E268" s="1">
        <v>46108</v>
      </c>
      <c r="F268" s="1">
        <f>_xlfn.XLOOKUP(B268,purchase_orders!C:C,purchase_orders!G:G)</f>
        <v>46062</v>
      </c>
      <c r="G268" s="5">
        <f t="shared" ca="1" si="16"/>
        <v>102</v>
      </c>
      <c r="H268" s="2" t="str">
        <f ca="1">IF(G268&lt;=30,"0-30",IF(G268&lt;=60,"31-60",IF(G268&lt;=90,"61-90","90+")))</f>
        <v>90+</v>
      </c>
      <c r="I268">
        <f>SUMIFS(order_items!D:D,order_items!C:C,inventory!B268)</f>
        <v>34</v>
      </c>
      <c r="J268" t="str">
        <f>IF(D268&gt;I268*3,"Overstock","OK")</f>
        <v>Overstock</v>
      </c>
      <c r="K268">
        <f>IFERROR(_xlfn.XLOOKUP(B268,purchase_orders!C:C,purchase_orders!I:I),0)</f>
        <v>958</v>
      </c>
      <c r="L268">
        <f>(D268+K268)/2</f>
        <v>622.5</v>
      </c>
      <c r="M268">
        <f t="shared" si="17"/>
        <v>0.05</v>
      </c>
      <c r="N268">
        <f>IFERROR(_xlfn.XLOOKUP(B268,products!A:A,products!E:E),0)</f>
        <v>142.87</v>
      </c>
      <c r="O268">
        <f t="shared" si="18"/>
        <v>41003.69</v>
      </c>
      <c r="P268" t="str">
        <f t="shared" si="19"/>
        <v>Normal</v>
      </c>
      <c r="Q268" t="str">
        <f>IFERROR(_xlfn.XLOOKUP(B268,reorder_point!B:B,reorder_point!I:I),"")</f>
        <v>OK</v>
      </c>
      <c r="R268" t="str">
        <f>_xlfn.XLOOKUP(B268,products!A:A,products!B:B)</f>
        <v>SKU-0130</v>
      </c>
    </row>
    <row r="269" spans="1:18">
      <c r="A269">
        <v>268</v>
      </c>
      <c r="B269">
        <v>131</v>
      </c>
      <c r="C269" t="s">
        <v>119</v>
      </c>
      <c r="D269">
        <v>258</v>
      </c>
      <c r="E269" s="1">
        <v>46108</v>
      </c>
      <c r="F269" s="1">
        <f>_xlfn.XLOOKUP(B269,purchase_orders!C:C,purchase_orders!G:G)</f>
        <v>46137</v>
      </c>
      <c r="G269" s="5">
        <f t="shared" ca="1" si="16"/>
        <v>27</v>
      </c>
      <c r="H269" s="2" t="str">
        <f ca="1">IF(G269&lt;=30,"0-30",IF(G269&lt;=60,"31-60",IF(G269&lt;=90,"61-90","90+")))</f>
        <v>0-30</v>
      </c>
      <c r="I269">
        <f>SUMIFS(order_items!D:D,order_items!C:C,inventory!B269)</f>
        <v>36</v>
      </c>
      <c r="J269" t="str">
        <f>IF(D269&gt;I269*3,"Overstock","OK")</f>
        <v>Overstock</v>
      </c>
      <c r="K269">
        <f>IFERROR(_xlfn.XLOOKUP(B269,purchase_orders!C:C,purchase_orders!I:I),0)</f>
        <v>123</v>
      </c>
      <c r="L269">
        <f>(D269+K269)/2</f>
        <v>190.5</v>
      </c>
      <c r="M269">
        <f t="shared" si="17"/>
        <v>0.19</v>
      </c>
      <c r="N269">
        <f>IFERROR(_xlfn.XLOOKUP(B269,products!A:A,products!E:E),0)</f>
        <v>44.34</v>
      </c>
      <c r="O269">
        <f t="shared" si="18"/>
        <v>11439.720000000001</v>
      </c>
      <c r="P269" t="str">
        <f t="shared" si="19"/>
        <v>Normal</v>
      </c>
      <c r="Q269" t="str">
        <f>IFERROR(_xlfn.XLOOKUP(B269,reorder_point!B:B,reorder_point!I:I),"")</f>
        <v>OK</v>
      </c>
      <c r="R269" t="str">
        <f>_xlfn.XLOOKUP(B269,products!A:A,products!B:B)</f>
        <v>SKU-0131</v>
      </c>
    </row>
    <row r="270" spans="1:18">
      <c r="A270">
        <v>269</v>
      </c>
      <c r="B270">
        <v>131</v>
      </c>
      <c r="C270" t="s">
        <v>117</v>
      </c>
      <c r="D270">
        <v>143</v>
      </c>
      <c r="E270" s="1">
        <v>46104</v>
      </c>
      <c r="F270" s="1">
        <f>_xlfn.XLOOKUP(B270,purchase_orders!C:C,purchase_orders!G:G)</f>
        <v>46137</v>
      </c>
      <c r="G270" s="5">
        <f t="shared" ca="1" si="16"/>
        <v>27</v>
      </c>
      <c r="H270" s="2" t="str">
        <f ca="1">IF(G270&lt;=30,"0-30",IF(G270&lt;=60,"31-60",IF(G270&lt;=90,"61-90","90+")))</f>
        <v>0-30</v>
      </c>
      <c r="I270">
        <f>SUMIFS(order_items!D:D,order_items!C:C,inventory!B270)</f>
        <v>36</v>
      </c>
      <c r="J270" t="str">
        <f>IF(D270&gt;I270*3,"Overstock","OK")</f>
        <v>Overstock</v>
      </c>
      <c r="K270">
        <f>IFERROR(_xlfn.XLOOKUP(B270,purchase_orders!C:C,purchase_orders!I:I),0)</f>
        <v>123</v>
      </c>
      <c r="L270">
        <f>(D270+K270)/2</f>
        <v>133</v>
      </c>
      <c r="M270">
        <f t="shared" si="17"/>
        <v>0.27</v>
      </c>
      <c r="N270">
        <f>IFERROR(_xlfn.XLOOKUP(B270,products!A:A,products!E:E),0)</f>
        <v>44.34</v>
      </c>
      <c r="O270">
        <f t="shared" si="18"/>
        <v>6340.6200000000008</v>
      </c>
      <c r="P270" t="str">
        <f t="shared" si="19"/>
        <v>Normal</v>
      </c>
      <c r="Q270" t="str">
        <f>IFERROR(_xlfn.XLOOKUP(B270,reorder_point!B:B,reorder_point!I:I),"")</f>
        <v>OK</v>
      </c>
      <c r="R270" t="str">
        <f>_xlfn.XLOOKUP(B270,products!A:A,products!B:B)</f>
        <v>SKU-0131</v>
      </c>
    </row>
    <row r="271" spans="1:18">
      <c r="A271">
        <v>270</v>
      </c>
      <c r="B271">
        <v>132</v>
      </c>
      <c r="C271" t="s">
        <v>119</v>
      </c>
      <c r="D271">
        <v>201</v>
      </c>
      <c r="E271" s="1">
        <v>46122</v>
      </c>
      <c r="F271" s="1">
        <f>_xlfn.XLOOKUP(B271,purchase_orders!C:C,purchase_orders!G:G)</f>
        <v>46092</v>
      </c>
      <c r="G271" s="5">
        <f t="shared" ca="1" si="16"/>
        <v>72</v>
      </c>
      <c r="H271" s="2" t="str">
        <f ca="1">IF(G271&lt;=30,"0-30",IF(G271&lt;=60,"31-60",IF(G271&lt;=90,"61-90","90+")))</f>
        <v>61-90</v>
      </c>
      <c r="I271">
        <f>SUMIFS(order_items!D:D,order_items!C:C,inventory!B271)</f>
        <v>18</v>
      </c>
      <c r="J271" t="str">
        <f>IF(D271&gt;I271*3,"Overstock","OK")</f>
        <v>Overstock</v>
      </c>
      <c r="K271">
        <f>IFERROR(_xlfn.XLOOKUP(B271,purchase_orders!C:C,purchase_orders!I:I),0)</f>
        <v>486</v>
      </c>
      <c r="L271">
        <f>(D271+K271)/2</f>
        <v>343.5</v>
      </c>
      <c r="M271">
        <f t="shared" si="17"/>
        <v>0.05</v>
      </c>
      <c r="N271">
        <f>IFERROR(_xlfn.XLOOKUP(B271,products!A:A,products!E:E),0)</f>
        <v>15.44</v>
      </c>
      <c r="O271">
        <f t="shared" si="18"/>
        <v>3103.44</v>
      </c>
      <c r="P271" t="str">
        <f t="shared" si="19"/>
        <v>Normal</v>
      </c>
      <c r="Q271" t="str">
        <f>IFERROR(_xlfn.XLOOKUP(B271,reorder_point!B:B,reorder_point!I:I),"")</f>
        <v>OK</v>
      </c>
      <c r="R271" t="str">
        <f>_xlfn.XLOOKUP(B271,products!A:A,products!B:B)</f>
        <v>SKU-0132</v>
      </c>
    </row>
    <row r="272" spans="1:18">
      <c r="A272">
        <v>271</v>
      </c>
      <c r="B272">
        <v>132</v>
      </c>
      <c r="C272" t="s">
        <v>118</v>
      </c>
      <c r="D272">
        <v>285</v>
      </c>
      <c r="E272" s="1">
        <v>46095</v>
      </c>
      <c r="F272" s="1">
        <f>_xlfn.XLOOKUP(B272,purchase_orders!C:C,purchase_orders!G:G)</f>
        <v>46092</v>
      </c>
      <c r="G272" s="5">
        <f t="shared" ca="1" si="16"/>
        <v>72</v>
      </c>
      <c r="H272" s="2" t="str">
        <f ca="1">IF(G272&lt;=30,"0-30",IF(G272&lt;=60,"31-60",IF(G272&lt;=90,"61-90","90+")))</f>
        <v>61-90</v>
      </c>
      <c r="I272">
        <f>SUMIFS(order_items!D:D,order_items!C:C,inventory!B272)</f>
        <v>18</v>
      </c>
      <c r="J272" t="str">
        <f>IF(D272&gt;I272*3,"Overstock","OK")</f>
        <v>Overstock</v>
      </c>
      <c r="K272">
        <f>IFERROR(_xlfn.XLOOKUP(B272,purchase_orders!C:C,purchase_orders!I:I),0)</f>
        <v>486</v>
      </c>
      <c r="L272">
        <f>(D272+K272)/2</f>
        <v>385.5</v>
      </c>
      <c r="M272">
        <f t="shared" si="17"/>
        <v>0.05</v>
      </c>
      <c r="N272">
        <f>IFERROR(_xlfn.XLOOKUP(B272,products!A:A,products!E:E),0)</f>
        <v>15.44</v>
      </c>
      <c r="O272">
        <f t="shared" si="18"/>
        <v>4400.3999999999996</v>
      </c>
      <c r="P272" t="str">
        <f t="shared" si="19"/>
        <v>Normal</v>
      </c>
      <c r="Q272" t="str">
        <f>IFERROR(_xlfn.XLOOKUP(B272,reorder_point!B:B,reorder_point!I:I),"")</f>
        <v>OK</v>
      </c>
      <c r="R272" t="str">
        <f>_xlfn.XLOOKUP(B272,products!A:A,products!B:B)</f>
        <v>SKU-0132</v>
      </c>
    </row>
    <row r="273" spans="1:18">
      <c r="A273">
        <v>272</v>
      </c>
      <c r="B273">
        <v>132</v>
      </c>
      <c r="C273" t="s">
        <v>119</v>
      </c>
      <c r="D273">
        <v>73</v>
      </c>
      <c r="E273" s="1">
        <v>46111</v>
      </c>
      <c r="F273" s="1">
        <f>_xlfn.XLOOKUP(B273,purchase_orders!C:C,purchase_orders!G:G)</f>
        <v>46092</v>
      </c>
      <c r="G273" s="5">
        <f t="shared" ca="1" si="16"/>
        <v>72</v>
      </c>
      <c r="H273" s="2" t="str">
        <f ca="1">IF(G273&lt;=30,"0-30",IF(G273&lt;=60,"31-60",IF(G273&lt;=90,"61-90","90+")))</f>
        <v>61-90</v>
      </c>
      <c r="I273">
        <f>SUMIFS(order_items!D:D,order_items!C:C,inventory!B273)</f>
        <v>18</v>
      </c>
      <c r="J273" t="str">
        <f>IF(D273&gt;I273*3,"Overstock","OK")</f>
        <v>Overstock</v>
      </c>
      <c r="K273">
        <f>IFERROR(_xlfn.XLOOKUP(B273,purchase_orders!C:C,purchase_orders!I:I),0)</f>
        <v>486</v>
      </c>
      <c r="L273">
        <f>(D273+K273)/2</f>
        <v>279.5</v>
      </c>
      <c r="M273">
        <f t="shared" si="17"/>
        <v>0.06</v>
      </c>
      <c r="N273">
        <f>IFERROR(_xlfn.XLOOKUP(B273,products!A:A,products!E:E),0)</f>
        <v>15.44</v>
      </c>
      <c r="O273">
        <f t="shared" si="18"/>
        <v>1127.1199999999999</v>
      </c>
      <c r="P273" t="str">
        <f t="shared" si="19"/>
        <v>Normal</v>
      </c>
      <c r="Q273" t="str">
        <f>IFERROR(_xlfn.XLOOKUP(B273,reorder_point!B:B,reorder_point!I:I),"")</f>
        <v>OK</v>
      </c>
      <c r="R273" t="str">
        <f>_xlfn.XLOOKUP(B273,products!A:A,products!B:B)</f>
        <v>SKU-0132</v>
      </c>
    </row>
    <row r="274" spans="1:18">
      <c r="A274">
        <v>273</v>
      </c>
      <c r="B274">
        <v>133</v>
      </c>
      <c r="C274" t="s">
        <v>121</v>
      </c>
      <c r="D274">
        <v>23</v>
      </c>
      <c r="E274" s="1">
        <v>46098</v>
      </c>
      <c r="F274" s="1">
        <f>_xlfn.XLOOKUP(B274,purchase_orders!C:C,purchase_orders!G:G)</f>
        <v>46079</v>
      </c>
      <c r="G274" s="5">
        <f t="shared" ca="1" si="16"/>
        <v>85</v>
      </c>
      <c r="H274" s="2" t="str">
        <f ca="1">IF(G274&lt;=30,"0-30",IF(G274&lt;=60,"31-60",IF(G274&lt;=90,"61-90","90+")))</f>
        <v>61-90</v>
      </c>
      <c r="I274">
        <f>SUMIFS(order_items!D:D,order_items!C:C,inventory!B274)</f>
        <v>28</v>
      </c>
      <c r="J274" t="str">
        <f>IF(D274&gt;I274*3,"Overstock","OK")</f>
        <v>OK</v>
      </c>
      <c r="K274">
        <f>IFERROR(_xlfn.XLOOKUP(B274,purchase_orders!C:C,purchase_orders!I:I),0)</f>
        <v>669</v>
      </c>
      <c r="L274">
        <f>(D274+K274)/2</f>
        <v>346</v>
      </c>
      <c r="M274">
        <f t="shared" si="17"/>
        <v>0.08</v>
      </c>
      <c r="N274">
        <f>IFERROR(_xlfn.XLOOKUP(B274,products!A:A,products!E:E),0)</f>
        <v>125.52</v>
      </c>
      <c r="O274">
        <f t="shared" si="18"/>
        <v>2886.96</v>
      </c>
      <c r="P274" t="str">
        <f t="shared" si="19"/>
        <v>Normal</v>
      </c>
      <c r="Q274" t="str">
        <f>IFERROR(_xlfn.XLOOKUP(B274,reorder_point!B:B,reorder_point!I:I),"")</f>
        <v>OK</v>
      </c>
      <c r="R274" t="str">
        <f>_xlfn.XLOOKUP(B274,products!A:A,products!B:B)</f>
        <v>SKU-0133</v>
      </c>
    </row>
    <row r="275" spans="1:18">
      <c r="A275">
        <v>274</v>
      </c>
      <c r="B275">
        <v>133</v>
      </c>
      <c r="C275" t="s">
        <v>119</v>
      </c>
      <c r="D275">
        <v>170</v>
      </c>
      <c r="E275" s="1">
        <v>46110</v>
      </c>
      <c r="F275" s="1">
        <f>_xlfn.XLOOKUP(B275,purchase_orders!C:C,purchase_orders!G:G)</f>
        <v>46079</v>
      </c>
      <c r="G275" s="5">
        <f t="shared" ca="1" si="16"/>
        <v>85</v>
      </c>
      <c r="H275" s="2" t="str">
        <f ca="1">IF(G275&lt;=30,"0-30",IF(G275&lt;=60,"31-60",IF(G275&lt;=90,"61-90","90+")))</f>
        <v>61-90</v>
      </c>
      <c r="I275">
        <f>SUMIFS(order_items!D:D,order_items!C:C,inventory!B275)</f>
        <v>28</v>
      </c>
      <c r="J275" t="str">
        <f>IF(D275&gt;I275*3,"Overstock","OK")</f>
        <v>Overstock</v>
      </c>
      <c r="K275">
        <f>IFERROR(_xlfn.XLOOKUP(B275,purchase_orders!C:C,purchase_orders!I:I),0)</f>
        <v>669</v>
      </c>
      <c r="L275">
        <f>(D275+K275)/2</f>
        <v>419.5</v>
      </c>
      <c r="M275">
        <f t="shared" si="17"/>
        <v>7.0000000000000007E-2</v>
      </c>
      <c r="N275">
        <f>IFERROR(_xlfn.XLOOKUP(B275,products!A:A,products!E:E),0)</f>
        <v>125.52</v>
      </c>
      <c r="O275">
        <f t="shared" si="18"/>
        <v>21338.399999999998</v>
      </c>
      <c r="P275" t="str">
        <f t="shared" si="19"/>
        <v>Normal</v>
      </c>
      <c r="Q275" t="str">
        <f>IFERROR(_xlfn.XLOOKUP(B275,reorder_point!B:B,reorder_point!I:I),"")</f>
        <v>OK</v>
      </c>
      <c r="R275" t="str">
        <f>_xlfn.XLOOKUP(B275,products!A:A,products!B:B)</f>
        <v>SKU-0133</v>
      </c>
    </row>
    <row r="276" spans="1:18">
      <c r="A276">
        <v>275</v>
      </c>
      <c r="B276">
        <v>134</v>
      </c>
      <c r="C276" t="s">
        <v>118</v>
      </c>
      <c r="D276">
        <v>167</v>
      </c>
      <c r="E276" s="1">
        <v>46123</v>
      </c>
      <c r="F276" s="1">
        <f>_xlfn.XLOOKUP(B276,purchase_orders!C:C,purchase_orders!G:G)</f>
        <v>46078</v>
      </c>
      <c r="G276" s="5">
        <f t="shared" ca="1" si="16"/>
        <v>86</v>
      </c>
      <c r="H276" s="2" t="str">
        <f ca="1">IF(G276&lt;=30,"0-30",IF(G276&lt;=60,"31-60",IF(G276&lt;=90,"61-90","90+")))</f>
        <v>61-90</v>
      </c>
      <c r="I276">
        <f>SUMIFS(order_items!D:D,order_items!C:C,inventory!B276)</f>
        <v>68</v>
      </c>
      <c r="J276" t="str">
        <f>IF(D276&gt;I276*3,"Overstock","OK")</f>
        <v>OK</v>
      </c>
      <c r="K276">
        <f>IFERROR(_xlfn.XLOOKUP(B276,purchase_orders!C:C,purchase_orders!I:I),0)</f>
        <v>456</v>
      </c>
      <c r="L276">
        <f>(D276+K276)/2</f>
        <v>311.5</v>
      </c>
      <c r="M276">
        <f t="shared" si="17"/>
        <v>0.22</v>
      </c>
      <c r="N276">
        <f>IFERROR(_xlfn.XLOOKUP(B276,products!A:A,products!E:E),0)</f>
        <v>19.079999999999998</v>
      </c>
      <c r="O276">
        <f t="shared" si="18"/>
        <v>3186.3599999999997</v>
      </c>
      <c r="P276" t="str">
        <f t="shared" si="19"/>
        <v>Normal</v>
      </c>
      <c r="Q276" t="str">
        <f>IFERROR(_xlfn.XLOOKUP(B276,reorder_point!B:B,reorder_point!I:I),"")</f>
        <v>OK</v>
      </c>
      <c r="R276" t="str">
        <f>_xlfn.XLOOKUP(B276,products!A:A,products!B:B)</f>
        <v>SKU-0134</v>
      </c>
    </row>
    <row r="277" spans="1:18">
      <c r="A277">
        <v>276</v>
      </c>
      <c r="B277">
        <v>134</v>
      </c>
      <c r="C277" t="s">
        <v>121</v>
      </c>
      <c r="D277">
        <v>83</v>
      </c>
      <c r="E277" s="1">
        <v>46104</v>
      </c>
      <c r="F277" s="1">
        <f>_xlfn.XLOOKUP(B277,purchase_orders!C:C,purchase_orders!G:G)</f>
        <v>46078</v>
      </c>
      <c r="G277" s="5">
        <f t="shared" ca="1" si="16"/>
        <v>86</v>
      </c>
      <c r="H277" s="2" t="str">
        <f ca="1">IF(G277&lt;=30,"0-30",IF(G277&lt;=60,"31-60",IF(G277&lt;=90,"61-90","90+")))</f>
        <v>61-90</v>
      </c>
      <c r="I277">
        <f>SUMIFS(order_items!D:D,order_items!C:C,inventory!B277)</f>
        <v>68</v>
      </c>
      <c r="J277" t="str">
        <f>IF(D277&gt;I277*3,"Overstock","OK")</f>
        <v>OK</v>
      </c>
      <c r="K277">
        <f>IFERROR(_xlfn.XLOOKUP(B277,purchase_orders!C:C,purchase_orders!I:I),0)</f>
        <v>456</v>
      </c>
      <c r="L277">
        <f>(D277+K277)/2</f>
        <v>269.5</v>
      </c>
      <c r="M277">
        <f t="shared" si="17"/>
        <v>0.25</v>
      </c>
      <c r="N277">
        <f>IFERROR(_xlfn.XLOOKUP(B277,products!A:A,products!E:E),0)</f>
        <v>19.079999999999998</v>
      </c>
      <c r="O277">
        <f t="shared" si="18"/>
        <v>1583.6399999999999</v>
      </c>
      <c r="P277" t="str">
        <f t="shared" si="19"/>
        <v>Normal</v>
      </c>
      <c r="Q277" t="str">
        <f>IFERROR(_xlfn.XLOOKUP(B277,reorder_point!B:B,reorder_point!I:I),"")</f>
        <v>OK</v>
      </c>
      <c r="R277" t="str">
        <f>_xlfn.XLOOKUP(B277,products!A:A,products!B:B)</f>
        <v>SKU-0134</v>
      </c>
    </row>
    <row r="278" spans="1:18">
      <c r="A278">
        <v>277</v>
      </c>
      <c r="B278">
        <v>135</v>
      </c>
      <c r="C278" t="s">
        <v>120</v>
      </c>
      <c r="D278">
        <v>424</v>
      </c>
      <c r="E278" s="1">
        <v>46112</v>
      </c>
      <c r="F278" s="1">
        <f>_xlfn.XLOOKUP(B278,purchase_orders!C:C,purchase_orders!G:G)</f>
        <v>46141</v>
      </c>
      <c r="G278" s="5">
        <f t="shared" ca="1" si="16"/>
        <v>23</v>
      </c>
      <c r="H278" s="2" t="str">
        <f ca="1">IF(G278&lt;=30,"0-30",IF(G278&lt;=60,"31-60",IF(G278&lt;=90,"61-90","90+")))</f>
        <v>0-30</v>
      </c>
      <c r="I278">
        <f>SUMIFS(order_items!D:D,order_items!C:C,inventory!B278)</f>
        <v>33</v>
      </c>
      <c r="J278" t="str">
        <f>IF(D278&gt;I278*3,"Overstock","OK")</f>
        <v>Overstock</v>
      </c>
      <c r="K278">
        <f>IFERROR(_xlfn.XLOOKUP(B278,purchase_orders!C:C,purchase_orders!I:I),0)</f>
        <v>13</v>
      </c>
      <c r="L278">
        <f>(D278+K278)/2</f>
        <v>218.5</v>
      </c>
      <c r="M278">
        <f t="shared" si="17"/>
        <v>0.15</v>
      </c>
      <c r="N278">
        <f>IFERROR(_xlfn.XLOOKUP(B278,products!A:A,products!E:E),0)</f>
        <v>48.81</v>
      </c>
      <c r="O278">
        <f t="shared" si="18"/>
        <v>20695.440000000002</v>
      </c>
      <c r="P278" t="str">
        <f t="shared" si="19"/>
        <v>Normal</v>
      </c>
      <c r="Q278" t="str">
        <f>IFERROR(_xlfn.XLOOKUP(B278,reorder_point!B:B,reorder_point!I:I),"")</f>
        <v>OK</v>
      </c>
      <c r="R278" t="str">
        <f>_xlfn.XLOOKUP(B278,products!A:A,products!B:B)</f>
        <v>SKU-0135</v>
      </c>
    </row>
    <row r="279" spans="1:18">
      <c r="A279">
        <v>278</v>
      </c>
      <c r="B279">
        <v>135</v>
      </c>
      <c r="C279" t="s">
        <v>122</v>
      </c>
      <c r="D279">
        <v>362</v>
      </c>
      <c r="E279" s="1">
        <v>46113</v>
      </c>
      <c r="F279" s="1">
        <f>_xlfn.XLOOKUP(B279,purchase_orders!C:C,purchase_orders!G:G)</f>
        <v>46141</v>
      </c>
      <c r="G279" s="5">
        <f t="shared" ca="1" si="16"/>
        <v>23</v>
      </c>
      <c r="H279" s="2" t="str">
        <f ca="1">IF(G279&lt;=30,"0-30",IF(G279&lt;=60,"31-60",IF(G279&lt;=90,"61-90","90+")))</f>
        <v>0-30</v>
      </c>
      <c r="I279">
        <f>SUMIFS(order_items!D:D,order_items!C:C,inventory!B279)</f>
        <v>33</v>
      </c>
      <c r="J279" t="str">
        <f>IF(D279&gt;I279*3,"Overstock","OK")</f>
        <v>Overstock</v>
      </c>
      <c r="K279">
        <f>IFERROR(_xlfn.XLOOKUP(B279,purchase_orders!C:C,purchase_orders!I:I),0)</f>
        <v>13</v>
      </c>
      <c r="L279">
        <f>(D279+K279)/2</f>
        <v>187.5</v>
      </c>
      <c r="M279">
        <f t="shared" si="17"/>
        <v>0.18</v>
      </c>
      <c r="N279">
        <f>IFERROR(_xlfn.XLOOKUP(B279,products!A:A,products!E:E),0)</f>
        <v>48.81</v>
      </c>
      <c r="O279">
        <f t="shared" si="18"/>
        <v>17669.22</v>
      </c>
      <c r="P279" t="str">
        <f t="shared" si="19"/>
        <v>Normal</v>
      </c>
      <c r="Q279" t="str">
        <f>IFERROR(_xlfn.XLOOKUP(B279,reorder_point!B:B,reorder_point!I:I),"")</f>
        <v>OK</v>
      </c>
      <c r="R279" t="str">
        <f>_xlfn.XLOOKUP(B279,products!A:A,products!B:B)</f>
        <v>SKU-0135</v>
      </c>
    </row>
    <row r="280" spans="1:18">
      <c r="A280">
        <v>279</v>
      </c>
      <c r="B280">
        <v>135</v>
      </c>
      <c r="C280" t="s">
        <v>121</v>
      </c>
      <c r="D280">
        <v>0</v>
      </c>
      <c r="E280" s="1">
        <v>46100</v>
      </c>
      <c r="F280" s="1">
        <f>_xlfn.XLOOKUP(B280,purchase_orders!C:C,purchase_orders!G:G)</f>
        <v>46141</v>
      </c>
      <c r="G280" s="5">
        <f t="shared" ca="1" si="16"/>
        <v>23</v>
      </c>
      <c r="H280" s="2" t="str">
        <f ca="1">IF(G280&lt;=30,"0-30",IF(G280&lt;=60,"31-60",IF(G280&lt;=90,"61-90","90+")))</f>
        <v>0-30</v>
      </c>
      <c r="I280">
        <f>SUMIFS(order_items!D:D,order_items!C:C,inventory!B280)</f>
        <v>33</v>
      </c>
      <c r="J280" t="str">
        <f>IF(D280&gt;I280*3,"Overstock","OK")</f>
        <v>OK</v>
      </c>
      <c r="K280">
        <f>IFERROR(_xlfn.XLOOKUP(B280,purchase_orders!C:C,purchase_orders!I:I),0)</f>
        <v>13</v>
      </c>
      <c r="L280">
        <f>(D280+K280)/2</f>
        <v>6.5</v>
      </c>
      <c r="M280">
        <f t="shared" si="17"/>
        <v>5.08</v>
      </c>
      <c r="N280">
        <f>IFERROR(_xlfn.XLOOKUP(B280,products!A:A,products!E:E),0)</f>
        <v>48.81</v>
      </c>
      <c r="O280">
        <f t="shared" si="18"/>
        <v>0</v>
      </c>
      <c r="P280" t="str">
        <f t="shared" si="19"/>
        <v>Normal</v>
      </c>
      <c r="Q280" t="str">
        <f>IFERROR(_xlfn.XLOOKUP(B280,reorder_point!B:B,reorder_point!I:I),"")</f>
        <v>OK</v>
      </c>
      <c r="R280" t="str">
        <f>_xlfn.XLOOKUP(B280,products!A:A,products!B:B)</f>
        <v>SKU-0135</v>
      </c>
    </row>
    <row r="281" spans="1:18">
      <c r="A281">
        <v>280</v>
      </c>
      <c r="B281">
        <v>136</v>
      </c>
      <c r="C281" t="s">
        <v>117</v>
      </c>
      <c r="D281">
        <v>298</v>
      </c>
      <c r="E281" s="1">
        <v>46086</v>
      </c>
      <c r="F281" s="1">
        <f>_xlfn.XLOOKUP(B281,purchase_orders!C:C,purchase_orders!G:G)</f>
        <v>46096</v>
      </c>
      <c r="G281" s="5">
        <f t="shared" ca="1" si="16"/>
        <v>68</v>
      </c>
      <c r="H281" s="2" t="str">
        <f ca="1">IF(G281&lt;=30,"0-30",IF(G281&lt;=60,"31-60",IF(G281&lt;=90,"61-90","90+")))</f>
        <v>61-90</v>
      </c>
      <c r="I281">
        <f>SUMIFS(order_items!D:D,order_items!C:C,inventory!B281)</f>
        <v>27</v>
      </c>
      <c r="J281" t="str">
        <f>IF(D281&gt;I281*3,"Overstock","OK")</f>
        <v>Overstock</v>
      </c>
      <c r="K281">
        <f>IFERROR(_xlfn.XLOOKUP(B281,purchase_orders!C:C,purchase_orders!I:I),0)</f>
        <v>497</v>
      </c>
      <c r="L281">
        <f>(D281+K281)/2</f>
        <v>397.5</v>
      </c>
      <c r="M281">
        <f t="shared" si="17"/>
        <v>7.0000000000000007E-2</v>
      </c>
      <c r="N281">
        <f>IFERROR(_xlfn.XLOOKUP(B281,products!A:A,products!E:E),0)</f>
        <v>12.04</v>
      </c>
      <c r="O281">
        <f t="shared" si="18"/>
        <v>3587.9199999999996</v>
      </c>
      <c r="P281" t="str">
        <f t="shared" si="19"/>
        <v>Normal</v>
      </c>
      <c r="Q281" t="str">
        <f>IFERROR(_xlfn.XLOOKUP(B281,reorder_point!B:B,reorder_point!I:I),"")</f>
        <v>OK</v>
      </c>
      <c r="R281" t="str">
        <f>_xlfn.XLOOKUP(B281,products!A:A,products!B:B)</f>
        <v>SKU-0136</v>
      </c>
    </row>
    <row r="282" spans="1:18">
      <c r="A282">
        <v>281</v>
      </c>
      <c r="B282">
        <v>137</v>
      </c>
      <c r="C282" t="s">
        <v>119</v>
      </c>
      <c r="D282">
        <v>495</v>
      </c>
      <c r="E282" s="1">
        <v>46094</v>
      </c>
      <c r="F282" s="1">
        <f>_xlfn.XLOOKUP(B282,purchase_orders!C:C,purchase_orders!G:G)</f>
        <v>46128</v>
      </c>
      <c r="G282" s="5">
        <f t="shared" ca="1" si="16"/>
        <v>36</v>
      </c>
      <c r="H282" s="2" t="str">
        <f ca="1">IF(G282&lt;=30,"0-30",IF(G282&lt;=60,"31-60",IF(G282&lt;=90,"61-90","90+")))</f>
        <v>31-60</v>
      </c>
      <c r="I282">
        <f>SUMIFS(order_items!D:D,order_items!C:C,inventory!B282)</f>
        <v>36</v>
      </c>
      <c r="J282" t="str">
        <f>IF(D282&gt;I282*3,"Overstock","OK")</f>
        <v>Overstock</v>
      </c>
      <c r="K282">
        <f>IFERROR(_xlfn.XLOOKUP(B282,purchase_orders!C:C,purchase_orders!I:I),0)</f>
        <v>76</v>
      </c>
      <c r="L282">
        <f>(D282+K282)/2</f>
        <v>285.5</v>
      </c>
      <c r="M282">
        <f t="shared" si="17"/>
        <v>0.13</v>
      </c>
      <c r="N282">
        <f>IFERROR(_xlfn.XLOOKUP(B282,products!A:A,products!E:E),0)</f>
        <v>36.76</v>
      </c>
      <c r="O282">
        <f t="shared" si="18"/>
        <v>18196.2</v>
      </c>
      <c r="P282" t="str">
        <f t="shared" si="19"/>
        <v>Normal</v>
      </c>
      <c r="Q282" t="str">
        <f>IFERROR(_xlfn.XLOOKUP(B282,reorder_point!B:B,reorder_point!I:I),"")</f>
        <v>OK</v>
      </c>
      <c r="R282" t="str">
        <f>_xlfn.XLOOKUP(B282,products!A:A,products!B:B)</f>
        <v>SKU-0137</v>
      </c>
    </row>
    <row r="283" spans="1:18">
      <c r="A283">
        <v>282</v>
      </c>
      <c r="B283">
        <v>137</v>
      </c>
      <c r="C283" t="s">
        <v>117</v>
      </c>
      <c r="D283">
        <v>296</v>
      </c>
      <c r="E283" s="1">
        <v>46097</v>
      </c>
      <c r="F283" s="1">
        <f>_xlfn.XLOOKUP(B283,purchase_orders!C:C,purchase_orders!G:G)</f>
        <v>46128</v>
      </c>
      <c r="G283" s="5">
        <f t="shared" ca="1" si="16"/>
        <v>36</v>
      </c>
      <c r="H283" s="2" t="str">
        <f ca="1">IF(G283&lt;=30,"0-30",IF(G283&lt;=60,"31-60",IF(G283&lt;=90,"61-90","90+")))</f>
        <v>31-60</v>
      </c>
      <c r="I283">
        <f>SUMIFS(order_items!D:D,order_items!C:C,inventory!B283)</f>
        <v>36</v>
      </c>
      <c r="J283" t="str">
        <f>IF(D283&gt;I283*3,"Overstock","OK")</f>
        <v>Overstock</v>
      </c>
      <c r="K283">
        <f>IFERROR(_xlfn.XLOOKUP(B283,purchase_orders!C:C,purchase_orders!I:I),0)</f>
        <v>76</v>
      </c>
      <c r="L283">
        <f>(D283+K283)/2</f>
        <v>186</v>
      </c>
      <c r="M283">
        <f t="shared" si="17"/>
        <v>0.19</v>
      </c>
      <c r="N283">
        <f>IFERROR(_xlfn.XLOOKUP(B283,products!A:A,products!E:E),0)</f>
        <v>36.76</v>
      </c>
      <c r="O283">
        <f t="shared" si="18"/>
        <v>10880.96</v>
      </c>
      <c r="P283" t="str">
        <f t="shared" si="19"/>
        <v>Normal</v>
      </c>
      <c r="Q283" t="str">
        <f>IFERROR(_xlfn.XLOOKUP(B283,reorder_point!B:B,reorder_point!I:I),"")</f>
        <v>OK</v>
      </c>
      <c r="R283" t="str">
        <f>_xlfn.XLOOKUP(B283,products!A:A,products!B:B)</f>
        <v>SKU-0137</v>
      </c>
    </row>
    <row r="284" spans="1:18">
      <c r="A284">
        <v>283</v>
      </c>
      <c r="B284">
        <v>137</v>
      </c>
      <c r="C284" t="s">
        <v>118</v>
      </c>
      <c r="D284">
        <v>26</v>
      </c>
      <c r="E284" s="1">
        <v>46133</v>
      </c>
      <c r="F284" s="1">
        <f>_xlfn.XLOOKUP(B284,purchase_orders!C:C,purchase_orders!G:G)</f>
        <v>46128</v>
      </c>
      <c r="G284" s="5">
        <f t="shared" ca="1" si="16"/>
        <v>36</v>
      </c>
      <c r="H284" s="2" t="str">
        <f ca="1">IF(G284&lt;=30,"0-30",IF(G284&lt;=60,"31-60",IF(G284&lt;=90,"61-90","90+")))</f>
        <v>31-60</v>
      </c>
      <c r="I284">
        <f>SUMIFS(order_items!D:D,order_items!C:C,inventory!B284)</f>
        <v>36</v>
      </c>
      <c r="J284" t="str">
        <f>IF(D284&gt;I284*3,"Overstock","OK")</f>
        <v>OK</v>
      </c>
      <c r="K284">
        <f>IFERROR(_xlfn.XLOOKUP(B284,purchase_orders!C:C,purchase_orders!I:I),0)</f>
        <v>76</v>
      </c>
      <c r="L284">
        <f>(D284+K284)/2</f>
        <v>51</v>
      </c>
      <c r="M284">
        <f t="shared" si="17"/>
        <v>0.71</v>
      </c>
      <c r="N284">
        <f>IFERROR(_xlfn.XLOOKUP(B284,products!A:A,products!E:E),0)</f>
        <v>36.76</v>
      </c>
      <c r="O284">
        <f t="shared" si="18"/>
        <v>955.76</v>
      </c>
      <c r="P284" t="str">
        <f t="shared" si="19"/>
        <v>Normal</v>
      </c>
      <c r="Q284" t="str">
        <f>IFERROR(_xlfn.XLOOKUP(B284,reorder_point!B:B,reorder_point!I:I),"")</f>
        <v>OK</v>
      </c>
      <c r="R284" t="str">
        <f>_xlfn.XLOOKUP(B284,products!A:A,products!B:B)</f>
        <v>SKU-0137</v>
      </c>
    </row>
    <row r="285" spans="1:18">
      <c r="A285">
        <v>284</v>
      </c>
      <c r="B285">
        <v>138</v>
      </c>
      <c r="C285" t="s">
        <v>117</v>
      </c>
      <c r="D285">
        <v>348</v>
      </c>
      <c r="E285" s="1">
        <v>46107</v>
      </c>
      <c r="F285" s="1">
        <f>_xlfn.XLOOKUP(B285,purchase_orders!C:C,purchase_orders!G:G)</f>
        <v>46030</v>
      </c>
      <c r="G285" s="5">
        <f t="shared" ca="1" si="16"/>
        <v>134</v>
      </c>
      <c r="H285" s="2" t="str">
        <f ca="1">IF(G285&lt;=30,"0-30",IF(G285&lt;=60,"31-60",IF(G285&lt;=90,"61-90","90+")))</f>
        <v>90+</v>
      </c>
      <c r="I285">
        <f>SUMIFS(order_items!D:D,order_items!C:C,inventory!B285)</f>
        <v>32</v>
      </c>
      <c r="J285" t="str">
        <f>IF(D285&gt;I285*3,"Overstock","OK")</f>
        <v>Overstock</v>
      </c>
      <c r="K285">
        <f>IFERROR(_xlfn.XLOOKUP(B285,purchase_orders!C:C,purchase_orders!I:I),0)</f>
        <v>216</v>
      </c>
      <c r="L285">
        <f>(D285+K285)/2</f>
        <v>282</v>
      </c>
      <c r="M285">
        <f t="shared" si="17"/>
        <v>0.11</v>
      </c>
      <c r="N285">
        <f>IFERROR(_xlfn.XLOOKUP(B285,products!A:A,products!E:E),0)</f>
        <v>76.459999999999994</v>
      </c>
      <c r="O285">
        <f t="shared" si="18"/>
        <v>26608.079999999998</v>
      </c>
      <c r="P285" t="str">
        <f t="shared" si="19"/>
        <v>Normal</v>
      </c>
      <c r="Q285" t="str">
        <f>IFERROR(_xlfn.XLOOKUP(B285,reorder_point!B:B,reorder_point!I:I),"")</f>
        <v>OK</v>
      </c>
      <c r="R285" t="str">
        <f>_xlfn.XLOOKUP(B285,products!A:A,products!B:B)</f>
        <v>SKU-0138</v>
      </c>
    </row>
    <row r="286" spans="1:18">
      <c r="A286">
        <v>285</v>
      </c>
      <c r="B286">
        <v>138</v>
      </c>
      <c r="C286" t="s">
        <v>118</v>
      </c>
      <c r="D286">
        <v>485</v>
      </c>
      <c r="E286" s="1">
        <v>46131</v>
      </c>
      <c r="F286" s="1">
        <f>_xlfn.XLOOKUP(B286,purchase_orders!C:C,purchase_orders!G:G)</f>
        <v>46030</v>
      </c>
      <c r="G286" s="5">
        <f t="shared" ca="1" si="16"/>
        <v>134</v>
      </c>
      <c r="H286" s="2" t="str">
        <f ca="1">IF(G286&lt;=30,"0-30",IF(G286&lt;=60,"31-60",IF(G286&lt;=90,"61-90","90+")))</f>
        <v>90+</v>
      </c>
      <c r="I286">
        <f>SUMIFS(order_items!D:D,order_items!C:C,inventory!B286)</f>
        <v>32</v>
      </c>
      <c r="J286" t="str">
        <f>IF(D286&gt;I286*3,"Overstock","OK")</f>
        <v>Overstock</v>
      </c>
      <c r="K286">
        <f>IFERROR(_xlfn.XLOOKUP(B286,purchase_orders!C:C,purchase_orders!I:I),0)</f>
        <v>216</v>
      </c>
      <c r="L286">
        <f>(D286+K286)/2</f>
        <v>350.5</v>
      </c>
      <c r="M286">
        <f t="shared" si="17"/>
        <v>0.09</v>
      </c>
      <c r="N286">
        <f>IFERROR(_xlfn.XLOOKUP(B286,products!A:A,products!E:E),0)</f>
        <v>76.459999999999994</v>
      </c>
      <c r="O286">
        <f t="shared" si="18"/>
        <v>37083.1</v>
      </c>
      <c r="P286" t="str">
        <f t="shared" si="19"/>
        <v>Normal</v>
      </c>
      <c r="Q286" t="str">
        <f>IFERROR(_xlfn.XLOOKUP(B286,reorder_point!B:B,reorder_point!I:I),"")</f>
        <v>OK</v>
      </c>
      <c r="R286" t="str">
        <f>_xlfn.XLOOKUP(B286,products!A:A,products!B:B)</f>
        <v>SKU-0138</v>
      </c>
    </row>
    <row r="287" spans="1:18">
      <c r="A287">
        <v>286</v>
      </c>
      <c r="B287">
        <v>138</v>
      </c>
      <c r="C287" t="s">
        <v>121</v>
      </c>
      <c r="D287">
        <v>9</v>
      </c>
      <c r="E287" s="1">
        <v>46117</v>
      </c>
      <c r="F287" s="1">
        <f>_xlfn.XLOOKUP(B287,purchase_orders!C:C,purchase_orders!G:G)</f>
        <v>46030</v>
      </c>
      <c r="G287" s="5">
        <f t="shared" ca="1" si="16"/>
        <v>134</v>
      </c>
      <c r="H287" s="2" t="str">
        <f ca="1">IF(G287&lt;=30,"0-30",IF(G287&lt;=60,"31-60",IF(G287&lt;=90,"61-90","90+")))</f>
        <v>90+</v>
      </c>
      <c r="I287">
        <f>SUMIFS(order_items!D:D,order_items!C:C,inventory!B287)</f>
        <v>32</v>
      </c>
      <c r="J287" t="str">
        <f>IF(D287&gt;I287*3,"Overstock","OK")</f>
        <v>OK</v>
      </c>
      <c r="K287">
        <f>IFERROR(_xlfn.XLOOKUP(B287,purchase_orders!C:C,purchase_orders!I:I),0)</f>
        <v>216</v>
      </c>
      <c r="L287">
        <f>(D287+K287)/2</f>
        <v>112.5</v>
      </c>
      <c r="M287">
        <f t="shared" si="17"/>
        <v>0.28000000000000003</v>
      </c>
      <c r="N287">
        <f>IFERROR(_xlfn.XLOOKUP(B287,products!A:A,products!E:E),0)</f>
        <v>76.459999999999994</v>
      </c>
      <c r="O287">
        <f t="shared" si="18"/>
        <v>688.14</v>
      </c>
      <c r="P287" t="str">
        <f t="shared" si="19"/>
        <v>Normal</v>
      </c>
      <c r="Q287" t="str">
        <f>IFERROR(_xlfn.XLOOKUP(B287,reorder_point!B:B,reorder_point!I:I),"")</f>
        <v>OK</v>
      </c>
      <c r="R287" t="str">
        <f>_xlfn.XLOOKUP(B287,products!A:A,products!B:B)</f>
        <v>SKU-0138</v>
      </c>
    </row>
    <row r="288" spans="1:18">
      <c r="A288">
        <v>287</v>
      </c>
      <c r="B288">
        <v>139</v>
      </c>
      <c r="C288" t="s">
        <v>117</v>
      </c>
      <c r="D288">
        <v>353</v>
      </c>
      <c r="E288" s="1">
        <v>46111</v>
      </c>
      <c r="F288" s="1">
        <f>_xlfn.XLOOKUP(B288,purchase_orders!C:C,purchase_orders!G:G)</f>
        <v>46098</v>
      </c>
      <c r="G288" s="5">
        <f t="shared" ca="1" si="16"/>
        <v>66</v>
      </c>
      <c r="H288" s="2" t="str">
        <f ca="1">IF(G288&lt;=30,"0-30",IF(G288&lt;=60,"31-60",IF(G288&lt;=90,"61-90","90+")))</f>
        <v>61-90</v>
      </c>
      <c r="I288">
        <f>SUMIFS(order_items!D:D,order_items!C:C,inventory!B288)</f>
        <v>17</v>
      </c>
      <c r="J288" t="str">
        <f>IF(D288&gt;I288*3,"Overstock","OK")</f>
        <v>Overstock</v>
      </c>
      <c r="K288">
        <f>IFERROR(_xlfn.XLOOKUP(B288,purchase_orders!C:C,purchase_orders!I:I),0)</f>
        <v>958</v>
      </c>
      <c r="L288">
        <f>(D288+K288)/2</f>
        <v>655.5</v>
      </c>
      <c r="M288">
        <f t="shared" si="17"/>
        <v>0.03</v>
      </c>
      <c r="N288">
        <f>IFERROR(_xlfn.XLOOKUP(B288,products!A:A,products!E:E),0)</f>
        <v>77.040000000000006</v>
      </c>
      <c r="O288">
        <f t="shared" si="18"/>
        <v>27195.120000000003</v>
      </c>
      <c r="P288" t="str">
        <f t="shared" si="19"/>
        <v>Normal</v>
      </c>
      <c r="Q288" t="str">
        <f>IFERROR(_xlfn.XLOOKUP(B288,reorder_point!B:B,reorder_point!I:I),"")</f>
        <v>OK</v>
      </c>
      <c r="R288" t="str">
        <f>_xlfn.XLOOKUP(B288,products!A:A,products!B:B)</f>
        <v>SKU-0139</v>
      </c>
    </row>
    <row r="289" spans="1:18">
      <c r="A289">
        <v>288</v>
      </c>
      <c r="B289">
        <v>140</v>
      </c>
      <c r="C289" t="s">
        <v>117</v>
      </c>
      <c r="D289">
        <v>70</v>
      </c>
      <c r="E289" s="1">
        <v>46108</v>
      </c>
      <c r="F289" s="1">
        <f>_xlfn.XLOOKUP(B289,purchase_orders!C:C,purchase_orders!G:G)</f>
        <v>46078</v>
      </c>
      <c r="G289" s="5">
        <f t="shared" ca="1" si="16"/>
        <v>86</v>
      </c>
      <c r="H289" s="2" t="str">
        <f ca="1">IF(G289&lt;=30,"0-30",IF(G289&lt;=60,"31-60",IF(G289&lt;=90,"61-90","90+")))</f>
        <v>61-90</v>
      </c>
      <c r="I289">
        <f>SUMIFS(order_items!D:D,order_items!C:C,inventory!B289)</f>
        <v>36</v>
      </c>
      <c r="J289" t="str">
        <f>IF(D289&gt;I289*3,"Overstock","OK")</f>
        <v>OK</v>
      </c>
      <c r="K289">
        <f>IFERROR(_xlfn.XLOOKUP(B289,purchase_orders!C:C,purchase_orders!I:I),0)</f>
        <v>776</v>
      </c>
      <c r="L289">
        <f>(D289+K289)/2</f>
        <v>423</v>
      </c>
      <c r="M289">
        <f t="shared" si="17"/>
        <v>0.09</v>
      </c>
      <c r="N289">
        <f>IFERROR(_xlfn.XLOOKUP(B289,products!A:A,products!E:E),0)</f>
        <v>20.41</v>
      </c>
      <c r="O289">
        <f t="shared" si="18"/>
        <v>1428.7</v>
      </c>
      <c r="P289" t="str">
        <f t="shared" si="19"/>
        <v>Normal</v>
      </c>
      <c r="Q289" t="str">
        <f>IFERROR(_xlfn.XLOOKUP(B289,reorder_point!B:B,reorder_point!I:I),"")</f>
        <v>OK</v>
      </c>
      <c r="R289" t="str">
        <f>_xlfn.XLOOKUP(B289,products!A:A,products!B:B)</f>
        <v>SKU-0140</v>
      </c>
    </row>
    <row r="290" spans="1:18">
      <c r="A290">
        <v>289</v>
      </c>
      <c r="B290">
        <v>140</v>
      </c>
      <c r="C290" t="s">
        <v>119</v>
      </c>
      <c r="D290">
        <v>166</v>
      </c>
      <c r="E290" s="1">
        <v>46113</v>
      </c>
      <c r="F290" s="1">
        <f>_xlfn.XLOOKUP(B290,purchase_orders!C:C,purchase_orders!G:G)</f>
        <v>46078</v>
      </c>
      <c r="G290" s="5">
        <f t="shared" ca="1" si="16"/>
        <v>86</v>
      </c>
      <c r="H290" s="2" t="str">
        <f ca="1">IF(G290&lt;=30,"0-30",IF(G290&lt;=60,"31-60",IF(G290&lt;=90,"61-90","90+")))</f>
        <v>61-90</v>
      </c>
      <c r="I290">
        <f>SUMIFS(order_items!D:D,order_items!C:C,inventory!B290)</f>
        <v>36</v>
      </c>
      <c r="J290" t="str">
        <f>IF(D290&gt;I290*3,"Overstock","OK")</f>
        <v>Overstock</v>
      </c>
      <c r="K290">
        <f>IFERROR(_xlfn.XLOOKUP(B290,purchase_orders!C:C,purchase_orders!I:I),0)</f>
        <v>776</v>
      </c>
      <c r="L290">
        <f>(D290+K290)/2</f>
        <v>471</v>
      </c>
      <c r="M290">
        <f t="shared" si="17"/>
        <v>0.08</v>
      </c>
      <c r="N290">
        <f>IFERROR(_xlfn.XLOOKUP(B290,products!A:A,products!E:E),0)</f>
        <v>20.41</v>
      </c>
      <c r="O290">
        <f t="shared" si="18"/>
        <v>3388.06</v>
      </c>
      <c r="P290" t="str">
        <f t="shared" si="19"/>
        <v>Normal</v>
      </c>
      <c r="Q290" t="str">
        <f>IFERROR(_xlfn.XLOOKUP(B290,reorder_point!B:B,reorder_point!I:I),"")</f>
        <v>OK</v>
      </c>
      <c r="R290" t="str">
        <f>_xlfn.XLOOKUP(B290,products!A:A,products!B:B)</f>
        <v>SKU-0140</v>
      </c>
    </row>
    <row r="291" spans="1:18">
      <c r="A291">
        <v>290</v>
      </c>
      <c r="B291">
        <v>140</v>
      </c>
      <c r="C291" t="s">
        <v>122</v>
      </c>
      <c r="D291">
        <v>269</v>
      </c>
      <c r="E291" s="1">
        <v>46132</v>
      </c>
      <c r="F291" s="1">
        <f>_xlfn.XLOOKUP(B291,purchase_orders!C:C,purchase_orders!G:G)</f>
        <v>46078</v>
      </c>
      <c r="G291" s="5">
        <f t="shared" ca="1" si="16"/>
        <v>86</v>
      </c>
      <c r="H291" s="2" t="str">
        <f ca="1">IF(G291&lt;=30,"0-30",IF(G291&lt;=60,"31-60",IF(G291&lt;=90,"61-90","90+")))</f>
        <v>61-90</v>
      </c>
      <c r="I291">
        <f>SUMIFS(order_items!D:D,order_items!C:C,inventory!B291)</f>
        <v>36</v>
      </c>
      <c r="J291" t="str">
        <f>IF(D291&gt;I291*3,"Overstock","OK")</f>
        <v>Overstock</v>
      </c>
      <c r="K291">
        <f>IFERROR(_xlfn.XLOOKUP(B291,purchase_orders!C:C,purchase_orders!I:I),0)</f>
        <v>776</v>
      </c>
      <c r="L291">
        <f>(D291+K291)/2</f>
        <v>522.5</v>
      </c>
      <c r="M291">
        <f t="shared" si="17"/>
        <v>7.0000000000000007E-2</v>
      </c>
      <c r="N291">
        <f>IFERROR(_xlfn.XLOOKUP(B291,products!A:A,products!E:E),0)</f>
        <v>20.41</v>
      </c>
      <c r="O291">
        <f t="shared" si="18"/>
        <v>5490.29</v>
      </c>
      <c r="P291" t="str">
        <f t="shared" si="19"/>
        <v>Normal</v>
      </c>
      <c r="Q291" t="str">
        <f>IFERROR(_xlfn.XLOOKUP(B291,reorder_point!B:B,reorder_point!I:I),"")</f>
        <v>OK</v>
      </c>
      <c r="R291" t="str">
        <f>_xlfn.XLOOKUP(B291,products!A:A,products!B:B)</f>
        <v>SKU-0140</v>
      </c>
    </row>
    <row r="292" spans="1:18">
      <c r="A292">
        <v>291</v>
      </c>
      <c r="B292">
        <v>141</v>
      </c>
      <c r="C292" t="s">
        <v>121</v>
      </c>
      <c r="D292">
        <v>279</v>
      </c>
      <c r="E292" s="1">
        <v>46094</v>
      </c>
      <c r="F292" s="1">
        <f>_xlfn.XLOOKUP(B292,purchase_orders!C:C,purchase_orders!G:G)</f>
        <v>46134</v>
      </c>
      <c r="G292" s="5">
        <f t="shared" ca="1" si="16"/>
        <v>30</v>
      </c>
      <c r="H292" s="2" t="str">
        <f ca="1">IF(G292&lt;=30,"0-30",IF(G292&lt;=60,"31-60",IF(G292&lt;=90,"61-90","90+")))</f>
        <v>0-30</v>
      </c>
      <c r="I292">
        <f>SUMIFS(order_items!D:D,order_items!C:C,inventory!B292)</f>
        <v>55</v>
      </c>
      <c r="J292" t="str">
        <f>IF(D292&gt;I292*3,"Overstock","OK")</f>
        <v>Overstock</v>
      </c>
      <c r="K292">
        <f>IFERROR(_xlfn.XLOOKUP(B292,purchase_orders!C:C,purchase_orders!I:I),0)</f>
        <v>893</v>
      </c>
      <c r="L292">
        <f>(D292+K292)/2</f>
        <v>586</v>
      </c>
      <c r="M292">
        <f t="shared" si="17"/>
        <v>0.09</v>
      </c>
      <c r="N292">
        <f>IFERROR(_xlfn.XLOOKUP(B292,products!A:A,products!E:E),0)</f>
        <v>149.36000000000001</v>
      </c>
      <c r="O292">
        <f t="shared" si="18"/>
        <v>41671.440000000002</v>
      </c>
      <c r="P292" t="str">
        <f t="shared" si="19"/>
        <v>Normal</v>
      </c>
      <c r="Q292" t="str">
        <f>IFERROR(_xlfn.XLOOKUP(B292,reorder_point!B:B,reorder_point!I:I),"")</f>
        <v>OK</v>
      </c>
      <c r="R292" t="str">
        <f>_xlfn.XLOOKUP(B292,products!A:A,products!B:B)</f>
        <v>SKU-0141</v>
      </c>
    </row>
    <row r="293" spans="1:18">
      <c r="A293">
        <v>292</v>
      </c>
      <c r="B293">
        <v>141</v>
      </c>
      <c r="C293" t="s">
        <v>122</v>
      </c>
      <c r="D293">
        <v>444</v>
      </c>
      <c r="E293" s="1">
        <v>46102</v>
      </c>
      <c r="F293" s="1">
        <f>_xlfn.XLOOKUP(B293,purchase_orders!C:C,purchase_orders!G:G)</f>
        <v>46134</v>
      </c>
      <c r="G293" s="5">
        <f t="shared" ca="1" si="16"/>
        <v>30</v>
      </c>
      <c r="H293" s="2" t="str">
        <f ca="1">IF(G293&lt;=30,"0-30",IF(G293&lt;=60,"31-60",IF(G293&lt;=90,"61-90","90+")))</f>
        <v>0-30</v>
      </c>
      <c r="I293">
        <f>SUMIFS(order_items!D:D,order_items!C:C,inventory!B293)</f>
        <v>55</v>
      </c>
      <c r="J293" t="str">
        <f>IF(D293&gt;I293*3,"Overstock","OK")</f>
        <v>Overstock</v>
      </c>
      <c r="K293">
        <f>IFERROR(_xlfn.XLOOKUP(B293,purchase_orders!C:C,purchase_orders!I:I),0)</f>
        <v>893</v>
      </c>
      <c r="L293">
        <f>(D293+K293)/2</f>
        <v>668.5</v>
      </c>
      <c r="M293">
        <f t="shared" si="17"/>
        <v>0.08</v>
      </c>
      <c r="N293">
        <f>IFERROR(_xlfn.XLOOKUP(B293,products!A:A,products!E:E),0)</f>
        <v>149.36000000000001</v>
      </c>
      <c r="O293">
        <f t="shared" si="18"/>
        <v>66315.840000000011</v>
      </c>
      <c r="P293" t="str">
        <f t="shared" si="19"/>
        <v>Normal</v>
      </c>
      <c r="Q293" t="str">
        <f>IFERROR(_xlfn.XLOOKUP(B293,reorder_point!B:B,reorder_point!I:I),"")</f>
        <v>OK</v>
      </c>
      <c r="R293" t="str">
        <f>_xlfn.XLOOKUP(B293,products!A:A,products!B:B)</f>
        <v>SKU-0141</v>
      </c>
    </row>
    <row r="294" spans="1:18">
      <c r="A294">
        <v>293</v>
      </c>
      <c r="B294">
        <v>142</v>
      </c>
      <c r="C294" t="s">
        <v>120</v>
      </c>
      <c r="D294">
        <v>490</v>
      </c>
      <c r="E294" s="1">
        <v>46108</v>
      </c>
      <c r="F294" s="1">
        <f>_xlfn.XLOOKUP(B294,purchase_orders!C:C,purchase_orders!G:G)</f>
        <v>46168</v>
      </c>
      <c r="G294" s="5">
        <f t="shared" ca="1" si="16"/>
        <v>-4</v>
      </c>
      <c r="H294" s="2" t="str">
        <f ca="1">IF(G294&lt;=30,"0-30",IF(G294&lt;=60,"31-60",IF(G294&lt;=90,"61-90","90+")))</f>
        <v>0-30</v>
      </c>
      <c r="I294">
        <f>SUMIFS(order_items!D:D,order_items!C:C,inventory!B294)</f>
        <v>27</v>
      </c>
      <c r="J294" t="str">
        <f>IF(D294&gt;I294*3,"Overstock","OK")</f>
        <v>Overstock</v>
      </c>
      <c r="K294">
        <f>IFERROR(_xlfn.XLOOKUP(B294,purchase_orders!C:C,purchase_orders!I:I),0)</f>
        <v>567</v>
      </c>
      <c r="L294">
        <f>(D294+K294)/2</f>
        <v>528.5</v>
      </c>
      <c r="M294">
        <f t="shared" si="17"/>
        <v>0.05</v>
      </c>
      <c r="N294">
        <f>IFERROR(_xlfn.XLOOKUP(B294,products!A:A,products!E:E),0)</f>
        <v>95.73</v>
      </c>
      <c r="O294">
        <f t="shared" si="18"/>
        <v>46907.700000000004</v>
      </c>
      <c r="P294" t="str">
        <f t="shared" si="19"/>
        <v>Normal</v>
      </c>
      <c r="Q294" t="str">
        <f>IFERROR(_xlfn.XLOOKUP(B294,reorder_point!B:B,reorder_point!I:I),"")</f>
        <v>OK</v>
      </c>
      <c r="R294" t="str">
        <f>_xlfn.XLOOKUP(B294,products!A:A,products!B:B)</f>
        <v>SKU-0142</v>
      </c>
    </row>
    <row r="295" spans="1:18">
      <c r="A295">
        <v>294</v>
      </c>
      <c r="B295">
        <v>142</v>
      </c>
      <c r="C295" t="s">
        <v>117</v>
      </c>
      <c r="D295">
        <v>152</v>
      </c>
      <c r="E295" s="1">
        <v>46124</v>
      </c>
      <c r="F295" s="1">
        <f>_xlfn.XLOOKUP(B295,purchase_orders!C:C,purchase_orders!G:G)</f>
        <v>46168</v>
      </c>
      <c r="G295" s="5">
        <f t="shared" ca="1" si="16"/>
        <v>-4</v>
      </c>
      <c r="H295" s="2" t="str">
        <f ca="1">IF(G295&lt;=30,"0-30",IF(G295&lt;=60,"31-60",IF(G295&lt;=90,"61-90","90+")))</f>
        <v>0-30</v>
      </c>
      <c r="I295">
        <f>SUMIFS(order_items!D:D,order_items!C:C,inventory!B295)</f>
        <v>27</v>
      </c>
      <c r="J295" t="str">
        <f>IF(D295&gt;I295*3,"Overstock","OK")</f>
        <v>Overstock</v>
      </c>
      <c r="K295">
        <f>IFERROR(_xlfn.XLOOKUP(B295,purchase_orders!C:C,purchase_orders!I:I),0)</f>
        <v>567</v>
      </c>
      <c r="L295">
        <f>(D295+K295)/2</f>
        <v>359.5</v>
      </c>
      <c r="M295">
        <f t="shared" si="17"/>
        <v>0.08</v>
      </c>
      <c r="N295">
        <f>IFERROR(_xlfn.XLOOKUP(B295,products!A:A,products!E:E),0)</f>
        <v>95.73</v>
      </c>
      <c r="O295">
        <f t="shared" si="18"/>
        <v>14550.960000000001</v>
      </c>
      <c r="P295" t="str">
        <f t="shared" si="19"/>
        <v>Normal</v>
      </c>
      <c r="Q295" t="str">
        <f>IFERROR(_xlfn.XLOOKUP(B295,reorder_point!B:B,reorder_point!I:I),"")</f>
        <v>OK</v>
      </c>
      <c r="R295" t="str">
        <f>_xlfn.XLOOKUP(B295,products!A:A,products!B:B)</f>
        <v>SKU-0142</v>
      </c>
    </row>
    <row r="296" spans="1:18">
      <c r="A296">
        <v>295</v>
      </c>
      <c r="B296">
        <v>142</v>
      </c>
      <c r="C296" t="s">
        <v>119</v>
      </c>
      <c r="D296">
        <v>394</v>
      </c>
      <c r="E296" s="1">
        <v>46130</v>
      </c>
      <c r="F296" s="1">
        <f>_xlfn.XLOOKUP(B296,purchase_orders!C:C,purchase_orders!G:G)</f>
        <v>46168</v>
      </c>
      <c r="G296" s="5">
        <f t="shared" ca="1" si="16"/>
        <v>-4</v>
      </c>
      <c r="H296" s="2" t="str">
        <f ca="1">IF(G296&lt;=30,"0-30",IF(G296&lt;=60,"31-60",IF(G296&lt;=90,"61-90","90+")))</f>
        <v>0-30</v>
      </c>
      <c r="I296">
        <f>SUMIFS(order_items!D:D,order_items!C:C,inventory!B296)</f>
        <v>27</v>
      </c>
      <c r="J296" t="str">
        <f>IF(D296&gt;I296*3,"Overstock","OK")</f>
        <v>Overstock</v>
      </c>
      <c r="K296">
        <f>IFERROR(_xlfn.XLOOKUP(B296,purchase_orders!C:C,purchase_orders!I:I),0)</f>
        <v>567</v>
      </c>
      <c r="L296">
        <f>(D296+K296)/2</f>
        <v>480.5</v>
      </c>
      <c r="M296">
        <f t="shared" si="17"/>
        <v>0.06</v>
      </c>
      <c r="N296">
        <f>IFERROR(_xlfn.XLOOKUP(B296,products!A:A,products!E:E),0)</f>
        <v>95.73</v>
      </c>
      <c r="O296">
        <f t="shared" si="18"/>
        <v>37717.620000000003</v>
      </c>
      <c r="P296" t="str">
        <f t="shared" si="19"/>
        <v>Normal</v>
      </c>
      <c r="Q296" t="str">
        <f>IFERROR(_xlfn.XLOOKUP(B296,reorder_point!B:B,reorder_point!I:I),"")</f>
        <v>OK</v>
      </c>
      <c r="R296" t="str">
        <f>_xlfn.XLOOKUP(B296,products!A:A,products!B:B)</f>
        <v>SKU-0142</v>
      </c>
    </row>
    <row r="297" spans="1:18">
      <c r="A297">
        <v>296</v>
      </c>
      <c r="B297">
        <v>143</v>
      </c>
      <c r="C297" t="s">
        <v>117</v>
      </c>
      <c r="D297">
        <v>178</v>
      </c>
      <c r="E297" s="1">
        <v>46084</v>
      </c>
      <c r="F297" s="1">
        <f>_xlfn.XLOOKUP(B297,purchase_orders!C:C,purchase_orders!G:G)</f>
        <v>46152</v>
      </c>
      <c r="G297" s="5">
        <f t="shared" ca="1" si="16"/>
        <v>12</v>
      </c>
      <c r="H297" s="2" t="str">
        <f ca="1">IF(G297&lt;=30,"0-30",IF(G297&lt;=60,"31-60",IF(G297&lt;=90,"61-90","90+")))</f>
        <v>0-30</v>
      </c>
      <c r="I297">
        <f>SUMIFS(order_items!D:D,order_items!C:C,inventory!B297)</f>
        <v>22</v>
      </c>
      <c r="J297" t="str">
        <f>IF(D297&gt;I297*3,"Overstock","OK")</f>
        <v>Overstock</v>
      </c>
      <c r="K297">
        <f>IFERROR(_xlfn.XLOOKUP(B297,purchase_orders!C:C,purchase_orders!I:I),0)</f>
        <v>787</v>
      </c>
      <c r="L297">
        <f>(D297+K297)/2</f>
        <v>482.5</v>
      </c>
      <c r="M297">
        <f t="shared" si="17"/>
        <v>0.05</v>
      </c>
      <c r="N297">
        <f>IFERROR(_xlfn.XLOOKUP(B297,products!A:A,products!E:E),0)</f>
        <v>40.619999999999997</v>
      </c>
      <c r="O297">
        <f t="shared" si="18"/>
        <v>7230.36</v>
      </c>
      <c r="P297" t="str">
        <f t="shared" si="19"/>
        <v>Normal</v>
      </c>
      <c r="Q297" t="str">
        <f>IFERROR(_xlfn.XLOOKUP(B297,reorder_point!B:B,reorder_point!I:I),"")</f>
        <v>OK</v>
      </c>
      <c r="R297" t="str">
        <f>_xlfn.XLOOKUP(B297,products!A:A,products!B:B)</f>
        <v>SKU-0143</v>
      </c>
    </row>
    <row r="298" spans="1:18">
      <c r="A298">
        <v>297</v>
      </c>
      <c r="B298">
        <v>143</v>
      </c>
      <c r="C298" t="s">
        <v>122</v>
      </c>
      <c r="D298">
        <v>407</v>
      </c>
      <c r="E298" s="1">
        <v>46125</v>
      </c>
      <c r="F298" s="1">
        <f>_xlfn.XLOOKUP(B298,purchase_orders!C:C,purchase_orders!G:G)</f>
        <v>46152</v>
      </c>
      <c r="G298" s="5">
        <f t="shared" ca="1" si="16"/>
        <v>12</v>
      </c>
      <c r="H298" s="2" t="str">
        <f ca="1">IF(G298&lt;=30,"0-30",IF(G298&lt;=60,"31-60",IF(G298&lt;=90,"61-90","90+")))</f>
        <v>0-30</v>
      </c>
      <c r="I298">
        <f>SUMIFS(order_items!D:D,order_items!C:C,inventory!B298)</f>
        <v>22</v>
      </c>
      <c r="J298" t="str">
        <f>IF(D298&gt;I298*3,"Overstock","OK")</f>
        <v>Overstock</v>
      </c>
      <c r="K298">
        <f>IFERROR(_xlfn.XLOOKUP(B298,purchase_orders!C:C,purchase_orders!I:I),0)</f>
        <v>787</v>
      </c>
      <c r="L298">
        <f>(D298+K298)/2</f>
        <v>597</v>
      </c>
      <c r="M298">
        <f t="shared" si="17"/>
        <v>0.04</v>
      </c>
      <c r="N298">
        <f>IFERROR(_xlfn.XLOOKUP(B298,products!A:A,products!E:E),0)</f>
        <v>40.619999999999997</v>
      </c>
      <c r="O298">
        <f t="shared" si="18"/>
        <v>16532.34</v>
      </c>
      <c r="P298" t="str">
        <f t="shared" si="19"/>
        <v>Normal</v>
      </c>
      <c r="Q298" t="str">
        <f>IFERROR(_xlfn.XLOOKUP(B298,reorder_point!B:B,reorder_point!I:I),"")</f>
        <v>OK</v>
      </c>
      <c r="R298" t="str">
        <f>_xlfn.XLOOKUP(B298,products!A:A,products!B:B)</f>
        <v>SKU-0143</v>
      </c>
    </row>
    <row r="299" spans="1:18">
      <c r="A299">
        <v>298</v>
      </c>
      <c r="B299">
        <v>143</v>
      </c>
      <c r="C299" t="s">
        <v>118</v>
      </c>
      <c r="D299">
        <v>62</v>
      </c>
      <c r="E299" s="1">
        <v>46109</v>
      </c>
      <c r="F299" s="1">
        <f>_xlfn.XLOOKUP(B299,purchase_orders!C:C,purchase_orders!G:G)</f>
        <v>46152</v>
      </c>
      <c r="G299" s="5">
        <f t="shared" ca="1" si="16"/>
        <v>12</v>
      </c>
      <c r="H299" s="2" t="str">
        <f ca="1">IF(G299&lt;=30,"0-30",IF(G299&lt;=60,"31-60",IF(G299&lt;=90,"61-90","90+")))</f>
        <v>0-30</v>
      </c>
      <c r="I299">
        <f>SUMIFS(order_items!D:D,order_items!C:C,inventory!B299)</f>
        <v>22</v>
      </c>
      <c r="J299" t="str">
        <f>IF(D299&gt;I299*3,"Overstock","OK")</f>
        <v>OK</v>
      </c>
      <c r="K299">
        <f>IFERROR(_xlfn.XLOOKUP(B299,purchase_orders!C:C,purchase_orders!I:I),0)</f>
        <v>787</v>
      </c>
      <c r="L299">
        <f>(D299+K299)/2</f>
        <v>424.5</v>
      </c>
      <c r="M299">
        <f t="shared" si="17"/>
        <v>0.05</v>
      </c>
      <c r="N299">
        <f>IFERROR(_xlfn.XLOOKUP(B299,products!A:A,products!E:E),0)</f>
        <v>40.619999999999997</v>
      </c>
      <c r="O299">
        <f t="shared" si="18"/>
        <v>2518.44</v>
      </c>
      <c r="P299" t="str">
        <f t="shared" si="19"/>
        <v>Normal</v>
      </c>
      <c r="Q299" t="str">
        <f>IFERROR(_xlfn.XLOOKUP(B299,reorder_point!B:B,reorder_point!I:I),"")</f>
        <v>OK</v>
      </c>
      <c r="R299" t="str">
        <f>_xlfn.XLOOKUP(B299,products!A:A,products!B:B)</f>
        <v>SKU-0143</v>
      </c>
    </row>
    <row r="300" spans="1:18">
      <c r="A300">
        <v>299</v>
      </c>
      <c r="B300">
        <v>144</v>
      </c>
      <c r="C300" t="s">
        <v>117</v>
      </c>
      <c r="D300">
        <v>488</v>
      </c>
      <c r="E300" s="1">
        <v>46134</v>
      </c>
      <c r="F300" s="1">
        <f>_xlfn.XLOOKUP(B300,purchase_orders!C:C,purchase_orders!G:G)</f>
        <v>46090</v>
      </c>
      <c r="G300" s="5">
        <f t="shared" ca="1" si="16"/>
        <v>74</v>
      </c>
      <c r="H300" s="2" t="str">
        <f ca="1">IF(G300&lt;=30,"0-30",IF(G300&lt;=60,"31-60",IF(G300&lt;=90,"61-90","90+")))</f>
        <v>61-90</v>
      </c>
      <c r="I300">
        <f>SUMIFS(order_items!D:D,order_items!C:C,inventory!B300)</f>
        <v>32</v>
      </c>
      <c r="J300" t="str">
        <f>IF(D300&gt;I300*3,"Overstock","OK")</f>
        <v>Overstock</v>
      </c>
      <c r="K300">
        <f>IFERROR(_xlfn.XLOOKUP(B300,purchase_orders!C:C,purchase_orders!I:I),0)</f>
        <v>-3</v>
      </c>
      <c r="L300">
        <f>(D300+K300)/2</f>
        <v>242.5</v>
      </c>
      <c r="M300">
        <f t="shared" si="17"/>
        <v>0.13</v>
      </c>
      <c r="N300">
        <f>IFERROR(_xlfn.XLOOKUP(B300,products!A:A,products!E:E),0)</f>
        <v>10.050000000000001</v>
      </c>
      <c r="O300">
        <f t="shared" si="18"/>
        <v>4904.4000000000005</v>
      </c>
      <c r="P300" t="str">
        <f t="shared" si="19"/>
        <v>Normal</v>
      </c>
      <c r="Q300" t="str">
        <f>IFERROR(_xlfn.XLOOKUP(B300,reorder_point!B:B,reorder_point!I:I),"")</f>
        <v>OK</v>
      </c>
      <c r="R300" t="str">
        <f>_xlfn.XLOOKUP(B300,products!A:A,products!B:B)</f>
        <v>SKU-0144</v>
      </c>
    </row>
    <row r="301" spans="1:18">
      <c r="A301">
        <v>300</v>
      </c>
      <c r="B301">
        <v>144</v>
      </c>
      <c r="C301" t="s">
        <v>122</v>
      </c>
      <c r="D301">
        <v>148</v>
      </c>
      <c r="E301" s="1">
        <v>46098</v>
      </c>
      <c r="F301" s="1">
        <f>_xlfn.XLOOKUP(B301,purchase_orders!C:C,purchase_orders!G:G)</f>
        <v>46090</v>
      </c>
      <c r="G301" s="5">
        <f t="shared" ca="1" si="16"/>
        <v>74</v>
      </c>
      <c r="H301" s="2" t="str">
        <f ca="1">IF(G301&lt;=30,"0-30",IF(G301&lt;=60,"31-60",IF(G301&lt;=90,"61-90","90+")))</f>
        <v>61-90</v>
      </c>
      <c r="I301">
        <f>SUMIFS(order_items!D:D,order_items!C:C,inventory!B301)</f>
        <v>32</v>
      </c>
      <c r="J301" t="str">
        <f>IF(D301&gt;I301*3,"Overstock","OK")</f>
        <v>Overstock</v>
      </c>
      <c r="K301">
        <f>IFERROR(_xlfn.XLOOKUP(B301,purchase_orders!C:C,purchase_orders!I:I),0)</f>
        <v>-3</v>
      </c>
      <c r="L301">
        <f>(D301+K301)/2</f>
        <v>72.5</v>
      </c>
      <c r="M301">
        <f t="shared" si="17"/>
        <v>0.44</v>
      </c>
      <c r="N301">
        <f>IFERROR(_xlfn.XLOOKUP(B301,products!A:A,products!E:E),0)</f>
        <v>10.050000000000001</v>
      </c>
      <c r="O301">
        <f t="shared" si="18"/>
        <v>1487.4</v>
      </c>
      <c r="P301" t="str">
        <f t="shared" si="19"/>
        <v>Normal</v>
      </c>
      <c r="Q301" t="str">
        <f>IFERROR(_xlfn.XLOOKUP(B301,reorder_point!B:B,reorder_point!I:I),"")</f>
        <v>OK</v>
      </c>
      <c r="R301" t="str">
        <f>_xlfn.XLOOKUP(B301,products!A:A,products!B:B)</f>
        <v>SKU-0144</v>
      </c>
    </row>
    <row r="302" spans="1:18">
      <c r="A302">
        <v>301</v>
      </c>
      <c r="B302">
        <v>145</v>
      </c>
      <c r="C302" t="s">
        <v>122</v>
      </c>
      <c r="D302">
        <v>473</v>
      </c>
      <c r="E302" s="1">
        <v>46127</v>
      </c>
      <c r="F302" s="1" t="str">
        <f>_xlfn.XLOOKUP(B302,purchase_orders!C:C,purchase_orders!G:G)</f>
        <v>NULL</v>
      </c>
      <c r="G302" s="5" t="e">
        <f t="shared" ca="1" si="16"/>
        <v>#VALUE!</v>
      </c>
      <c r="H302" s="2" t="e">
        <f ca="1">IF(G302&lt;=30,"0-30",IF(G302&lt;=60,"31-60",IF(G302&lt;=90,"61-90","90+")))</f>
        <v>#VALUE!</v>
      </c>
      <c r="I302">
        <f>SUMIFS(order_items!D:D,order_items!C:C,inventory!B302)</f>
        <v>24</v>
      </c>
      <c r="J302" t="str">
        <f>IF(D302&gt;I302*3,"Overstock","OK")</f>
        <v>Overstock</v>
      </c>
      <c r="K302">
        <f>IFERROR(_xlfn.XLOOKUP(B302,purchase_orders!C:C,purchase_orders!I:I),0)</f>
        <v>0</v>
      </c>
      <c r="L302">
        <f>(D302+K302)/2</f>
        <v>236.5</v>
      </c>
      <c r="M302">
        <f t="shared" si="17"/>
        <v>0.1</v>
      </c>
      <c r="N302">
        <f>IFERROR(_xlfn.XLOOKUP(B302,products!A:A,products!E:E),0)</f>
        <v>101.4</v>
      </c>
      <c r="O302">
        <f t="shared" si="18"/>
        <v>47962.200000000004</v>
      </c>
      <c r="P302" t="str">
        <f t="shared" si="19"/>
        <v>Normal</v>
      </c>
      <c r="Q302" t="str">
        <f>IFERROR(_xlfn.XLOOKUP(B302,reorder_point!B:B,reorder_point!I:I),"")</f>
        <v/>
      </c>
      <c r="R302" t="str">
        <f>_xlfn.XLOOKUP(B302,products!A:A,products!B:B)</f>
        <v>SKU-0145</v>
      </c>
    </row>
    <row r="303" spans="1:18">
      <c r="A303">
        <v>302</v>
      </c>
      <c r="B303">
        <v>146</v>
      </c>
      <c r="C303" t="s">
        <v>117</v>
      </c>
      <c r="D303">
        <v>423</v>
      </c>
      <c r="E303" s="1">
        <v>46084</v>
      </c>
      <c r="F303" s="1">
        <f>_xlfn.XLOOKUP(B303,purchase_orders!C:C,purchase_orders!G:G)</f>
        <v>46029</v>
      </c>
      <c r="G303" s="5">
        <f t="shared" ca="1" si="16"/>
        <v>135</v>
      </c>
      <c r="H303" s="2" t="str">
        <f ca="1">IF(G303&lt;=30,"0-30",IF(G303&lt;=60,"31-60",IF(G303&lt;=90,"61-90","90+")))</f>
        <v>90+</v>
      </c>
      <c r="I303">
        <f>SUMIFS(order_items!D:D,order_items!C:C,inventory!B303)</f>
        <v>18</v>
      </c>
      <c r="J303" t="str">
        <f>IF(D303&gt;I303*3,"Overstock","OK")</f>
        <v>Overstock</v>
      </c>
      <c r="K303">
        <f>IFERROR(_xlfn.XLOOKUP(B303,purchase_orders!C:C,purchase_orders!I:I),0)</f>
        <v>741</v>
      </c>
      <c r="L303">
        <f>(D303+K303)/2</f>
        <v>582</v>
      </c>
      <c r="M303">
        <f t="shared" si="17"/>
        <v>0.03</v>
      </c>
      <c r="N303">
        <f>IFERROR(_xlfn.XLOOKUP(B303,products!A:A,products!E:E),0)</f>
        <v>170.74</v>
      </c>
      <c r="O303">
        <f t="shared" si="18"/>
        <v>72223.02</v>
      </c>
      <c r="P303" t="str">
        <f t="shared" si="19"/>
        <v>Normal</v>
      </c>
      <c r="Q303" t="str">
        <f>IFERROR(_xlfn.XLOOKUP(B303,reorder_point!B:B,reorder_point!I:I),"")</f>
        <v>OK</v>
      </c>
      <c r="R303" t="str">
        <f>_xlfn.XLOOKUP(B303,products!A:A,products!B:B)</f>
        <v>SKU-0146</v>
      </c>
    </row>
    <row r="304" spans="1:18">
      <c r="A304">
        <v>303</v>
      </c>
      <c r="B304">
        <v>146</v>
      </c>
      <c r="C304" t="s">
        <v>118</v>
      </c>
      <c r="D304">
        <v>287</v>
      </c>
      <c r="E304" s="1">
        <v>46135</v>
      </c>
      <c r="F304" s="1">
        <f>_xlfn.XLOOKUP(B304,purchase_orders!C:C,purchase_orders!G:G)</f>
        <v>46029</v>
      </c>
      <c r="G304" s="5">
        <f t="shared" ca="1" si="16"/>
        <v>135</v>
      </c>
      <c r="H304" s="2" t="str">
        <f ca="1">IF(G304&lt;=30,"0-30",IF(G304&lt;=60,"31-60",IF(G304&lt;=90,"61-90","90+")))</f>
        <v>90+</v>
      </c>
      <c r="I304">
        <f>SUMIFS(order_items!D:D,order_items!C:C,inventory!B304)</f>
        <v>18</v>
      </c>
      <c r="J304" t="str">
        <f>IF(D304&gt;I304*3,"Overstock","OK")</f>
        <v>Overstock</v>
      </c>
      <c r="K304">
        <f>IFERROR(_xlfn.XLOOKUP(B304,purchase_orders!C:C,purchase_orders!I:I),0)</f>
        <v>741</v>
      </c>
      <c r="L304">
        <f>(D304+K304)/2</f>
        <v>514</v>
      </c>
      <c r="M304">
        <f t="shared" si="17"/>
        <v>0.04</v>
      </c>
      <c r="N304">
        <f>IFERROR(_xlfn.XLOOKUP(B304,products!A:A,products!E:E),0)</f>
        <v>170.74</v>
      </c>
      <c r="O304">
        <f t="shared" si="18"/>
        <v>49002.380000000005</v>
      </c>
      <c r="P304" t="str">
        <f t="shared" si="19"/>
        <v>Normal</v>
      </c>
      <c r="Q304" t="str">
        <f>IFERROR(_xlfn.XLOOKUP(B304,reorder_point!B:B,reorder_point!I:I),"")</f>
        <v>OK</v>
      </c>
      <c r="R304" t="str">
        <f>_xlfn.XLOOKUP(B304,products!A:A,products!B:B)</f>
        <v>SKU-0146</v>
      </c>
    </row>
    <row r="305" spans="1:18">
      <c r="A305">
        <v>304</v>
      </c>
      <c r="B305">
        <v>146</v>
      </c>
      <c r="C305" t="s">
        <v>119</v>
      </c>
      <c r="D305">
        <v>55</v>
      </c>
      <c r="E305" s="1">
        <v>46106</v>
      </c>
      <c r="F305" s="1">
        <f>_xlfn.XLOOKUP(B305,purchase_orders!C:C,purchase_orders!G:G)</f>
        <v>46029</v>
      </c>
      <c r="G305" s="5">
        <f t="shared" ca="1" si="16"/>
        <v>135</v>
      </c>
      <c r="H305" s="2" t="str">
        <f ca="1">IF(G305&lt;=30,"0-30",IF(G305&lt;=60,"31-60",IF(G305&lt;=90,"61-90","90+")))</f>
        <v>90+</v>
      </c>
      <c r="I305">
        <f>SUMIFS(order_items!D:D,order_items!C:C,inventory!B305)</f>
        <v>18</v>
      </c>
      <c r="J305" t="str">
        <f>IF(D305&gt;I305*3,"Overstock","OK")</f>
        <v>Overstock</v>
      </c>
      <c r="K305">
        <f>IFERROR(_xlfn.XLOOKUP(B305,purchase_orders!C:C,purchase_orders!I:I),0)</f>
        <v>741</v>
      </c>
      <c r="L305">
        <f>(D305+K305)/2</f>
        <v>398</v>
      </c>
      <c r="M305">
        <f t="shared" si="17"/>
        <v>0.05</v>
      </c>
      <c r="N305">
        <f>IFERROR(_xlfn.XLOOKUP(B305,products!A:A,products!E:E),0)</f>
        <v>170.74</v>
      </c>
      <c r="O305">
        <f t="shared" si="18"/>
        <v>9390.7000000000007</v>
      </c>
      <c r="P305" t="str">
        <f t="shared" si="19"/>
        <v>Normal</v>
      </c>
      <c r="Q305" t="str">
        <f>IFERROR(_xlfn.XLOOKUP(B305,reorder_point!B:B,reorder_point!I:I),"")</f>
        <v>OK</v>
      </c>
      <c r="R305" t="str">
        <f>_xlfn.XLOOKUP(B305,products!A:A,products!B:B)</f>
        <v>SKU-0146</v>
      </c>
    </row>
    <row r="306" spans="1:18">
      <c r="A306">
        <v>305</v>
      </c>
      <c r="B306">
        <v>147</v>
      </c>
      <c r="C306" t="s">
        <v>118</v>
      </c>
      <c r="D306">
        <v>25</v>
      </c>
      <c r="E306" s="1">
        <v>46110</v>
      </c>
      <c r="F306" s="1">
        <f>_xlfn.XLOOKUP(B306,purchase_orders!C:C,purchase_orders!G:G)</f>
        <v>46057</v>
      </c>
      <c r="G306" s="5">
        <f t="shared" ca="1" si="16"/>
        <v>107</v>
      </c>
      <c r="H306" s="2" t="str">
        <f ca="1">IF(G306&lt;=30,"0-30",IF(G306&lt;=60,"31-60",IF(G306&lt;=90,"61-90","90+")))</f>
        <v>90+</v>
      </c>
      <c r="I306">
        <f>SUMIFS(order_items!D:D,order_items!C:C,inventory!B306)</f>
        <v>33</v>
      </c>
      <c r="J306" t="str">
        <f>IF(D306&gt;I306*3,"Overstock","OK")</f>
        <v>OK</v>
      </c>
      <c r="K306">
        <f>IFERROR(_xlfn.XLOOKUP(B306,purchase_orders!C:C,purchase_orders!I:I),0)</f>
        <v>82</v>
      </c>
      <c r="L306">
        <f>(D306+K306)/2</f>
        <v>53.5</v>
      </c>
      <c r="M306">
        <f t="shared" si="17"/>
        <v>0.62</v>
      </c>
      <c r="N306">
        <f>IFERROR(_xlfn.XLOOKUP(B306,products!A:A,products!E:E),0)</f>
        <v>128.44999999999999</v>
      </c>
      <c r="O306">
        <f t="shared" si="18"/>
        <v>3211.2499999999995</v>
      </c>
      <c r="P306" t="str">
        <f t="shared" si="19"/>
        <v>Normal</v>
      </c>
      <c r="Q306" t="str">
        <f>IFERROR(_xlfn.XLOOKUP(B306,reorder_point!B:B,reorder_point!I:I),"")</f>
        <v>OK</v>
      </c>
      <c r="R306" t="str">
        <f>_xlfn.XLOOKUP(B306,products!A:A,products!B:B)</f>
        <v>SKU-0147</v>
      </c>
    </row>
    <row r="307" spans="1:18">
      <c r="A307">
        <v>306</v>
      </c>
      <c r="B307">
        <v>148</v>
      </c>
      <c r="C307" t="s">
        <v>118</v>
      </c>
      <c r="D307">
        <v>26</v>
      </c>
      <c r="E307" s="1">
        <v>46122</v>
      </c>
      <c r="F307" s="1">
        <f>_xlfn.XLOOKUP(B307,purchase_orders!C:C,purchase_orders!G:G)</f>
        <v>46138</v>
      </c>
      <c r="G307" s="5">
        <f t="shared" ca="1" si="16"/>
        <v>26</v>
      </c>
      <c r="H307" s="2" t="str">
        <f ca="1">IF(G307&lt;=30,"0-30",IF(G307&lt;=60,"31-60",IF(G307&lt;=90,"61-90","90+")))</f>
        <v>0-30</v>
      </c>
      <c r="I307">
        <f>SUMIFS(order_items!D:D,order_items!C:C,inventory!B307)</f>
        <v>47</v>
      </c>
      <c r="J307" t="str">
        <f>IF(D307&gt;I307*3,"Overstock","OK")</f>
        <v>OK</v>
      </c>
      <c r="K307">
        <f>IFERROR(_xlfn.XLOOKUP(B307,purchase_orders!C:C,purchase_orders!I:I),0)</f>
        <v>248</v>
      </c>
      <c r="L307">
        <f>(D307+K307)/2</f>
        <v>137</v>
      </c>
      <c r="M307">
        <f t="shared" si="17"/>
        <v>0.34</v>
      </c>
      <c r="N307">
        <f>IFERROR(_xlfn.XLOOKUP(B307,products!A:A,products!E:E),0)</f>
        <v>101.47</v>
      </c>
      <c r="O307">
        <f t="shared" si="18"/>
        <v>2638.22</v>
      </c>
      <c r="P307" t="str">
        <f t="shared" si="19"/>
        <v>Normal</v>
      </c>
      <c r="Q307" t="str">
        <f>IFERROR(_xlfn.XLOOKUP(B307,reorder_point!B:B,reorder_point!I:I),"")</f>
        <v>OK</v>
      </c>
      <c r="R307" t="str">
        <f>_xlfn.XLOOKUP(B307,products!A:A,products!B:B)</f>
        <v>SKU0148</v>
      </c>
    </row>
    <row r="308" spans="1:18">
      <c r="A308">
        <v>307</v>
      </c>
      <c r="B308">
        <v>149</v>
      </c>
      <c r="C308" t="s">
        <v>117</v>
      </c>
      <c r="D308">
        <v>394</v>
      </c>
      <c r="E308" s="1">
        <v>46108</v>
      </c>
      <c r="F308" s="1">
        <f>_xlfn.XLOOKUP(B308,purchase_orders!C:C,purchase_orders!G:G)</f>
        <v>46162</v>
      </c>
      <c r="G308" s="5">
        <f t="shared" ca="1" si="16"/>
        <v>2</v>
      </c>
      <c r="H308" s="2" t="str">
        <f ca="1">IF(G308&lt;=30,"0-30",IF(G308&lt;=60,"31-60",IF(G308&lt;=90,"61-90","90+")))</f>
        <v>0-30</v>
      </c>
      <c r="I308">
        <f>SUMIFS(order_items!D:D,order_items!C:C,inventory!B308)</f>
        <v>22</v>
      </c>
      <c r="J308" t="str">
        <f>IF(D308&gt;I308*3,"Overstock","OK")</f>
        <v>Overstock</v>
      </c>
      <c r="K308">
        <f>IFERROR(_xlfn.XLOOKUP(B308,purchase_orders!C:C,purchase_orders!I:I),0)</f>
        <v>904</v>
      </c>
      <c r="L308">
        <f>(D308+K308)/2</f>
        <v>649</v>
      </c>
      <c r="M308">
        <f t="shared" si="17"/>
        <v>0.03</v>
      </c>
      <c r="N308">
        <f>IFERROR(_xlfn.XLOOKUP(B308,products!A:A,products!E:E),0)</f>
        <v>140.22</v>
      </c>
      <c r="O308">
        <f t="shared" si="18"/>
        <v>55246.68</v>
      </c>
      <c r="P308" t="str">
        <f t="shared" si="19"/>
        <v>Normal</v>
      </c>
      <c r="Q308" t="str">
        <f>IFERROR(_xlfn.XLOOKUP(B308,reorder_point!B:B,reorder_point!I:I),"")</f>
        <v>OK</v>
      </c>
      <c r="R308" t="str">
        <f>_xlfn.XLOOKUP(B308,products!A:A,products!B:B)</f>
        <v>SKU-0149</v>
      </c>
    </row>
    <row r="309" spans="1:18">
      <c r="A309">
        <v>308</v>
      </c>
      <c r="B309">
        <v>149</v>
      </c>
      <c r="C309" t="s">
        <v>119</v>
      </c>
      <c r="D309">
        <v>500</v>
      </c>
      <c r="E309" s="1">
        <v>46117</v>
      </c>
      <c r="F309" s="1">
        <f>_xlfn.XLOOKUP(B309,purchase_orders!C:C,purchase_orders!G:G)</f>
        <v>46162</v>
      </c>
      <c r="G309" s="5">
        <f t="shared" ca="1" si="16"/>
        <v>2</v>
      </c>
      <c r="H309" s="2" t="str">
        <f ca="1">IF(G309&lt;=30,"0-30",IF(G309&lt;=60,"31-60",IF(G309&lt;=90,"61-90","90+")))</f>
        <v>0-30</v>
      </c>
      <c r="I309">
        <f>SUMIFS(order_items!D:D,order_items!C:C,inventory!B309)</f>
        <v>22</v>
      </c>
      <c r="J309" t="str">
        <f>IF(D309&gt;I309*3,"Overstock","OK")</f>
        <v>Overstock</v>
      </c>
      <c r="K309">
        <f>IFERROR(_xlfn.XLOOKUP(B309,purchase_orders!C:C,purchase_orders!I:I),0)</f>
        <v>904</v>
      </c>
      <c r="L309">
        <f>(D309+K309)/2</f>
        <v>702</v>
      </c>
      <c r="M309">
        <f t="shared" si="17"/>
        <v>0.03</v>
      </c>
      <c r="N309">
        <f>IFERROR(_xlfn.XLOOKUP(B309,products!A:A,products!E:E),0)</f>
        <v>140.22</v>
      </c>
      <c r="O309">
        <f t="shared" si="18"/>
        <v>70110</v>
      </c>
      <c r="P309" t="str">
        <f t="shared" si="19"/>
        <v>Normal</v>
      </c>
      <c r="Q309" t="str">
        <f>IFERROR(_xlfn.XLOOKUP(B309,reorder_point!B:B,reorder_point!I:I),"")</f>
        <v>OK</v>
      </c>
      <c r="R309" t="str">
        <f>_xlfn.XLOOKUP(B309,products!A:A,products!B:B)</f>
        <v>SKU-0149</v>
      </c>
    </row>
    <row r="310" spans="1:18">
      <c r="A310">
        <v>309</v>
      </c>
      <c r="B310">
        <v>149</v>
      </c>
      <c r="C310" t="s">
        <v>122</v>
      </c>
      <c r="D310">
        <v>334</v>
      </c>
      <c r="E310" s="1">
        <v>46087</v>
      </c>
      <c r="F310" s="1">
        <f>_xlfn.XLOOKUP(B310,purchase_orders!C:C,purchase_orders!G:G)</f>
        <v>46162</v>
      </c>
      <c r="G310" s="5">
        <f t="shared" ca="1" si="16"/>
        <v>2</v>
      </c>
      <c r="H310" s="2" t="str">
        <f ca="1">IF(G310&lt;=30,"0-30",IF(G310&lt;=60,"31-60",IF(G310&lt;=90,"61-90","90+")))</f>
        <v>0-30</v>
      </c>
      <c r="I310">
        <f>SUMIFS(order_items!D:D,order_items!C:C,inventory!B310)</f>
        <v>22</v>
      </c>
      <c r="J310" t="str">
        <f>IF(D310&gt;I310*3,"Overstock","OK")</f>
        <v>Overstock</v>
      </c>
      <c r="K310">
        <f>IFERROR(_xlfn.XLOOKUP(B310,purchase_orders!C:C,purchase_orders!I:I),0)</f>
        <v>904</v>
      </c>
      <c r="L310">
        <f>(D310+K310)/2</f>
        <v>619</v>
      </c>
      <c r="M310">
        <f t="shared" si="17"/>
        <v>0.04</v>
      </c>
      <c r="N310">
        <f>IFERROR(_xlfn.XLOOKUP(B310,products!A:A,products!E:E),0)</f>
        <v>140.22</v>
      </c>
      <c r="O310">
        <f t="shared" si="18"/>
        <v>46833.48</v>
      </c>
      <c r="P310" t="str">
        <f t="shared" si="19"/>
        <v>Normal</v>
      </c>
      <c r="Q310" t="str">
        <f>IFERROR(_xlfn.XLOOKUP(B310,reorder_point!B:B,reorder_point!I:I),"")</f>
        <v>OK</v>
      </c>
      <c r="R310" t="str">
        <f>_xlfn.XLOOKUP(B310,products!A:A,products!B:B)</f>
        <v>SKU-0149</v>
      </c>
    </row>
    <row r="311" spans="1:18">
      <c r="A311">
        <v>310</v>
      </c>
      <c r="B311">
        <v>150</v>
      </c>
      <c r="C311" t="s">
        <v>117</v>
      </c>
      <c r="D311">
        <v>387</v>
      </c>
      <c r="E311" s="1">
        <v>46123</v>
      </c>
      <c r="F311" s="1">
        <f>_xlfn.XLOOKUP(B311,purchase_orders!C:C,purchase_orders!G:G)</f>
        <v>46089</v>
      </c>
      <c r="G311" s="5">
        <f t="shared" ca="1" si="16"/>
        <v>75</v>
      </c>
      <c r="H311" s="2" t="str">
        <f ca="1">IF(G311&lt;=30,"0-30",IF(G311&lt;=60,"31-60",IF(G311&lt;=90,"61-90","90+")))</f>
        <v>61-90</v>
      </c>
      <c r="I311">
        <f>SUMIFS(order_items!D:D,order_items!C:C,inventory!B311)</f>
        <v>27</v>
      </c>
      <c r="J311" t="str">
        <f>IF(D311&gt;I311*3,"Overstock","OK")</f>
        <v>Overstock</v>
      </c>
      <c r="K311">
        <f>IFERROR(_xlfn.XLOOKUP(B311,purchase_orders!C:C,purchase_orders!I:I),0)</f>
        <v>367</v>
      </c>
      <c r="L311">
        <f>(D311+K311)/2</f>
        <v>377</v>
      </c>
      <c r="M311">
        <f t="shared" si="17"/>
        <v>7.0000000000000007E-2</v>
      </c>
      <c r="N311">
        <f>IFERROR(_xlfn.XLOOKUP(B311,products!A:A,products!E:E),0)</f>
        <v>54.5</v>
      </c>
      <c r="O311">
        <f t="shared" si="18"/>
        <v>21091.5</v>
      </c>
      <c r="P311" t="str">
        <f t="shared" si="19"/>
        <v>Normal</v>
      </c>
      <c r="Q311" t="str">
        <f>IFERROR(_xlfn.XLOOKUP(B311,reorder_point!B:B,reorder_point!I:I),"")</f>
        <v>OK</v>
      </c>
      <c r="R311" t="str">
        <f>_xlfn.XLOOKUP(B311,products!A:A,products!B:B)</f>
        <v>SKU-0150</v>
      </c>
    </row>
    <row r="312" spans="1:18">
      <c r="A312">
        <v>311</v>
      </c>
      <c r="B312">
        <v>150</v>
      </c>
      <c r="C312" t="s">
        <v>118</v>
      </c>
      <c r="D312">
        <v>146</v>
      </c>
      <c r="E312" s="1">
        <v>46085</v>
      </c>
      <c r="F312" s="1">
        <f>_xlfn.XLOOKUP(B312,purchase_orders!C:C,purchase_orders!G:G)</f>
        <v>46089</v>
      </c>
      <c r="G312" s="5">
        <f t="shared" ca="1" si="16"/>
        <v>75</v>
      </c>
      <c r="H312" s="2" t="str">
        <f ca="1">IF(G312&lt;=30,"0-30",IF(G312&lt;=60,"31-60",IF(G312&lt;=90,"61-90","90+")))</f>
        <v>61-90</v>
      </c>
      <c r="I312">
        <f>SUMIFS(order_items!D:D,order_items!C:C,inventory!B312)</f>
        <v>27</v>
      </c>
      <c r="J312" t="str">
        <f>IF(D312&gt;I312*3,"Overstock","OK")</f>
        <v>Overstock</v>
      </c>
      <c r="K312">
        <f>IFERROR(_xlfn.XLOOKUP(B312,purchase_orders!C:C,purchase_orders!I:I),0)</f>
        <v>367</v>
      </c>
      <c r="L312">
        <f>(D312+K312)/2</f>
        <v>256.5</v>
      </c>
      <c r="M312">
        <f t="shared" si="17"/>
        <v>0.11</v>
      </c>
      <c r="N312">
        <f>IFERROR(_xlfn.XLOOKUP(B312,products!A:A,products!E:E),0)</f>
        <v>54.5</v>
      </c>
      <c r="O312">
        <f t="shared" si="18"/>
        <v>7957</v>
      </c>
      <c r="P312" t="str">
        <f t="shared" si="19"/>
        <v>Normal</v>
      </c>
      <c r="Q312" t="str">
        <f>IFERROR(_xlfn.XLOOKUP(B312,reorder_point!B:B,reorder_point!I:I),"")</f>
        <v>OK</v>
      </c>
      <c r="R312" t="str">
        <f>_xlfn.XLOOKUP(B312,products!A:A,products!B:B)</f>
        <v>SKU-0150</v>
      </c>
    </row>
    <row r="313" spans="1:18">
      <c r="A313">
        <v>312</v>
      </c>
      <c r="B313">
        <v>9999</v>
      </c>
      <c r="C313" t="s">
        <v>119</v>
      </c>
      <c r="D313">
        <v>50</v>
      </c>
      <c r="E313" s="1">
        <v>46143</v>
      </c>
      <c r="F313" s="1" t="e">
        <f>_xlfn.XLOOKUP(B313,purchase_orders!C:C,purchase_orders!G:G)</f>
        <v>#N/A</v>
      </c>
      <c r="G313" s="5" t="e">
        <f t="shared" ca="1" si="16"/>
        <v>#N/A</v>
      </c>
      <c r="H313" s="2" t="e">
        <f ca="1">IF(G313&lt;=30,"0-30",IF(G313&lt;=60,"31-60",IF(G313&lt;=90,"61-90","90+")))</f>
        <v>#N/A</v>
      </c>
      <c r="I313">
        <f>SUMIFS(order_items!D:D,order_items!C:C,inventory!B313)</f>
        <v>0</v>
      </c>
      <c r="J313" t="str">
        <f>IF(D313&gt;I313*3,"Overstock","OK")</f>
        <v>Overstock</v>
      </c>
      <c r="K313">
        <f>IFERROR(_xlfn.XLOOKUP(B313,purchase_orders!C:C,purchase_orders!I:I),0)</f>
        <v>0</v>
      </c>
      <c r="L313">
        <f>(D313+K313)/2</f>
        <v>25</v>
      </c>
      <c r="M313">
        <f t="shared" si="17"/>
        <v>0</v>
      </c>
      <c r="N313">
        <f>IFERROR(_xlfn.XLOOKUP(B313,products!A:A,products!E:E),0)</f>
        <v>0</v>
      </c>
      <c r="O313">
        <f t="shared" si="18"/>
        <v>0</v>
      </c>
      <c r="P313" t="str">
        <f t="shared" si="19"/>
        <v>Slow Moving</v>
      </c>
      <c r="Q313" t="str">
        <f>IFERROR(_xlfn.XLOOKUP(B313,reorder_point!B:B,reorder_point!I:I),"")</f>
        <v/>
      </c>
      <c r="R313" t="e">
        <f>_xlfn.XLOOKUP(B313,products!A:A,products!B:B)</f>
        <v>#N/A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2D277-22B3-46B8-85D8-263B9C247C41}">
  <sheetPr filterMode="1"/>
  <dimension ref="A1:O501"/>
  <sheetViews>
    <sheetView topLeftCell="A457" workbookViewId="0">
      <selection activeCell="O2" sqref="O2"/>
    </sheetView>
  </sheetViews>
  <sheetFormatPr defaultRowHeight="15"/>
  <cols>
    <col min="1" max="1" width="5.85546875" bestFit="1" customWidth="1"/>
    <col min="2" max="2" width="10.5703125" bestFit="1" customWidth="1"/>
    <col min="3" max="3" width="10.42578125" bestFit="1" customWidth="1"/>
    <col min="4" max="4" width="12.28515625" bestFit="1" customWidth="1"/>
    <col min="5" max="5" width="11.140625" bestFit="1" customWidth="1"/>
    <col min="6" max="6" width="13.85546875" bestFit="1" customWidth="1"/>
    <col min="7" max="7" width="13.28515625" bestFit="1" customWidth="1"/>
    <col min="8" max="8" width="11.7109375" bestFit="1" customWidth="1"/>
    <col min="9" max="9" width="12.140625" bestFit="1" customWidth="1"/>
    <col min="10" max="10" width="9" bestFit="1" customWidth="1"/>
    <col min="11" max="11" width="9.42578125" bestFit="1" customWidth="1"/>
    <col min="12" max="12" width="11.140625" customWidth="1"/>
    <col min="13" max="13" width="17" bestFit="1" customWidth="1"/>
    <col min="14" max="14" width="12.42578125" customWidth="1"/>
  </cols>
  <sheetData>
    <row r="1" spans="1:15">
      <c r="A1" t="s">
        <v>454</v>
      </c>
      <c r="B1" t="s">
        <v>156</v>
      </c>
      <c r="C1" t="s">
        <v>125</v>
      </c>
      <c r="D1" t="s">
        <v>115</v>
      </c>
      <c r="E1" t="s">
        <v>455</v>
      </c>
      <c r="F1" t="s">
        <v>456</v>
      </c>
      <c r="G1" t="s">
        <v>445</v>
      </c>
      <c r="H1" t="s">
        <v>457</v>
      </c>
      <c r="I1" t="s">
        <v>449</v>
      </c>
      <c r="J1" t="s">
        <v>458</v>
      </c>
      <c r="K1" t="s">
        <v>459</v>
      </c>
      <c r="L1" t="s">
        <v>129</v>
      </c>
      <c r="M1" t="s">
        <v>18</v>
      </c>
      <c r="N1" t="s">
        <v>460</v>
      </c>
      <c r="O1" t="s">
        <v>461</v>
      </c>
    </row>
    <row r="2" spans="1:15">
      <c r="A2">
        <v>5001</v>
      </c>
      <c r="B2">
        <v>7</v>
      </c>
      <c r="C2">
        <v>134</v>
      </c>
      <c r="D2" t="s">
        <v>122</v>
      </c>
      <c r="E2" s="1">
        <v>46045</v>
      </c>
      <c r="F2" s="1">
        <v>46075</v>
      </c>
      <c r="G2" s="1">
        <v>46078</v>
      </c>
      <c r="H2">
        <v>503</v>
      </c>
      <c r="I2">
        <v>456</v>
      </c>
      <c r="J2">
        <v>19.75</v>
      </c>
      <c r="K2" t="s">
        <v>462</v>
      </c>
      <c r="L2">
        <f>IFERROR(G2-E2,"")</f>
        <v>33</v>
      </c>
      <c r="M2" t="str">
        <f>_xlfn.XLOOKUP(B2,suppliers!A:A,suppliers!B:B)</f>
        <v>Summit Trading</v>
      </c>
      <c r="N2" t="str">
        <f>IF(G2&lt;F2,"On time","Late")</f>
        <v>Late</v>
      </c>
      <c r="O2">
        <f>ROUND(I2/H2,2)</f>
        <v>0.91</v>
      </c>
    </row>
    <row r="3" spans="1:15">
      <c r="A3">
        <v>5002</v>
      </c>
      <c r="B3">
        <v>3</v>
      </c>
      <c r="C3">
        <v>43</v>
      </c>
      <c r="D3" t="s">
        <v>119</v>
      </c>
      <c r="E3" s="1">
        <v>46127</v>
      </c>
      <c r="F3" s="1">
        <v>46164</v>
      </c>
      <c r="G3" s="1">
        <v>46172</v>
      </c>
      <c r="H3">
        <v>203</v>
      </c>
      <c r="I3">
        <v>203</v>
      </c>
      <c r="J3">
        <v>80.489999999999995</v>
      </c>
      <c r="K3" t="s">
        <v>463</v>
      </c>
      <c r="L3">
        <f t="shared" ref="L3:L66" si="0">IFERROR(G3-E3,"")</f>
        <v>45</v>
      </c>
      <c r="M3" t="str">
        <f>_xlfn.XLOOKUP(B3,suppliers!A:A,suppliers!B:B)</f>
        <v>PrimeSource</v>
      </c>
      <c r="N3" t="str">
        <f t="shared" ref="N3:N66" si="1">IF(G3&lt;F3,"On time","Late")</f>
        <v>Late</v>
      </c>
      <c r="O3">
        <f t="shared" ref="O3:O66" si="2">ROUND(I3/H3,2)</f>
        <v>1</v>
      </c>
    </row>
    <row r="4" spans="1:15">
      <c r="A4">
        <v>5003</v>
      </c>
      <c r="B4">
        <v>2</v>
      </c>
      <c r="C4">
        <v>49</v>
      </c>
      <c r="D4" t="s">
        <v>117</v>
      </c>
      <c r="E4" s="1">
        <v>46044</v>
      </c>
      <c r="F4" s="1">
        <v>46057</v>
      </c>
      <c r="G4" s="1">
        <v>46062</v>
      </c>
      <c r="H4">
        <v>116</v>
      </c>
      <c r="I4">
        <v>78</v>
      </c>
      <c r="J4">
        <v>44.96</v>
      </c>
      <c r="K4" t="s">
        <v>462</v>
      </c>
      <c r="L4">
        <f t="shared" si="0"/>
        <v>18</v>
      </c>
      <c r="M4" t="str">
        <f>_xlfn.XLOOKUP(B4,suppliers!A:A,suppliers!B:B)</f>
        <v>Global Goods</v>
      </c>
      <c r="N4" t="str">
        <f t="shared" si="1"/>
        <v>Late</v>
      </c>
      <c r="O4">
        <f t="shared" si="2"/>
        <v>0.67</v>
      </c>
    </row>
    <row r="5" spans="1:15">
      <c r="A5">
        <v>5004</v>
      </c>
      <c r="B5">
        <v>7</v>
      </c>
      <c r="C5">
        <v>18</v>
      </c>
      <c r="D5" t="s">
        <v>118</v>
      </c>
      <c r="E5" s="1">
        <v>46082</v>
      </c>
      <c r="F5" s="1">
        <v>46124</v>
      </c>
      <c r="G5" s="1">
        <v>46130</v>
      </c>
      <c r="H5">
        <v>663</v>
      </c>
      <c r="I5">
        <v>646</v>
      </c>
      <c r="J5">
        <v>27.17</v>
      </c>
      <c r="K5" t="s">
        <v>463</v>
      </c>
      <c r="L5">
        <f t="shared" si="0"/>
        <v>48</v>
      </c>
      <c r="M5" t="str">
        <f>_xlfn.XLOOKUP(B5,suppliers!A:A,suppliers!B:B)</f>
        <v>Summit Trading</v>
      </c>
      <c r="N5" t="str">
        <f t="shared" si="1"/>
        <v>Late</v>
      </c>
      <c r="O5">
        <f t="shared" si="2"/>
        <v>0.97</v>
      </c>
    </row>
    <row r="6" spans="1:15">
      <c r="A6">
        <v>5005</v>
      </c>
      <c r="B6">
        <v>5</v>
      </c>
      <c r="C6">
        <v>110</v>
      </c>
      <c r="D6" t="s">
        <v>121</v>
      </c>
      <c r="E6" s="1">
        <v>46142</v>
      </c>
      <c r="F6" s="1">
        <v>46168</v>
      </c>
      <c r="G6" s="1">
        <v>46187</v>
      </c>
      <c r="H6">
        <v>432</v>
      </c>
      <c r="I6">
        <v>398</v>
      </c>
      <c r="J6">
        <v>176.97</v>
      </c>
      <c r="K6" t="s">
        <v>462</v>
      </c>
      <c r="L6">
        <f t="shared" si="0"/>
        <v>45</v>
      </c>
      <c r="M6" t="str">
        <f>_xlfn.XLOOKUP(B6,suppliers!A:A,suppliers!B:B)</f>
        <v>Utah Wholesale</v>
      </c>
      <c r="N6" t="str">
        <f t="shared" si="1"/>
        <v>Late</v>
      </c>
      <c r="O6">
        <f t="shared" si="2"/>
        <v>0.92</v>
      </c>
    </row>
    <row r="7" spans="1:15">
      <c r="A7">
        <v>5006</v>
      </c>
      <c r="B7">
        <v>5</v>
      </c>
      <c r="C7">
        <v>20</v>
      </c>
      <c r="D7" t="s">
        <v>119</v>
      </c>
      <c r="E7" s="1">
        <v>46032</v>
      </c>
      <c r="F7" s="1">
        <v>46045</v>
      </c>
      <c r="G7" s="1">
        <v>46048</v>
      </c>
      <c r="H7">
        <v>202</v>
      </c>
      <c r="I7">
        <v>194</v>
      </c>
      <c r="J7">
        <v>118.73</v>
      </c>
      <c r="K7" t="s">
        <v>464</v>
      </c>
      <c r="L7">
        <f t="shared" si="0"/>
        <v>16</v>
      </c>
      <c r="M7" t="str">
        <f>_xlfn.XLOOKUP(B7,suppliers!A:A,suppliers!B:B)</f>
        <v>Utah Wholesale</v>
      </c>
      <c r="N7" t="str">
        <f t="shared" si="1"/>
        <v>Late</v>
      </c>
      <c r="O7">
        <f t="shared" si="2"/>
        <v>0.96</v>
      </c>
    </row>
    <row r="8" spans="1:15">
      <c r="A8">
        <v>5007</v>
      </c>
      <c r="B8">
        <v>2</v>
      </c>
      <c r="C8">
        <v>99</v>
      </c>
      <c r="D8" t="s">
        <v>117</v>
      </c>
      <c r="E8" s="1">
        <v>46077</v>
      </c>
      <c r="F8" s="1">
        <v>46120</v>
      </c>
      <c r="G8" s="1">
        <v>46133</v>
      </c>
      <c r="H8">
        <v>639</v>
      </c>
      <c r="I8">
        <v>626</v>
      </c>
      <c r="J8">
        <v>30.43</v>
      </c>
      <c r="K8" t="s">
        <v>462</v>
      </c>
      <c r="L8">
        <f t="shared" si="0"/>
        <v>56</v>
      </c>
      <c r="M8" t="str">
        <f>_xlfn.XLOOKUP(B8,suppliers!A:A,suppliers!B:B)</f>
        <v>Global Goods</v>
      </c>
      <c r="N8" t="str">
        <f t="shared" si="1"/>
        <v>Late</v>
      </c>
      <c r="O8">
        <f t="shared" si="2"/>
        <v>0.98</v>
      </c>
    </row>
    <row r="9" spans="1:15">
      <c r="A9">
        <v>5008</v>
      </c>
      <c r="B9">
        <v>3</v>
      </c>
      <c r="C9">
        <v>1</v>
      </c>
      <c r="D9" t="s">
        <v>118</v>
      </c>
      <c r="E9" s="1">
        <v>46052</v>
      </c>
      <c r="F9" s="1">
        <v>46072</v>
      </c>
      <c r="G9" s="1">
        <v>46092</v>
      </c>
      <c r="H9">
        <v>649</v>
      </c>
      <c r="I9">
        <v>619</v>
      </c>
      <c r="J9">
        <v>122.45</v>
      </c>
      <c r="K9" t="s">
        <v>464</v>
      </c>
      <c r="L9">
        <f t="shared" si="0"/>
        <v>40</v>
      </c>
      <c r="M9" t="str">
        <f>_xlfn.XLOOKUP(B9,suppliers!A:A,suppliers!B:B)</f>
        <v>PrimeSource</v>
      </c>
      <c r="N9" t="str">
        <f t="shared" si="1"/>
        <v>Late</v>
      </c>
      <c r="O9">
        <f t="shared" si="2"/>
        <v>0.95</v>
      </c>
    </row>
    <row r="10" spans="1:15">
      <c r="A10">
        <v>5009</v>
      </c>
      <c r="B10">
        <v>7</v>
      </c>
      <c r="C10">
        <v>83</v>
      </c>
      <c r="D10" t="s">
        <v>117</v>
      </c>
      <c r="E10" s="1">
        <v>46012</v>
      </c>
      <c r="F10" s="1">
        <v>46022</v>
      </c>
      <c r="G10" s="1">
        <v>46042</v>
      </c>
      <c r="H10">
        <v>470</v>
      </c>
      <c r="I10">
        <v>450</v>
      </c>
      <c r="J10">
        <v>150.61000000000001</v>
      </c>
      <c r="K10" t="s">
        <v>463</v>
      </c>
      <c r="L10">
        <f t="shared" si="0"/>
        <v>30</v>
      </c>
      <c r="M10" t="str">
        <f>_xlfn.XLOOKUP(B10,suppliers!A:A,suppliers!B:B)</f>
        <v>Summit Trading</v>
      </c>
      <c r="N10" t="str">
        <f t="shared" si="1"/>
        <v>Late</v>
      </c>
      <c r="O10">
        <f t="shared" si="2"/>
        <v>0.96</v>
      </c>
    </row>
    <row r="11" spans="1:15">
      <c r="A11">
        <v>5010</v>
      </c>
      <c r="B11">
        <v>8</v>
      </c>
      <c r="C11">
        <v>129</v>
      </c>
      <c r="D11" t="s">
        <v>117</v>
      </c>
      <c r="E11" s="1">
        <v>46023</v>
      </c>
      <c r="F11" s="1">
        <v>46045</v>
      </c>
      <c r="G11" s="1">
        <v>46052</v>
      </c>
      <c r="H11">
        <v>812</v>
      </c>
      <c r="I11">
        <v>790</v>
      </c>
      <c r="J11">
        <v>55.65</v>
      </c>
      <c r="K11" t="s">
        <v>463</v>
      </c>
      <c r="L11">
        <f t="shared" si="0"/>
        <v>29</v>
      </c>
      <c r="M11" t="str">
        <f>_xlfn.XLOOKUP(B11,suppliers!A:A,suppliers!B:B)</f>
        <v>Metro Logistics</v>
      </c>
      <c r="N11" t="str">
        <f t="shared" si="1"/>
        <v>Late</v>
      </c>
      <c r="O11">
        <f t="shared" si="2"/>
        <v>0.97</v>
      </c>
    </row>
    <row r="12" spans="1:15">
      <c r="A12">
        <v>5011</v>
      </c>
      <c r="B12">
        <v>7</v>
      </c>
      <c r="C12">
        <v>134</v>
      </c>
      <c r="D12" t="s">
        <v>118</v>
      </c>
      <c r="E12" s="1">
        <v>46074</v>
      </c>
      <c r="F12" s="1">
        <v>46114</v>
      </c>
      <c r="G12" s="1">
        <v>46128</v>
      </c>
      <c r="H12">
        <v>882</v>
      </c>
      <c r="I12">
        <v>842</v>
      </c>
      <c r="J12">
        <v>17.850000000000001</v>
      </c>
      <c r="K12" t="s">
        <v>463</v>
      </c>
      <c r="L12">
        <f t="shared" si="0"/>
        <v>54</v>
      </c>
      <c r="M12" t="str">
        <f>_xlfn.XLOOKUP(B12,suppliers!A:A,suppliers!B:B)</f>
        <v>Summit Trading</v>
      </c>
      <c r="N12" t="str">
        <f t="shared" si="1"/>
        <v>Late</v>
      </c>
      <c r="O12">
        <f t="shared" si="2"/>
        <v>0.95</v>
      </c>
    </row>
    <row r="13" spans="1:15">
      <c r="A13">
        <v>5012</v>
      </c>
      <c r="B13">
        <v>2</v>
      </c>
      <c r="C13">
        <v>37</v>
      </c>
      <c r="D13" t="s">
        <v>119</v>
      </c>
      <c r="E13" s="1">
        <v>46104</v>
      </c>
      <c r="F13" s="1">
        <v>46146</v>
      </c>
      <c r="G13" s="1">
        <v>46163</v>
      </c>
      <c r="H13">
        <v>827</v>
      </c>
      <c r="I13">
        <v>792</v>
      </c>
      <c r="J13">
        <v>139.11000000000001</v>
      </c>
      <c r="K13" t="s">
        <v>462</v>
      </c>
      <c r="L13">
        <f t="shared" si="0"/>
        <v>59</v>
      </c>
      <c r="M13" t="str">
        <f>_xlfn.XLOOKUP(B13,suppliers!A:A,suppliers!B:B)</f>
        <v>Global Goods</v>
      </c>
      <c r="N13" t="str">
        <f t="shared" si="1"/>
        <v>Late</v>
      </c>
      <c r="O13">
        <f t="shared" si="2"/>
        <v>0.96</v>
      </c>
    </row>
    <row r="14" spans="1:15">
      <c r="A14">
        <v>5013</v>
      </c>
      <c r="B14">
        <v>7</v>
      </c>
      <c r="C14">
        <v>90</v>
      </c>
      <c r="D14" t="s">
        <v>117</v>
      </c>
      <c r="E14" s="1">
        <v>46038</v>
      </c>
      <c r="F14" s="1">
        <v>46046</v>
      </c>
      <c r="G14" s="1">
        <v>46055</v>
      </c>
      <c r="H14">
        <v>809</v>
      </c>
      <c r="I14">
        <v>796</v>
      </c>
      <c r="J14">
        <v>6.74</v>
      </c>
      <c r="K14" t="s">
        <v>464</v>
      </c>
      <c r="L14">
        <f t="shared" si="0"/>
        <v>17</v>
      </c>
      <c r="M14" t="str">
        <f>_xlfn.XLOOKUP(B14,suppliers!A:A,suppliers!B:B)</f>
        <v>Summit Trading</v>
      </c>
      <c r="N14" t="str">
        <f t="shared" si="1"/>
        <v>Late</v>
      </c>
      <c r="O14">
        <f t="shared" si="2"/>
        <v>0.98</v>
      </c>
    </row>
    <row r="15" spans="1:15">
      <c r="A15">
        <v>5014</v>
      </c>
      <c r="B15">
        <v>4</v>
      </c>
      <c r="C15">
        <v>144</v>
      </c>
      <c r="D15" t="s">
        <v>122</v>
      </c>
      <c r="E15" s="1">
        <v>46041</v>
      </c>
      <c r="F15" s="1">
        <v>46072</v>
      </c>
      <c r="G15" s="1">
        <v>46090</v>
      </c>
      <c r="H15">
        <v>30</v>
      </c>
      <c r="I15">
        <v>-3</v>
      </c>
      <c r="J15">
        <v>9.33</v>
      </c>
      <c r="K15" t="s">
        <v>462</v>
      </c>
      <c r="L15">
        <f t="shared" si="0"/>
        <v>49</v>
      </c>
      <c r="M15" t="str">
        <f>_xlfn.XLOOKUP(B15,suppliers!A:A,suppliers!B:B)</f>
        <v>Blue Ridge</v>
      </c>
      <c r="N15" t="str">
        <f t="shared" si="1"/>
        <v>Late</v>
      </c>
      <c r="O15">
        <f t="shared" si="2"/>
        <v>-0.1</v>
      </c>
    </row>
    <row r="16" spans="1:15">
      <c r="A16">
        <v>5015</v>
      </c>
      <c r="B16">
        <v>1</v>
      </c>
      <c r="C16">
        <v>2</v>
      </c>
      <c r="D16" t="s">
        <v>119</v>
      </c>
      <c r="E16" s="1">
        <v>46143</v>
      </c>
      <c r="F16" s="1">
        <v>46169</v>
      </c>
      <c r="G16" s="1">
        <v>46175</v>
      </c>
      <c r="H16">
        <v>957</v>
      </c>
      <c r="I16">
        <v>919</v>
      </c>
      <c r="J16">
        <v>19.23</v>
      </c>
      <c r="K16" t="s">
        <v>463</v>
      </c>
      <c r="L16">
        <f t="shared" si="0"/>
        <v>32</v>
      </c>
      <c r="M16" t="str">
        <f>_xlfn.XLOOKUP(B16,suppliers!A:A,suppliers!B:B)</f>
        <v>Acme Supply</v>
      </c>
      <c r="N16" t="str">
        <f t="shared" si="1"/>
        <v>Late</v>
      </c>
      <c r="O16">
        <f t="shared" si="2"/>
        <v>0.96</v>
      </c>
    </row>
    <row r="17" spans="1:15">
      <c r="A17">
        <v>5016</v>
      </c>
      <c r="B17">
        <v>2</v>
      </c>
      <c r="C17">
        <v>9</v>
      </c>
      <c r="D17" t="s">
        <v>119</v>
      </c>
      <c r="E17" s="1">
        <v>46063</v>
      </c>
      <c r="F17" s="1">
        <v>46100</v>
      </c>
      <c r="G17" s="1">
        <v>46117</v>
      </c>
      <c r="H17">
        <v>741</v>
      </c>
      <c r="I17">
        <v>705</v>
      </c>
      <c r="J17">
        <v>114.83</v>
      </c>
      <c r="K17" t="s">
        <v>464</v>
      </c>
      <c r="L17">
        <f t="shared" si="0"/>
        <v>54</v>
      </c>
      <c r="M17" t="str">
        <f>_xlfn.XLOOKUP(B17,suppliers!A:A,suppliers!B:B)</f>
        <v>Global Goods</v>
      </c>
      <c r="N17" t="str">
        <f t="shared" si="1"/>
        <v>Late</v>
      </c>
      <c r="O17">
        <f t="shared" si="2"/>
        <v>0.95</v>
      </c>
    </row>
    <row r="18" spans="1:15">
      <c r="A18">
        <v>5017</v>
      </c>
      <c r="B18">
        <v>6</v>
      </c>
      <c r="C18">
        <v>121</v>
      </c>
      <c r="D18" t="s">
        <v>121</v>
      </c>
      <c r="E18" s="1">
        <v>46109</v>
      </c>
      <c r="F18" s="1">
        <v>46147</v>
      </c>
      <c r="G18" s="1">
        <v>46165</v>
      </c>
      <c r="H18">
        <v>915</v>
      </c>
      <c r="I18">
        <v>909</v>
      </c>
      <c r="J18">
        <v>60.73</v>
      </c>
      <c r="K18" t="s">
        <v>464</v>
      </c>
      <c r="L18">
        <f t="shared" si="0"/>
        <v>56</v>
      </c>
      <c r="M18" t="str">
        <f>_xlfn.XLOOKUP(B18,suppliers!A:A,suppliers!B:B)</f>
        <v>Evergreen Imports</v>
      </c>
      <c r="N18" t="str">
        <f t="shared" si="1"/>
        <v>Late</v>
      </c>
      <c r="O18">
        <f t="shared" si="2"/>
        <v>0.99</v>
      </c>
    </row>
    <row r="19" spans="1:15">
      <c r="A19">
        <v>5018</v>
      </c>
      <c r="B19">
        <v>6</v>
      </c>
      <c r="C19">
        <v>95</v>
      </c>
      <c r="D19" t="s">
        <v>119</v>
      </c>
      <c r="E19" s="1">
        <v>46000</v>
      </c>
      <c r="F19" s="1">
        <v>46016</v>
      </c>
      <c r="G19" s="1">
        <v>46016</v>
      </c>
      <c r="H19">
        <v>911</v>
      </c>
      <c r="I19">
        <v>885</v>
      </c>
      <c r="J19">
        <v>84.92</v>
      </c>
      <c r="K19" t="s">
        <v>464</v>
      </c>
      <c r="L19">
        <f t="shared" si="0"/>
        <v>16</v>
      </c>
      <c r="M19" t="str">
        <f>_xlfn.XLOOKUP(B19,suppliers!A:A,suppliers!B:B)</f>
        <v>Evergreen Imports</v>
      </c>
      <c r="N19" t="str">
        <f t="shared" si="1"/>
        <v>Late</v>
      </c>
      <c r="O19">
        <f t="shared" si="2"/>
        <v>0.97</v>
      </c>
    </row>
    <row r="20" spans="1:15">
      <c r="A20">
        <v>5019</v>
      </c>
      <c r="B20">
        <v>3</v>
      </c>
      <c r="C20">
        <v>15</v>
      </c>
      <c r="D20" t="s">
        <v>118</v>
      </c>
      <c r="E20" s="1">
        <v>46106</v>
      </c>
      <c r="F20" s="1">
        <v>46116</v>
      </c>
      <c r="G20" s="1">
        <v>46128</v>
      </c>
      <c r="H20">
        <v>304</v>
      </c>
      <c r="I20">
        <v>263</v>
      </c>
      <c r="J20">
        <v>198.71</v>
      </c>
      <c r="K20" t="s">
        <v>464</v>
      </c>
      <c r="L20">
        <f t="shared" si="0"/>
        <v>22</v>
      </c>
      <c r="M20" t="str">
        <f>_xlfn.XLOOKUP(B20,suppliers!A:A,suppliers!B:B)</f>
        <v>PrimeSource</v>
      </c>
      <c r="N20" t="str">
        <f t="shared" si="1"/>
        <v>Late</v>
      </c>
      <c r="O20">
        <f t="shared" si="2"/>
        <v>0.87</v>
      </c>
    </row>
    <row r="21" spans="1:15">
      <c r="A21">
        <v>5020</v>
      </c>
      <c r="B21">
        <v>6</v>
      </c>
      <c r="C21">
        <v>5</v>
      </c>
      <c r="D21" t="s">
        <v>122</v>
      </c>
      <c r="E21" s="1">
        <v>46078</v>
      </c>
      <c r="F21" s="1">
        <v>46105</v>
      </c>
      <c r="G21" s="1">
        <v>46105</v>
      </c>
      <c r="H21">
        <v>947</v>
      </c>
      <c r="I21">
        <v>914</v>
      </c>
      <c r="J21">
        <v>80.319999999999993</v>
      </c>
      <c r="K21" t="s">
        <v>464</v>
      </c>
      <c r="L21">
        <f t="shared" si="0"/>
        <v>27</v>
      </c>
      <c r="M21" t="str">
        <f>_xlfn.XLOOKUP(B21,suppliers!A:A,suppliers!B:B)</f>
        <v>Evergreen Imports</v>
      </c>
      <c r="N21" t="str">
        <f t="shared" si="1"/>
        <v>Late</v>
      </c>
      <c r="O21">
        <f t="shared" si="2"/>
        <v>0.97</v>
      </c>
    </row>
    <row r="22" spans="1:15">
      <c r="A22">
        <v>5021</v>
      </c>
      <c r="B22">
        <v>1</v>
      </c>
      <c r="C22">
        <v>104</v>
      </c>
      <c r="D22" t="s">
        <v>120</v>
      </c>
      <c r="E22" s="1">
        <v>46099</v>
      </c>
      <c r="F22" s="1">
        <v>46109</v>
      </c>
      <c r="G22" s="1">
        <v>46128</v>
      </c>
      <c r="H22">
        <v>533</v>
      </c>
      <c r="I22">
        <v>528</v>
      </c>
      <c r="J22">
        <v>15.52</v>
      </c>
      <c r="K22" t="s">
        <v>462</v>
      </c>
      <c r="L22">
        <f t="shared" si="0"/>
        <v>29</v>
      </c>
      <c r="M22" t="str">
        <f>_xlfn.XLOOKUP(B22,suppliers!A:A,suppliers!B:B)</f>
        <v>Acme Supply</v>
      </c>
      <c r="N22" t="str">
        <f t="shared" si="1"/>
        <v>Late</v>
      </c>
      <c r="O22">
        <f t="shared" si="2"/>
        <v>0.99</v>
      </c>
    </row>
    <row r="23" spans="1:15">
      <c r="A23">
        <v>5022</v>
      </c>
      <c r="B23">
        <v>6</v>
      </c>
      <c r="C23">
        <v>114</v>
      </c>
      <c r="D23" t="s">
        <v>119</v>
      </c>
      <c r="E23" s="1">
        <v>46004</v>
      </c>
      <c r="F23" s="1">
        <v>46028</v>
      </c>
      <c r="G23" s="1">
        <v>46045</v>
      </c>
      <c r="H23">
        <v>537</v>
      </c>
      <c r="I23">
        <v>518</v>
      </c>
      <c r="J23">
        <v>181.87</v>
      </c>
      <c r="K23" t="s">
        <v>463</v>
      </c>
      <c r="L23">
        <f t="shared" si="0"/>
        <v>41</v>
      </c>
      <c r="M23" t="str">
        <f>_xlfn.XLOOKUP(B23,suppliers!A:A,suppliers!B:B)</f>
        <v>Evergreen Imports</v>
      </c>
      <c r="N23" t="str">
        <f t="shared" si="1"/>
        <v>Late</v>
      </c>
      <c r="O23">
        <f t="shared" si="2"/>
        <v>0.96</v>
      </c>
    </row>
    <row r="24" spans="1:15">
      <c r="A24">
        <v>5023</v>
      </c>
      <c r="B24">
        <v>4</v>
      </c>
      <c r="C24">
        <v>144</v>
      </c>
      <c r="D24" t="s">
        <v>117</v>
      </c>
      <c r="E24" s="1">
        <v>46082</v>
      </c>
      <c r="F24" s="1">
        <v>46096</v>
      </c>
      <c r="G24" s="1">
        <v>46109</v>
      </c>
      <c r="H24">
        <v>876</v>
      </c>
      <c r="I24">
        <v>871</v>
      </c>
      <c r="J24">
        <v>11.34</v>
      </c>
      <c r="K24" t="s">
        <v>464</v>
      </c>
      <c r="L24">
        <f t="shared" si="0"/>
        <v>27</v>
      </c>
      <c r="M24" t="str">
        <f>_xlfn.XLOOKUP(B24,suppliers!A:A,suppliers!B:B)</f>
        <v>Blue Ridge</v>
      </c>
      <c r="N24" t="str">
        <f t="shared" si="1"/>
        <v>Late</v>
      </c>
      <c r="O24">
        <f t="shared" si="2"/>
        <v>0.99</v>
      </c>
    </row>
    <row r="25" spans="1:15">
      <c r="A25">
        <v>5024</v>
      </c>
      <c r="B25">
        <v>6</v>
      </c>
      <c r="C25">
        <v>24</v>
      </c>
      <c r="D25" t="s">
        <v>118</v>
      </c>
      <c r="E25" s="1">
        <v>46039</v>
      </c>
      <c r="F25" s="1">
        <v>46051</v>
      </c>
      <c r="G25" s="1">
        <v>46064</v>
      </c>
      <c r="H25">
        <v>661</v>
      </c>
      <c r="I25">
        <v>611</v>
      </c>
      <c r="J25">
        <v>76.319999999999993</v>
      </c>
      <c r="K25" t="s">
        <v>464</v>
      </c>
      <c r="L25">
        <f t="shared" si="0"/>
        <v>25</v>
      </c>
      <c r="M25" t="str">
        <f>_xlfn.XLOOKUP(B25,suppliers!A:A,suppliers!B:B)</f>
        <v>Evergreen Imports</v>
      </c>
      <c r="N25" t="str">
        <f t="shared" si="1"/>
        <v>Late</v>
      </c>
      <c r="O25">
        <f t="shared" si="2"/>
        <v>0.92</v>
      </c>
    </row>
    <row r="26" spans="1:15">
      <c r="A26">
        <v>5025</v>
      </c>
      <c r="B26">
        <v>7</v>
      </c>
      <c r="C26">
        <v>56</v>
      </c>
      <c r="D26" t="s">
        <v>118</v>
      </c>
      <c r="E26" s="1">
        <v>46088</v>
      </c>
      <c r="F26" s="1">
        <v>46124</v>
      </c>
      <c r="G26" s="1">
        <v>46142</v>
      </c>
      <c r="H26">
        <v>985</v>
      </c>
      <c r="I26">
        <v>938</v>
      </c>
      <c r="J26">
        <v>127.81</v>
      </c>
      <c r="K26" t="s">
        <v>462</v>
      </c>
      <c r="L26">
        <f t="shared" si="0"/>
        <v>54</v>
      </c>
      <c r="M26" t="str">
        <f>_xlfn.XLOOKUP(B26,suppliers!A:A,suppliers!B:B)</f>
        <v>Summit Trading</v>
      </c>
      <c r="N26" t="str">
        <f t="shared" si="1"/>
        <v>Late</v>
      </c>
      <c r="O26">
        <f t="shared" si="2"/>
        <v>0.95</v>
      </c>
    </row>
    <row r="27" spans="1:15">
      <c r="A27">
        <v>5026</v>
      </c>
      <c r="B27">
        <v>1</v>
      </c>
      <c r="C27">
        <v>80</v>
      </c>
      <c r="D27" t="s">
        <v>122</v>
      </c>
      <c r="E27" s="1">
        <v>46006</v>
      </c>
      <c r="F27" s="1">
        <v>46037</v>
      </c>
      <c r="G27" s="1">
        <v>46037</v>
      </c>
      <c r="H27">
        <v>305</v>
      </c>
      <c r="I27">
        <v>279</v>
      </c>
      <c r="J27">
        <v>82.93</v>
      </c>
      <c r="K27" t="s">
        <v>462</v>
      </c>
      <c r="L27">
        <f t="shared" si="0"/>
        <v>31</v>
      </c>
      <c r="M27" t="str">
        <f>_xlfn.XLOOKUP(B27,suppliers!A:A,suppliers!B:B)</f>
        <v>Acme Supply</v>
      </c>
      <c r="N27" t="str">
        <f t="shared" si="1"/>
        <v>Late</v>
      </c>
      <c r="O27">
        <f t="shared" si="2"/>
        <v>0.91</v>
      </c>
    </row>
    <row r="28" spans="1:15">
      <c r="A28">
        <v>5027</v>
      </c>
      <c r="B28">
        <v>2</v>
      </c>
      <c r="C28">
        <v>49</v>
      </c>
      <c r="D28" t="s">
        <v>120</v>
      </c>
      <c r="E28" s="1">
        <v>46062</v>
      </c>
      <c r="F28" s="1">
        <v>46081</v>
      </c>
      <c r="G28" s="1">
        <v>46085</v>
      </c>
      <c r="H28">
        <v>285</v>
      </c>
      <c r="I28">
        <v>280</v>
      </c>
      <c r="J28">
        <v>58.04</v>
      </c>
      <c r="K28" t="s">
        <v>462</v>
      </c>
      <c r="L28">
        <f t="shared" si="0"/>
        <v>23</v>
      </c>
      <c r="M28" t="str">
        <f>_xlfn.XLOOKUP(B28,suppliers!A:A,suppliers!B:B)</f>
        <v>Global Goods</v>
      </c>
      <c r="N28" t="str">
        <f t="shared" si="1"/>
        <v>Late</v>
      </c>
      <c r="O28">
        <f t="shared" si="2"/>
        <v>0.98</v>
      </c>
    </row>
    <row r="29" spans="1:15">
      <c r="A29">
        <v>5028</v>
      </c>
      <c r="B29">
        <v>4</v>
      </c>
      <c r="C29">
        <v>91</v>
      </c>
      <c r="D29" t="s">
        <v>118</v>
      </c>
      <c r="E29" s="1">
        <v>46141</v>
      </c>
      <c r="F29" s="1">
        <v>46171</v>
      </c>
      <c r="G29" s="1">
        <v>46186</v>
      </c>
      <c r="H29">
        <v>555</v>
      </c>
      <c r="I29">
        <v>553</v>
      </c>
      <c r="J29">
        <v>139.88</v>
      </c>
      <c r="K29" t="s">
        <v>464</v>
      </c>
      <c r="L29">
        <f t="shared" si="0"/>
        <v>45</v>
      </c>
      <c r="M29" t="str">
        <f>_xlfn.XLOOKUP(B29,suppliers!A:A,suppliers!B:B)</f>
        <v>Blue Ridge</v>
      </c>
      <c r="N29" t="str">
        <f t="shared" si="1"/>
        <v>Late</v>
      </c>
      <c r="O29">
        <f t="shared" si="2"/>
        <v>1</v>
      </c>
    </row>
    <row r="30" spans="1:15">
      <c r="A30">
        <v>5029</v>
      </c>
      <c r="B30">
        <v>2</v>
      </c>
      <c r="C30">
        <v>99</v>
      </c>
      <c r="D30" t="s">
        <v>120</v>
      </c>
      <c r="E30" s="1">
        <v>46032</v>
      </c>
      <c r="F30" s="1">
        <v>46073</v>
      </c>
      <c r="G30" s="1">
        <v>46090</v>
      </c>
      <c r="H30">
        <v>464</v>
      </c>
      <c r="I30">
        <v>451</v>
      </c>
      <c r="J30">
        <v>31.31</v>
      </c>
      <c r="K30" t="s">
        <v>463</v>
      </c>
      <c r="L30">
        <f t="shared" si="0"/>
        <v>58</v>
      </c>
      <c r="M30" t="str">
        <f>_xlfn.XLOOKUP(B30,suppliers!A:A,suppliers!B:B)</f>
        <v>Global Goods</v>
      </c>
      <c r="N30" t="str">
        <f t="shared" si="1"/>
        <v>Late</v>
      </c>
      <c r="O30">
        <f t="shared" si="2"/>
        <v>0.97</v>
      </c>
    </row>
    <row r="31" spans="1:15">
      <c r="A31">
        <v>5030</v>
      </c>
      <c r="B31">
        <v>8</v>
      </c>
      <c r="C31">
        <v>129</v>
      </c>
      <c r="D31" t="s">
        <v>117</v>
      </c>
      <c r="E31" s="1">
        <v>46134</v>
      </c>
      <c r="F31" s="1">
        <v>46158</v>
      </c>
      <c r="G31" s="1">
        <v>46177</v>
      </c>
      <c r="H31">
        <v>235</v>
      </c>
      <c r="I31">
        <v>219</v>
      </c>
      <c r="J31">
        <v>52.83</v>
      </c>
      <c r="K31" t="s">
        <v>464</v>
      </c>
      <c r="L31">
        <f t="shared" si="0"/>
        <v>43</v>
      </c>
      <c r="M31" t="str">
        <f>_xlfn.XLOOKUP(B31,suppliers!A:A,suppliers!B:B)</f>
        <v>Metro Logistics</v>
      </c>
      <c r="N31" t="str">
        <f t="shared" si="1"/>
        <v>Late</v>
      </c>
      <c r="O31">
        <f t="shared" si="2"/>
        <v>0.93</v>
      </c>
    </row>
    <row r="32" spans="1:15">
      <c r="A32">
        <v>5031</v>
      </c>
      <c r="B32">
        <v>1</v>
      </c>
      <c r="C32">
        <v>30</v>
      </c>
      <c r="D32" t="s">
        <v>117</v>
      </c>
      <c r="E32" s="1">
        <v>46125</v>
      </c>
      <c r="F32" s="1">
        <v>46143</v>
      </c>
      <c r="G32" s="1">
        <v>46152</v>
      </c>
      <c r="H32">
        <v>620</v>
      </c>
      <c r="I32">
        <v>578</v>
      </c>
      <c r="J32">
        <v>42.63</v>
      </c>
      <c r="K32" t="s">
        <v>464</v>
      </c>
      <c r="L32">
        <f t="shared" si="0"/>
        <v>27</v>
      </c>
      <c r="M32" t="str">
        <f>_xlfn.XLOOKUP(B32,suppliers!A:A,suppliers!B:B)</f>
        <v>Acme Supply</v>
      </c>
      <c r="N32" t="str">
        <f t="shared" si="1"/>
        <v>Late</v>
      </c>
      <c r="O32">
        <f t="shared" si="2"/>
        <v>0.93</v>
      </c>
    </row>
    <row r="33" spans="1:15">
      <c r="A33">
        <v>5032</v>
      </c>
      <c r="B33">
        <v>2</v>
      </c>
      <c r="C33">
        <v>9</v>
      </c>
      <c r="D33" t="s">
        <v>122</v>
      </c>
      <c r="E33" s="1">
        <v>46075</v>
      </c>
      <c r="F33" s="1">
        <v>46088</v>
      </c>
      <c r="G33" s="1">
        <v>46083</v>
      </c>
      <c r="H33">
        <v>182</v>
      </c>
      <c r="I33">
        <v>161</v>
      </c>
      <c r="J33">
        <v>122.96</v>
      </c>
      <c r="K33" t="s">
        <v>464</v>
      </c>
      <c r="L33">
        <f t="shared" si="0"/>
        <v>8</v>
      </c>
      <c r="M33" t="str">
        <f>_xlfn.XLOOKUP(B33,suppliers!A:A,suppliers!B:B)</f>
        <v>Global Goods</v>
      </c>
      <c r="N33" t="str">
        <f t="shared" si="1"/>
        <v>On time</v>
      </c>
      <c r="O33">
        <f t="shared" si="2"/>
        <v>0.88</v>
      </c>
    </row>
    <row r="34" spans="1:15">
      <c r="A34">
        <v>5033</v>
      </c>
      <c r="B34">
        <v>2</v>
      </c>
      <c r="C34">
        <v>48</v>
      </c>
      <c r="D34" t="s">
        <v>117</v>
      </c>
      <c r="E34" s="1">
        <v>46084</v>
      </c>
      <c r="F34" s="1">
        <v>46110</v>
      </c>
      <c r="G34" s="1">
        <v>46122</v>
      </c>
      <c r="H34">
        <v>210</v>
      </c>
      <c r="I34">
        <v>171</v>
      </c>
      <c r="J34">
        <v>98.05</v>
      </c>
      <c r="K34" t="s">
        <v>462</v>
      </c>
      <c r="L34">
        <f t="shared" si="0"/>
        <v>38</v>
      </c>
      <c r="M34" t="str">
        <f>_xlfn.XLOOKUP(B34,suppliers!A:A,suppliers!B:B)</f>
        <v>Global Goods</v>
      </c>
      <c r="N34" t="str">
        <f t="shared" si="1"/>
        <v>Late</v>
      </c>
      <c r="O34">
        <f t="shared" si="2"/>
        <v>0.81</v>
      </c>
    </row>
    <row r="35" spans="1:15">
      <c r="A35">
        <v>5034</v>
      </c>
      <c r="B35">
        <v>3</v>
      </c>
      <c r="C35">
        <v>148</v>
      </c>
      <c r="D35" t="s">
        <v>122</v>
      </c>
      <c r="E35" s="1">
        <v>46104</v>
      </c>
      <c r="F35" s="1">
        <v>46136</v>
      </c>
      <c r="G35" s="1">
        <v>46138</v>
      </c>
      <c r="H35">
        <v>278</v>
      </c>
      <c r="I35">
        <v>248</v>
      </c>
      <c r="J35">
        <v>115.61</v>
      </c>
      <c r="K35" t="s">
        <v>462</v>
      </c>
      <c r="L35">
        <f t="shared" si="0"/>
        <v>34</v>
      </c>
      <c r="M35" t="str">
        <f>_xlfn.XLOOKUP(B35,suppliers!A:A,suppliers!B:B)</f>
        <v>PrimeSource</v>
      </c>
      <c r="N35" t="str">
        <f t="shared" si="1"/>
        <v>Late</v>
      </c>
      <c r="O35">
        <f t="shared" si="2"/>
        <v>0.89</v>
      </c>
    </row>
    <row r="36" spans="1:15">
      <c r="A36">
        <v>5035</v>
      </c>
      <c r="B36">
        <v>6</v>
      </c>
      <c r="C36">
        <v>77</v>
      </c>
      <c r="D36" t="s">
        <v>120</v>
      </c>
      <c r="E36" s="1">
        <v>46003</v>
      </c>
      <c r="F36" s="1">
        <v>46024</v>
      </c>
      <c r="G36" s="1">
        <v>46035</v>
      </c>
      <c r="H36">
        <v>130</v>
      </c>
      <c r="I36">
        <v>94</v>
      </c>
      <c r="J36">
        <v>96.95</v>
      </c>
      <c r="K36" t="s">
        <v>462</v>
      </c>
      <c r="L36">
        <f t="shared" si="0"/>
        <v>32</v>
      </c>
      <c r="M36" t="str">
        <f>_xlfn.XLOOKUP(B36,suppliers!A:A,suppliers!B:B)</f>
        <v>Evergreen Imports</v>
      </c>
      <c r="N36" t="str">
        <f t="shared" si="1"/>
        <v>Late</v>
      </c>
      <c r="O36">
        <f t="shared" si="2"/>
        <v>0.72</v>
      </c>
    </row>
    <row r="37" spans="1:15">
      <c r="A37">
        <v>5036</v>
      </c>
      <c r="B37">
        <v>4</v>
      </c>
      <c r="C37">
        <v>8</v>
      </c>
      <c r="D37" t="s">
        <v>121</v>
      </c>
      <c r="E37" s="1">
        <v>46034</v>
      </c>
      <c r="F37" s="1">
        <v>46073</v>
      </c>
      <c r="G37" s="1">
        <v>46077</v>
      </c>
      <c r="H37">
        <v>927</v>
      </c>
      <c r="I37">
        <v>915</v>
      </c>
      <c r="J37">
        <v>174.14</v>
      </c>
      <c r="K37" t="s">
        <v>464</v>
      </c>
      <c r="L37">
        <f t="shared" si="0"/>
        <v>43</v>
      </c>
      <c r="M37" t="str">
        <f>_xlfn.XLOOKUP(B37,suppliers!A:A,suppliers!B:B)</f>
        <v>Blue Ridge</v>
      </c>
      <c r="N37" t="str">
        <f t="shared" si="1"/>
        <v>Late</v>
      </c>
      <c r="O37">
        <f t="shared" si="2"/>
        <v>0.99</v>
      </c>
    </row>
    <row r="38" spans="1:15">
      <c r="A38">
        <v>5037</v>
      </c>
      <c r="B38">
        <v>4</v>
      </c>
      <c r="C38">
        <v>36</v>
      </c>
      <c r="D38" t="s">
        <v>118</v>
      </c>
      <c r="E38" s="1">
        <v>46026</v>
      </c>
      <c r="F38" s="1">
        <v>46054</v>
      </c>
      <c r="G38" s="1">
        <v>46050</v>
      </c>
      <c r="H38">
        <v>112</v>
      </c>
      <c r="I38">
        <v>90</v>
      </c>
      <c r="J38">
        <v>76.760000000000005</v>
      </c>
      <c r="K38" t="s">
        <v>462</v>
      </c>
      <c r="L38">
        <f t="shared" si="0"/>
        <v>24</v>
      </c>
      <c r="M38" t="str">
        <f>_xlfn.XLOOKUP(B38,suppliers!A:A,suppliers!B:B)</f>
        <v>Blue Ridge</v>
      </c>
      <c r="N38" t="str">
        <f t="shared" si="1"/>
        <v>On time</v>
      </c>
      <c r="O38">
        <f t="shared" si="2"/>
        <v>0.8</v>
      </c>
    </row>
    <row r="39" spans="1:15">
      <c r="A39">
        <v>5038</v>
      </c>
      <c r="B39">
        <v>4</v>
      </c>
      <c r="C39">
        <v>102</v>
      </c>
      <c r="D39" t="s">
        <v>120</v>
      </c>
      <c r="E39" s="1">
        <v>46035</v>
      </c>
      <c r="F39" s="1">
        <v>46071</v>
      </c>
      <c r="G39" s="1">
        <v>46070</v>
      </c>
      <c r="H39">
        <v>225</v>
      </c>
      <c r="I39">
        <v>206</v>
      </c>
      <c r="J39">
        <v>204.25</v>
      </c>
      <c r="K39" t="s">
        <v>464</v>
      </c>
      <c r="L39">
        <f t="shared" si="0"/>
        <v>35</v>
      </c>
      <c r="M39" t="str">
        <f>_xlfn.XLOOKUP(B39,suppliers!A:A,suppliers!B:B)</f>
        <v>Blue Ridge</v>
      </c>
      <c r="N39" t="str">
        <f t="shared" si="1"/>
        <v>On time</v>
      </c>
      <c r="O39">
        <f t="shared" si="2"/>
        <v>0.92</v>
      </c>
    </row>
    <row r="40" spans="1:15">
      <c r="A40">
        <v>5039</v>
      </c>
      <c r="B40">
        <v>2</v>
      </c>
      <c r="C40">
        <v>48</v>
      </c>
      <c r="D40" t="s">
        <v>121</v>
      </c>
      <c r="E40" s="1">
        <v>46053</v>
      </c>
      <c r="F40" s="1">
        <v>46073</v>
      </c>
      <c r="G40" s="1">
        <v>46091</v>
      </c>
      <c r="H40">
        <v>270</v>
      </c>
      <c r="I40">
        <v>221</v>
      </c>
      <c r="J40">
        <v>77.67</v>
      </c>
      <c r="K40" t="s">
        <v>463</v>
      </c>
      <c r="L40">
        <f t="shared" si="0"/>
        <v>38</v>
      </c>
      <c r="M40" t="str">
        <f>_xlfn.XLOOKUP(B40,suppliers!A:A,suppliers!B:B)</f>
        <v>Global Goods</v>
      </c>
      <c r="N40" t="str">
        <f t="shared" si="1"/>
        <v>Late</v>
      </c>
      <c r="O40">
        <f t="shared" si="2"/>
        <v>0.82</v>
      </c>
    </row>
    <row r="41" spans="1:15">
      <c r="A41">
        <v>5040</v>
      </c>
      <c r="B41">
        <v>1</v>
      </c>
      <c r="C41">
        <v>2</v>
      </c>
      <c r="D41" t="s">
        <v>118</v>
      </c>
      <c r="E41" s="1">
        <v>46115</v>
      </c>
      <c r="F41" s="1">
        <v>46132</v>
      </c>
      <c r="G41" s="1">
        <v>46142</v>
      </c>
      <c r="H41">
        <v>583</v>
      </c>
      <c r="I41">
        <v>553</v>
      </c>
      <c r="J41">
        <v>22.73</v>
      </c>
      <c r="K41" t="s">
        <v>462</v>
      </c>
      <c r="L41">
        <f t="shared" si="0"/>
        <v>27</v>
      </c>
      <c r="M41" t="str">
        <f>_xlfn.XLOOKUP(B41,suppliers!A:A,suppliers!B:B)</f>
        <v>Acme Supply</v>
      </c>
      <c r="N41" t="str">
        <f t="shared" si="1"/>
        <v>Late</v>
      </c>
      <c r="O41">
        <f t="shared" si="2"/>
        <v>0.95</v>
      </c>
    </row>
    <row r="42" spans="1:15">
      <c r="A42">
        <v>5041</v>
      </c>
      <c r="B42">
        <v>1</v>
      </c>
      <c r="C42">
        <v>119</v>
      </c>
      <c r="D42" t="s">
        <v>117</v>
      </c>
      <c r="E42" s="1">
        <v>46055</v>
      </c>
      <c r="F42" s="1">
        <v>46068</v>
      </c>
      <c r="G42" s="1">
        <v>46073</v>
      </c>
      <c r="H42">
        <v>801</v>
      </c>
      <c r="I42">
        <v>752</v>
      </c>
      <c r="J42">
        <v>33.229999999999997</v>
      </c>
      <c r="K42" t="s">
        <v>463</v>
      </c>
      <c r="L42">
        <f t="shared" si="0"/>
        <v>18</v>
      </c>
      <c r="M42" t="str">
        <f>_xlfn.XLOOKUP(B42,suppliers!A:A,suppliers!B:B)</f>
        <v>Acme Supply</v>
      </c>
      <c r="N42" t="str">
        <f t="shared" si="1"/>
        <v>Late</v>
      </c>
      <c r="O42">
        <f t="shared" si="2"/>
        <v>0.94</v>
      </c>
    </row>
    <row r="43" spans="1:15">
      <c r="A43">
        <v>5042</v>
      </c>
      <c r="B43">
        <v>7</v>
      </c>
      <c r="C43">
        <v>73</v>
      </c>
      <c r="D43" t="s">
        <v>119</v>
      </c>
      <c r="E43" s="1">
        <v>46101</v>
      </c>
      <c r="F43" s="1">
        <v>46146</v>
      </c>
      <c r="G43" s="1">
        <v>46143</v>
      </c>
      <c r="H43">
        <v>375</v>
      </c>
      <c r="I43">
        <v>361</v>
      </c>
      <c r="J43">
        <v>28.52</v>
      </c>
      <c r="K43" t="s">
        <v>464</v>
      </c>
      <c r="L43">
        <f t="shared" si="0"/>
        <v>42</v>
      </c>
      <c r="M43" t="str">
        <f>_xlfn.XLOOKUP(B43,suppliers!A:A,suppliers!B:B)</f>
        <v>Summit Trading</v>
      </c>
      <c r="N43" t="str">
        <f t="shared" si="1"/>
        <v>On time</v>
      </c>
      <c r="O43">
        <f t="shared" si="2"/>
        <v>0.96</v>
      </c>
    </row>
    <row r="44" spans="1:15">
      <c r="A44">
        <v>5043</v>
      </c>
      <c r="B44">
        <v>4</v>
      </c>
      <c r="C44">
        <v>46</v>
      </c>
      <c r="D44" t="s">
        <v>117</v>
      </c>
      <c r="E44" s="1">
        <v>46053</v>
      </c>
      <c r="F44" s="1">
        <v>46083</v>
      </c>
      <c r="G44" s="1">
        <v>46094</v>
      </c>
      <c r="H44">
        <v>862</v>
      </c>
      <c r="I44">
        <v>858</v>
      </c>
      <c r="J44">
        <v>34.659999999999997</v>
      </c>
      <c r="K44" t="s">
        <v>462</v>
      </c>
      <c r="L44">
        <f t="shared" si="0"/>
        <v>41</v>
      </c>
      <c r="M44" t="str">
        <f>_xlfn.XLOOKUP(B44,suppliers!A:A,suppliers!B:B)</f>
        <v>Blue Ridge</v>
      </c>
      <c r="N44" t="str">
        <f t="shared" si="1"/>
        <v>Late</v>
      </c>
      <c r="O44">
        <f t="shared" si="2"/>
        <v>1</v>
      </c>
    </row>
    <row r="45" spans="1:15">
      <c r="A45">
        <v>5044</v>
      </c>
      <c r="B45">
        <v>4</v>
      </c>
      <c r="C45">
        <v>36</v>
      </c>
      <c r="D45" t="s">
        <v>117</v>
      </c>
      <c r="E45" s="1">
        <v>46120</v>
      </c>
      <c r="F45" s="1">
        <v>46139</v>
      </c>
      <c r="G45" s="1">
        <v>46143</v>
      </c>
      <c r="H45">
        <v>465</v>
      </c>
      <c r="I45">
        <v>424</v>
      </c>
      <c r="J45">
        <v>69.930000000000007</v>
      </c>
      <c r="K45" t="s">
        <v>462</v>
      </c>
      <c r="L45">
        <f t="shared" si="0"/>
        <v>23</v>
      </c>
      <c r="M45" t="str">
        <f>_xlfn.XLOOKUP(B45,suppliers!A:A,suppliers!B:B)</f>
        <v>Blue Ridge</v>
      </c>
      <c r="N45" t="str">
        <f t="shared" si="1"/>
        <v>Late</v>
      </c>
      <c r="O45">
        <f t="shared" si="2"/>
        <v>0.91</v>
      </c>
    </row>
    <row r="46" spans="1:15">
      <c r="A46">
        <v>5045</v>
      </c>
      <c r="B46">
        <v>3</v>
      </c>
      <c r="C46">
        <v>109</v>
      </c>
      <c r="D46" t="s">
        <v>120</v>
      </c>
      <c r="E46" s="1">
        <v>46031</v>
      </c>
      <c r="F46" s="1">
        <v>46056</v>
      </c>
      <c r="G46" s="1">
        <v>46072</v>
      </c>
      <c r="H46">
        <v>860</v>
      </c>
      <c r="I46">
        <v>834</v>
      </c>
      <c r="J46">
        <v>10.44</v>
      </c>
      <c r="K46" t="s">
        <v>462</v>
      </c>
      <c r="L46">
        <f t="shared" si="0"/>
        <v>41</v>
      </c>
      <c r="M46" t="str">
        <f>_xlfn.XLOOKUP(B46,suppliers!A:A,suppliers!B:B)</f>
        <v>PrimeSource</v>
      </c>
      <c r="N46" t="str">
        <f t="shared" si="1"/>
        <v>Late</v>
      </c>
      <c r="O46">
        <f t="shared" si="2"/>
        <v>0.97</v>
      </c>
    </row>
    <row r="47" spans="1:15">
      <c r="A47">
        <v>5046</v>
      </c>
      <c r="B47">
        <v>6</v>
      </c>
      <c r="C47">
        <v>42</v>
      </c>
      <c r="D47" t="s">
        <v>119</v>
      </c>
      <c r="E47" s="1">
        <v>46094</v>
      </c>
      <c r="F47" s="1">
        <v>46134</v>
      </c>
      <c r="G47" s="1">
        <v>46143</v>
      </c>
      <c r="H47">
        <v>845</v>
      </c>
      <c r="I47">
        <v>804</v>
      </c>
      <c r="J47">
        <v>93.92</v>
      </c>
      <c r="K47" t="s">
        <v>462</v>
      </c>
      <c r="L47">
        <f t="shared" si="0"/>
        <v>49</v>
      </c>
      <c r="M47" t="str">
        <f>_xlfn.XLOOKUP(B47,suppliers!A:A,suppliers!B:B)</f>
        <v>Evergreen Imports</v>
      </c>
      <c r="N47" t="str">
        <f t="shared" si="1"/>
        <v>Late</v>
      </c>
      <c r="O47">
        <f t="shared" si="2"/>
        <v>0.95</v>
      </c>
    </row>
    <row r="48" spans="1:15">
      <c r="A48">
        <v>5047</v>
      </c>
      <c r="B48">
        <v>1</v>
      </c>
      <c r="C48">
        <v>4</v>
      </c>
      <c r="D48" t="s">
        <v>119</v>
      </c>
      <c r="E48" s="1">
        <v>46034</v>
      </c>
      <c r="F48" s="1">
        <v>46061</v>
      </c>
      <c r="G48" s="1">
        <v>46072</v>
      </c>
      <c r="H48">
        <v>413</v>
      </c>
      <c r="I48">
        <v>382</v>
      </c>
      <c r="J48">
        <v>94.02</v>
      </c>
      <c r="K48" t="s">
        <v>462</v>
      </c>
      <c r="L48">
        <f t="shared" si="0"/>
        <v>38</v>
      </c>
      <c r="M48" t="str">
        <f>_xlfn.XLOOKUP(B48,suppliers!A:A,suppliers!B:B)</f>
        <v>Acme Supply</v>
      </c>
      <c r="N48" t="str">
        <f t="shared" si="1"/>
        <v>Late</v>
      </c>
      <c r="O48">
        <f t="shared" si="2"/>
        <v>0.92</v>
      </c>
    </row>
    <row r="49" spans="1:15">
      <c r="A49">
        <v>5048</v>
      </c>
      <c r="B49">
        <v>3</v>
      </c>
      <c r="C49">
        <v>109</v>
      </c>
      <c r="D49" t="s">
        <v>117</v>
      </c>
      <c r="E49" s="1">
        <v>46006</v>
      </c>
      <c r="F49" s="1">
        <v>46032</v>
      </c>
      <c r="G49" s="1">
        <v>46050</v>
      </c>
      <c r="H49">
        <v>669</v>
      </c>
      <c r="I49">
        <v>637</v>
      </c>
      <c r="J49">
        <v>8.98</v>
      </c>
      <c r="K49" t="s">
        <v>463</v>
      </c>
      <c r="L49">
        <f t="shared" si="0"/>
        <v>44</v>
      </c>
      <c r="M49" t="str">
        <f>_xlfn.XLOOKUP(B49,suppliers!A:A,suppliers!B:B)</f>
        <v>PrimeSource</v>
      </c>
      <c r="N49" t="str">
        <f t="shared" si="1"/>
        <v>Late</v>
      </c>
      <c r="O49">
        <f t="shared" si="2"/>
        <v>0.95</v>
      </c>
    </row>
    <row r="50" spans="1:15">
      <c r="A50">
        <v>5049</v>
      </c>
      <c r="B50">
        <v>2</v>
      </c>
      <c r="C50">
        <v>122</v>
      </c>
      <c r="D50" t="s">
        <v>117</v>
      </c>
      <c r="E50" s="1">
        <v>46078</v>
      </c>
      <c r="F50" s="1">
        <v>46119</v>
      </c>
      <c r="G50" t="s">
        <v>145</v>
      </c>
      <c r="H50">
        <v>134</v>
      </c>
      <c r="I50">
        <v>0</v>
      </c>
      <c r="J50">
        <v>197.55</v>
      </c>
      <c r="K50" t="s">
        <v>464</v>
      </c>
      <c r="L50" t="str">
        <f t="shared" si="0"/>
        <v/>
      </c>
      <c r="M50" t="str">
        <f>_xlfn.XLOOKUP(B50,suppliers!A:A,suppliers!B:B)</f>
        <v>Global Goods</v>
      </c>
      <c r="N50" t="str">
        <f t="shared" si="1"/>
        <v>Late</v>
      </c>
      <c r="O50">
        <f t="shared" si="2"/>
        <v>0</v>
      </c>
    </row>
    <row r="51" spans="1:15">
      <c r="A51">
        <v>5050</v>
      </c>
      <c r="B51">
        <v>2</v>
      </c>
      <c r="C51">
        <v>99</v>
      </c>
      <c r="D51" t="s">
        <v>121</v>
      </c>
      <c r="E51" s="1">
        <v>46013</v>
      </c>
      <c r="F51" s="1">
        <v>46029</v>
      </c>
      <c r="G51" s="1">
        <v>46046</v>
      </c>
      <c r="H51">
        <v>624</v>
      </c>
      <c r="I51">
        <v>585</v>
      </c>
      <c r="J51">
        <v>30.19</v>
      </c>
      <c r="K51" t="s">
        <v>462</v>
      </c>
      <c r="L51">
        <f t="shared" si="0"/>
        <v>33</v>
      </c>
      <c r="M51" t="str">
        <f>_xlfn.XLOOKUP(B51,suppliers!A:A,suppliers!B:B)</f>
        <v>Global Goods</v>
      </c>
      <c r="N51" t="str">
        <f t="shared" si="1"/>
        <v>Late</v>
      </c>
      <c r="O51">
        <f t="shared" si="2"/>
        <v>0.94</v>
      </c>
    </row>
    <row r="52" spans="1:15">
      <c r="A52">
        <v>5051</v>
      </c>
      <c r="B52">
        <v>1</v>
      </c>
      <c r="C52">
        <v>112</v>
      </c>
      <c r="D52" t="s">
        <v>122</v>
      </c>
      <c r="E52" s="1">
        <v>46005</v>
      </c>
      <c r="F52" s="1">
        <v>46041</v>
      </c>
      <c r="G52" s="1">
        <v>46039</v>
      </c>
      <c r="H52">
        <v>908</v>
      </c>
      <c r="I52">
        <v>905</v>
      </c>
      <c r="J52">
        <v>123.44</v>
      </c>
      <c r="K52" t="s">
        <v>464</v>
      </c>
      <c r="L52">
        <f t="shared" si="0"/>
        <v>34</v>
      </c>
      <c r="M52" t="str">
        <f>_xlfn.XLOOKUP(B52,suppliers!A:A,suppliers!B:B)</f>
        <v>Acme Supply</v>
      </c>
      <c r="N52" t="str">
        <f t="shared" si="1"/>
        <v>On time</v>
      </c>
      <c r="O52">
        <f t="shared" si="2"/>
        <v>1</v>
      </c>
    </row>
    <row r="53" spans="1:15">
      <c r="A53">
        <v>5052</v>
      </c>
      <c r="B53">
        <v>6</v>
      </c>
      <c r="C53">
        <v>95</v>
      </c>
      <c r="D53" t="s">
        <v>121</v>
      </c>
      <c r="E53" s="1">
        <v>46057</v>
      </c>
      <c r="F53" s="1">
        <v>46091</v>
      </c>
      <c r="G53" s="1">
        <v>46095</v>
      </c>
      <c r="H53">
        <v>805</v>
      </c>
      <c r="I53">
        <v>788</v>
      </c>
      <c r="J53">
        <v>84.01</v>
      </c>
      <c r="K53" t="s">
        <v>462</v>
      </c>
      <c r="L53">
        <f t="shared" si="0"/>
        <v>38</v>
      </c>
      <c r="M53" t="str">
        <f>_xlfn.XLOOKUP(B53,suppliers!A:A,suppliers!B:B)</f>
        <v>Evergreen Imports</v>
      </c>
      <c r="N53" t="str">
        <f t="shared" si="1"/>
        <v>Late</v>
      </c>
      <c r="O53">
        <f t="shared" si="2"/>
        <v>0.98</v>
      </c>
    </row>
    <row r="54" spans="1:15">
      <c r="A54">
        <v>5053</v>
      </c>
      <c r="B54">
        <v>3</v>
      </c>
      <c r="C54">
        <v>76</v>
      </c>
      <c r="D54" t="s">
        <v>119</v>
      </c>
      <c r="E54" s="1">
        <v>46084</v>
      </c>
      <c r="F54" s="1">
        <v>46117</v>
      </c>
      <c r="G54" s="1">
        <v>46122</v>
      </c>
      <c r="H54">
        <v>324</v>
      </c>
      <c r="I54">
        <v>302</v>
      </c>
      <c r="J54">
        <v>136.09</v>
      </c>
      <c r="K54" t="s">
        <v>464</v>
      </c>
      <c r="L54">
        <f t="shared" si="0"/>
        <v>38</v>
      </c>
      <c r="M54" t="str">
        <f>_xlfn.XLOOKUP(B54,suppliers!A:A,suppliers!B:B)</f>
        <v>PrimeSource</v>
      </c>
      <c r="N54" t="str">
        <f t="shared" si="1"/>
        <v>Late</v>
      </c>
      <c r="O54">
        <f t="shared" si="2"/>
        <v>0.93</v>
      </c>
    </row>
    <row r="55" spans="1:15">
      <c r="A55">
        <v>5054</v>
      </c>
      <c r="B55">
        <v>8</v>
      </c>
      <c r="C55">
        <v>137</v>
      </c>
      <c r="D55" t="s">
        <v>118</v>
      </c>
      <c r="E55" s="1">
        <v>46094</v>
      </c>
      <c r="F55" s="1">
        <v>46116</v>
      </c>
      <c r="G55" s="1">
        <v>46128</v>
      </c>
      <c r="H55">
        <v>116</v>
      </c>
      <c r="I55">
        <v>76</v>
      </c>
      <c r="J55">
        <v>33.1</v>
      </c>
      <c r="K55" t="s">
        <v>462</v>
      </c>
      <c r="L55">
        <f t="shared" si="0"/>
        <v>34</v>
      </c>
      <c r="M55" t="str">
        <f>_xlfn.XLOOKUP(B55,suppliers!A:A,suppliers!B:B)</f>
        <v>Metro Logistics</v>
      </c>
      <c r="N55" t="str">
        <f t="shared" si="1"/>
        <v>Late</v>
      </c>
      <c r="O55">
        <f t="shared" si="2"/>
        <v>0.66</v>
      </c>
    </row>
    <row r="56" spans="1:15">
      <c r="A56">
        <v>5055</v>
      </c>
      <c r="B56">
        <v>7</v>
      </c>
      <c r="C56">
        <v>111</v>
      </c>
      <c r="D56" t="s">
        <v>121</v>
      </c>
      <c r="E56" s="1">
        <v>46063</v>
      </c>
      <c r="F56" s="1">
        <v>46092</v>
      </c>
      <c r="G56" t="s">
        <v>145</v>
      </c>
      <c r="H56">
        <v>725</v>
      </c>
      <c r="I56">
        <v>0</v>
      </c>
      <c r="J56">
        <v>187.47</v>
      </c>
      <c r="K56" t="s">
        <v>464</v>
      </c>
      <c r="L56" t="str">
        <f t="shared" si="0"/>
        <v/>
      </c>
      <c r="M56" t="str">
        <f>_xlfn.XLOOKUP(B56,suppliers!A:A,suppliers!B:B)</f>
        <v>Summit Trading</v>
      </c>
      <c r="N56" t="str">
        <f t="shared" si="1"/>
        <v>Late</v>
      </c>
      <c r="O56">
        <f t="shared" si="2"/>
        <v>0</v>
      </c>
    </row>
    <row r="57" spans="1:15">
      <c r="A57">
        <v>5056</v>
      </c>
      <c r="B57">
        <v>3</v>
      </c>
      <c r="C57">
        <v>118</v>
      </c>
      <c r="D57" t="s">
        <v>119</v>
      </c>
      <c r="E57" s="1">
        <v>46003</v>
      </c>
      <c r="F57" s="1">
        <v>46014</v>
      </c>
      <c r="G57" s="1">
        <v>46010</v>
      </c>
      <c r="H57">
        <v>170</v>
      </c>
      <c r="I57">
        <v>146</v>
      </c>
      <c r="J57">
        <v>49.01</v>
      </c>
      <c r="K57" t="s">
        <v>464</v>
      </c>
      <c r="L57">
        <f t="shared" si="0"/>
        <v>7</v>
      </c>
      <c r="M57" t="str">
        <f>_xlfn.XLOOKUP(B57,suppliers!A:A,suppliers!B:B)</f>
        <v>PrimeSource</v>
      </c>
      <c r="N57" t="str">
        <f t="shared" si="1"/>
        <v>On time</v>
      </c>
      <c r="O57">
        <f t="shared" si="2"/>
        <v>0.86</v>
      </c>
    </row>
    <row r="58" spans="1:15">
      <c r="A58">
        <v>5057</v>
      </c>
      <c r="B58">
        <v>1</v>
      </c>
      <c r="C58">
        <v>21</v>
      </c>
      <c r="D58" t="s">
        <v>120</v>
      </c>
      <c r="E58" s="1">
        <v>46079</v>
      </c>
      <c r="F58" s="1">
        <v>46105</v>
      </c>
      <c r="G58" s="1">
        <v>46100</v>
      </c>
      <c r="H58">
        <v>208</v>
      </c>
      <c r="I58">
        <v>162</v>
      </c>
      <c r="J58">
        <v>69.33</v>
      </c>
      <c r="K58" t="s">
        <v>464</v>
      </c>
      <c r="L58">
        <f t="shared" si="0"/>
        <v>21</v>
      </c>
      <c r="M58" t="str">
        <f>_xlfn.XLOOKUP(B58,suppliers!A:A,suppliers!B:B)</f>
        <v>Acme Supply</v>
      </c>
      <c r="N58" t="str">
        <f t="shared" si="1"/>
        <v>On time</v>
      </c>
      <c r="O58">
        <f t="shared" si="2"/>
        <v>0.78</v>
      </c>
    </row>
    <row r="59" spans="1:15">
      <c r="A59">
        <v>5058</v>
      </c>
      <c r="B59">
        <v>7</v>
      </c>
      <c r="C59">
        <v>111</v>
      </c>
      <c r="D59" t="s">
        <v>118</v>
      </c>
      <c r="E59" s="1">
        <v>46022</v>
      </c>
      <c r="F59" s="1">
        <v>46041</v>
      </c>
      <c r="G59" s="1">
        <v>46045</v>
      </c>
      <c r="H59">
        <v>650</v>
      </c>
      <c r="I59">
        <v>606</v>
      </c>
      <c r="J59">
        <v>180.42</v>
      </c>
      <c r="K59" t="s">
        <v>464</v>
      </c>
      <c r="L59">
        <f t="shared" si="0"/>
        <v>23</v>
      </c>
      <c r="M59" t="str">
        <f>_xlfn.XLOOKUP(B59,suppliers!A:A,suppliers!B:B)</f>
        <v>Summit Trading</v>
      </c>
      <c r="N59" t="str">
        <f t="shared" si="1"/>
        <v>Late</v>
      </c>
      <c r="O59">
        <f t="shared" si="2"/>
        <v>0.93</v>
      </c>
    </row>
    <row r="60" spans="1:15">
      <c r="A60">
        <v>5059</v>
      </c>
      <c r="B60">
        <v>5</v>
      </c>
      <c r="C60">
        <v>96</v>
      </c>
      <c r="D60" t="s">
        <v>118</v>
      </c>
      <c r="E60" s="1">
        <v>46139</v>
      </c>
      <c r="F60" s="1">
        <v>46176</v>
      </c>
      <c r="G60" s="1">
        <v>46184</v>
      </c>
      <c r="H60">
        <v>301</v>
      </c>
      <c r="I60">
        <v>284</v>
      </c>
      <c r="J60">
        <v>156.91999999999999</v>
      </c>
      <c r="K60" t="s">
        <v>464</v>
      </c>
      <c r="L60">
        <f t="shared" si="0"/>
        <v>45</v>
      </c>
      <c r="M60" t="str">
        <f>_xlfn.XLOOKUP(B60,suppliers!A:A,suppliers!B:B)</f>
        <v>Utah Wholesale</v>
      </c>
      <c r="N60" t="str">
        <f t="shared" si="1"/>
        <v>Late</v>
      </c>
      <c r="O60">
        <f t="shared" si="2"/>
        <v>0.94</v>
      </c>
    </row>
    <row r="61" spans="1:15">
      <c r="A61">
        <v>5060</v>
      </c>
      <c r="B61">
        <v>7</v>
      </c>
      <c r="C61">
        <v>12</v>
      </c>
      <c r="D61" t="s">
        <v>119</v>
      </c>
      <c r="E61" s="1">
        <v>46095</v>
      </c>
      <c r="F61" s="1">
        <v>46113</v>
      </c>
      <c r="G61" s="1">
        <v>46116</v>
      </c>
      <c r="H61">
        <v>25</v>
      </c>
      <c r="I61">
        <v>-25</v>
      </c>
      <c r="J61">
        <v>134.31</v>
      </c>
      <c r="K61" t="s">
        <v>462</v>
      </c>
      <c r="L61">
        <f t="shared" si="0"/>
        <v>21</v>
      </c>
      <c r="M61" t="str">
        <f>_xlfn.XLOOKUP(B61,suppliers!A:A,suppliers!B:B)</f>
        <v>Summit Trading</v>
      </c>
      <c r="N61" t="str">
        <f t="shared" si="1"/>
        <v>Late</v>
      </c>
      <c r="O61">
        <f t="shared" si="2"/>
        <v>-1</v>
      </c>
    </row>
    <row r="62" spans="1:15">
      <c r="A62">
        <v>5061</v>
      </c>
      <c r="B62">
        <v>2</v>
      </c>
      <c r="C62">
        <v>34</v>
      </c>
      <c r="D62" t="s">
        <v>118</v>
      </c>
      <c r="E62" s="1">
        <v>46063</v>
      </c>
      <c r="F62" s="1">
        <v>46087</v>
      </c>
      <c r="G62" s="1">
        <v>46107</v>
      </c>
      <c r="H62">
        <v>670</v>
      </c>
      <c r="I62">
        <v>656</v>
      </c>
      <c r="J62">
        <v>84.76</v>
      </c>
      <c r="K62" t="s">
        <v>464</v>
      </c>
      <c r="L62">
        <f t="shared" si="0"/>
        <v>44</v>
      </c>
      <c r="M62" t="str">
        <f>_xlfn.XLOOKUP(B62,suppliers!A:A,suppliers!B:B)</f>
        <v>Global Goods</v>
      </c>
      <c r="N62" t="str">
        <f t="shared" si="1"/>
        <v>Late</v>
      </c>
      <c r="O62">
        <f t="shared" si="2"/>
        <v>0.98</v>
      </c>
    </row>
    <row r="63" spans="1:15">
      <c r="A63">
        <v>5062</v>
      </c>
      <c r="B63">
        <v>5</v>
      </c>
      <c r="C63">
        <v>84</v>
      </c>
      <c r="D63" t="s">
        <v>117</v>
      </c>
      <c r="E63" s="1">
        <v>46049</v>
      </c>
      <c r="F63" s="1">
        <v>46060</v>
      </c>
      <c r="G63" s="1">
        <v>46078</v>
      </c>
      <c r="H63">
        <v>749</v>
      </c>
      <c r="I63">
        <v>712</v>
      </c>
      <c r="J63">
        <v>147.81</v>
      </c>
      <c r="K63" t="s">
        <v>462</v>
      </c>
      <c r="L63">
        <f t="shared" si="0"/>
        <v>29</v>
      </c>
      <c r="M63" t="str">
        <f>_xlfn.XLOOKUP(B63,suppliers!A:A,suppliers!B:B)</f>
        <v>Utah Wholesale</v>
      </c>
      <c r="N63" t="str">
        <f t="shared" si="1"/>
        <v>Late</v>
      </c>
      <c r="O63">
        <f t="shared" si="2"/>
        <v>0.95</v>
      </c>
    </row>
    <row r="64" spans="1:15">
      <c r="A64">
        <v>5063</v>
      </c>
      <c r="B64">
        <v>4</v>
      </c>
      <c r="C64">
        <v>85</v>
      </c>
      <c r="D64" t="s">
        <v>122</v>
      </c>
      <c r="E64" s="1">
        <v>46131</v>
      </c>
      <c r="F64" s="1">
        <v>46162</v>
      </c>
      <c r="G64" s="1">
        <v>46174</v>
      </c>
      <c r="H64">
        <v>32</v>
      </c>
      <c r="I64">
        <v>10</v>
      </c>
      <c r="J64">
        <v>137.24</v>
      </c>
      <c r="K64" t="s">
        <v>462</v>
      </c>
      <c r="L64">
        <f t="shared" si="0"/>
        <v>43</v>
      </c>
      <c r="M64" t="str">
        <f>_xlfn.XLOOKUP(B64,suppliers!A:A,suppliers!B:B)</f>
        <v>Blue Ridge</v>
      </c>
      <c r="N64" t="str">
        <f t="shared" si="1"/>
        <v>Late</v>
      </c>
      <c r="O64">
        <f t="shared" si="2"/>
        <v>0.31</v>
      </c>
    </row>
    <row r="65" spans="1:15">
      <c r="A65">
        <v>5064</v>
      </c>
      <c r="B65">
        <v>1</v>
      </c>
      <c r="C65">
        <v>39</v>
      </c>
      <c r="D65" t="s">
        <v>120</v>
      </c>
      <c r="E65" s="1">
        <v>46111</v>
      </c>
      <c r="F65" s="1">
        <v>46149</v>
      </c>
      <c r="G65" s="1">
        <v>46166</v>
      </c>
      <c r="H65">
        <v>194</v>
      </c>
      <c r="I65">
        <v>169</v>
      </c>
      <c r="J65">
        <v>47.47</v>
      </c>
      <c r="K65" t="s">
        <v>464</v>
      </c>
      <c r="L65">
        <f t="shared" si="0"/>
        <v>55</v>
      </c>
      <c r="M65" t="str">
        <f>_xlfn.XLOOKUP(B65,suppliers!A:A,suppliers!B:B)</f>
        <v>Acme Supply</v>
      </c>
      <c r="N65" t="str">
        <f t="shared" si="1"/>
        <v>Late</v>
      </c>
      <c r="O65">
        <f t="shared" si="2"/>
        <v>0.87</v>
      </c>
    </row>
    <row r="66" spans="1:15">
      <c r="A66">
        <v>5065</v>
      </c>
      <c r="B66">
        <v>8</v>
      </c>
      <c r="C66">
        <v>147</v>
      </c>
      <c r="D66" t="s">
        <v>121</v>
      </c>
      <c r="E66" s="1">
        <v>46013</v>
      </c>
      <c r="F66" s="1">
        <v>46051</v>
      </c>
      <c r="G66" s="1">
        <v>46057</v>
      </c>
      <c r="H66">
        <v>105</v>
      </c>
      <c r="I66">
        <v>82</v>
      </c>
      <c r="J66">
        <v>119.85</v>
      </c>
      <c r="K66" t="s">
        <v>463</v>
      </c>
      <c r="L66">
        <f t="shared" si="0"/>
        <v>44</v>
      </c>
      <c r="M66" t="str">
        <f>_xlfn.XLOOKUP(B66,suppliers!A:A,suppliers!B:B)</f>
        <v>Metro Logistics</v>
      </c>
      <c r="N66" t="str">
        <f t="shared" si="1"/>
        <v>Late</v>
      </c>
      <c r="O66">
        <f t="shared" si="2"/>
        <v>0.78</v>
      </c>
    </row>
    <row r="67" spans="1:15">
      <c r="A67">
        <v>5066</v>
      </c>
      <c r="B67">
        <v>6</v>
      </c>
      <c r="C67">
        <v>75</v>
      </c>
      <c r="D67" t="s">
        <v>118</v>
      </c>
      <c r="E67" s="1">
        <v>46073</v>
      </c>
      <c r="F67" s="1">
        <v>46108</v>
      </c>
      <c r="G67" s="1">
        <v>46103</v>
      </c>
      <c r="H67">
        <v>179</v>
      </c>
      <c r="I67">
        <v>140</v>
      </c>
      <c r="J67">
        <v>88.25</v>
      </c>
      <c r="K67" t="s">
        <v>463</v>
      </c>
      <c r="L67">
        <f t="shared" ref="L67:L130" si="3">IFERROR(G67-E67,"")</f>
        <v>30</v>
      </c>
      <c r="M67" t="str">
        <f>_xlfn.XLOOKUP(B67,suppliers!A:A,suppliers!B:B)</f>
        <v>Evergreen Imports</v>
      </c>
      <c r="N67" t="str">
        <f t="shared" ref="N67:N130" si="4">IF(G67&lt;F67,"On time","Late")</f>
        <v>On time</v>
      </c>
      <c r="O67">
        <f t="shared" ref="O67:O130" si="5">ROUND(I67/H67,2)</f>
        <v>0.78</v>
      </c>
    </row>
    <row r="68" spans="1:15">
      <c r="A68">
        <v>5067</v>
      </c>
      <c r="B68">
        <v>2</v>
      </c>
      <c r="C68">
        <v>145</v>
      </c>
      <c r="D68" t="s">
        <v>120</v>
      </c>
      <c r="E68" s="1">
        <v>46103</v>
      </c>
      <c r="F68" s="1">
        <v>46136</v>
      </c>
      <c r="G68" t="s">
        <v>145</v>
      </c>
      <c r="H68">
        <v>43</v>
      </c>
      <c r="I68">
        <v>0</v>
      </c>
      <c r="J68">
        <v>116.67</v>
      </c>
      <c r="K68" t="s">
        <v>464</v>
      </c>
      <c r="L68" t="str">
        <f t="shared" si="3"/>
        <v/>
      </c>
      <c r="M68" t="str">
        <f>_xlfn.XLOOKUP(B68,suppliers!A:A,suppliers!B:B)</f>
        <v>Global Goods</v>
      </c>
      <c r="N68" t="str">
        <f t="shared" si="4"/>
        <v>Late</v>
      </c>
      <c r="O68">
        <f t="shared" si="5"/>
        <v>0</v>
      </c>
    </row>
    <row r="69" spans="1:15">
      <c r="A69">
        <v>5068</v>
      </c>
      <c r="B69">
        <v>2</v>
      </c>
      <c r="C69">
        <v>126</v>
      </c>
      <c r="D69" t="s">
        <v>119</v>
      </c>
      <c r="E69" s="1">
        <v>46053</v>
      </c>
      <c r="F69" s="1">
        <v>46084</v>
      </c>
      <c r="G69" t="s">
        <v>145</v>
      </c>
      <c r="H69">
        <v>154</v>
      </c>
      <c r="I69">
        <v>0</v>
      </c>
      <c r="J69">
        <v>104.65</v>
      </c>
      <c r="K69" t="s">
        <v>464</v>
      </c>
      <c r="L69" t="str">
        <f t="shared" si="3"/>
        <v/>
      </c>
      <c r="M69" t="str">
        <f>_xlfn.XLOOKUP(B69,suppliers!A:A,suppliers!B:B)</f>
        <v>Global Goods</v>
      </c>
      <c r="N69" t="str">
        <f t="shared" si="4"/>
        <v>Late</v>
      </c>
      <c r="O69">
        <f t="shared" si="5"/>
        <v>0</v>
      </c>
    </row>
    <row r="70" spans="1:15">
      <c r="A70">
        <v>5069</v>
      </c>
      <c r="B70">
        <v>4</v>
      </c>
      <c r="C70">
        <v>102</v>
      </c>
      <c r="D70" t="s">
        <v>118</v>
      </c>
      <c r="E70" s="1">
        <v>46048</v>
      </c>
      <c r="F70" s="1">
        <v>46068</v>
      </c>
      <c r="G70" t="s">
        <v>145</v>
      </c>
      <c r="H70">
        <v>604</v>
      </c>
      <c r="I70">
        <v>0</v>
      </c>
      <c r="J70">
        <v>163.94</v>
      </c>
      <c r="K70" t="s">
        <v>462</v>
      </c>
      <c r="L70" t="str">
        <f t="shared" si="3"/>
        <v/>
      </c>
      <c r="M70" t="str">
        <f>_xlfn.XLOOKUP(B70,suppliers!A:A,suppliers!B:B)</f>
        <v>Blue Ridge</v>
      </c>
      <c r="N70" t="str">
        <f t="shared" si="4"/>
        <v>Late</v>
      </c>
      <c r="O70">
        <f t="shared" si="5"/>
        <v>0</v>
      </c>
    </row>
    <row r="71" spans="1:15">
      <c r="A71">
        <v>5070</v>
      </c>
      <c r="B71">
        <v>8</v>
      </c>
      <c r="C71">
        <v>141</v>
      </c>
      <c r="D71" t="s">
        <v>122</v>
      </c>
      <c r="E71" s="1">
        <v>46097</v>
      </c>
      <c r="F71" s="1">
        <v>46126</v>
      </c>
      <c r="G71" s="1">
        <v>46134</v>
      </c>
      <c r="H71">
        <v>942</v>
      </c>
      <c r="I71">
        <v>893</v>
      </c>
      <c r="J71">
        <v>162.76</v>
      </c>
      <c r="K71" t="s">
        <v>463</v>
      </c>
      <c r="L71">
        <f t="shared" si="3"/>
        <v>37</v>
      </c>
      <c r="M71" t="str">
        <f>_xlfn.XLOOKUP(B71,suppliers!A:A,suppliers!B:B)</f>
        <v>Metro Logistics</v>
      </c>
      <c r="N71" t="str">
        <f t="shared" si="4"/>
        <v>Late</v>
      </c>
      <c r="O71">
        <f t="shared" si="5"/>
        <v>0.95</v>
      </c>
    </row>
    <row r="72" spans="1:15">
      <c r="A72">
        <v>5071</v>
      </c>
      <c r="B72">
        <v>6</v>
      </c>
      <c r="C72">
        <v>28</v>
      </c>
      <c r="D72" t="s">
        <v>117</v>
      </c>
      <c r="E72" s="1">
        <v>46074</v>
      </c>
      <c r="F72" s="1">
        <v>46113</v>
      </c>
      <c r="G72" s="1">
        <v>46120</v>
      </c>
      <c r="H72">
        <v>250</v>
      </c>
      <c r="I72">
        <v>202</v>
      </c>
      <c r="J72">
        <v>89.31</v>
      </c>
      <c r="K72" t="s">
        <v>462</v>
      </c>
      <c r="L72">
        <f t="shared" si="3"/>
        <v>46</v>
      </c>
      <c r="M72" t="str">
        <f>_xlfn.XLOOKUP(B72,suppliers!A:A,suppliers!B:B)</f>
        <v>Evergreen Imports</v>
      </c>
      <c r="N72" t="str">
        <f t="shared" si="4"/>
        <v>Late</v>
      </c>
      <c r="O72">
        <f t="shared" si="5"/>
        <v>0.81</v>
      </c>
    </row>
    <row r="73" spans="1:15">
      <c r="A73">
        <v>5072</v>
      </c>
      <c r="B73">
        <v>1</v>
      </c>
      <c r="C73">
        <v>74</v>
      </c>
      <c r="D73" t="s">
        <v>119</v>
      </c>
      <c r="E73" s="1">
        <v>46108</v>
      </c>
      <c r="F73" s="1">
        <v>46125</v>
      </c>
      <c r="G73" t="s">
        <v>145</v>
      </c>
      <c r="H73">
        <v>201</v>
      </c>
      <c r="I73">
        <v>0</v>
      </c>
      <c r="J73">
        <v>105.64</v>
      </c>
      <c r="K73" t="s">
        <v>464</v>
      </c>
      <c r="L73" t="str">
        <f t="shared" si="3"/>
        <v/>
      </c>
      <c r="M73" t="str">
        <f>_xlfn.XLOOKUP(B73,suppliers!A:A,suppliers!B:B)</f>
        <v>Acme Supply</v>
      </c>
      <c r="N73" t="str">
        <f t="shared" si="4"/>
        <v>Late</v>
      </c>
      <c r="O73">
        <f t="shared" si="5"/>
        <v>0</v>
      </c>
    </row>
    <row r="74" spans="1:15">
      <c r="A74">
        <v>5073</v>
      </c>
      <c r="B74">
        <v>6</v>
      </c>
      <c r="C74">
        <v>86</v>
      </c>
      <c r="D74" t="s">
        <v>117</v>
      </c>
      <c r="E74" s="1">
        <v>46111</v>
      </c>
      <c r="F74" s="1">
        <v>46129</v>
      </c>
      <c r="G74" s="1">
        <v>46127</v>
      </c>
      <c r="H74">
        <v>412</v>
      </c>
      <c r="I74">
        <v>386</v>
      </c>
      <c r="J74">
        <v>140.53</v>
      </c>
      <c r="K74" t="s">
        <v>462</v>
      </c>
      <c r="L74">
        <f t="shared" si="3"/>
        <v>16</v>
      </c>
      <c r="M74" t="str">
        <f>_xlfn.XLOOKUP(B74,suppliers!A:A,suppliers!B:B)</f>
        <v>Evergreen Imports</v>
      </c>
      <c r="N74" t="str">
        <f t="shared" si="4"/>
        <v>On time</v>
      </c>
      <c r="O74">
        <f t="shared" si="5"/>
        <v>0.94</v>
      </c>
    </row>
    <row r="75" spans="1:15">
      <c r="A75">
        <v>5074</v>
      </c>
      <c r="B75">
        <v>2</v>
      </c>
      <c r="C75">
        <v>49</v>
      </c>
      <c r="D75" t="s">
        <v>117</v>
      </c>
      <c r="E75" s="1">
        <v>46000</v>
      </c>
      <c r="F75" s="1">
        <v>46021</v>
      </c>
      <c r="G75" s="1">
        <v>46035</v>
      </c>
      <c r="H75">
        <v>535</v>
      </c>
      <c r="I75">
        <v>534</v>
      </c>
      <c r="J75">
        <v>64.239999999999995</v>
      </c>
      <c r="K75" t="s">
        <v>463</v>
      </c>
      <c r="L75">
        <f t="shared" si="3"/>
        <v>35</v>
      </c>
      <c r="M75" t="str">
        <f>_xlfn.XLOOKUP(B75,suppliers!A:A,suppliers!B:B)</f>
        <v>Global Goods</v>
      </c>
      <c r="N75" t="str">
        <f t="shared" si="4"/>
        <v>Late</v>
      </c>
      <c r="O75">
        <f t="shared" si="5"/>
        <v>1</v>
      </c>
    </row>
    <row r="76" spans="1:15">
      <c r="A76">
        <v>5075</v>
      </c>
      <c r="B76">
        <v>8</v>
      </c>
      <c r="C76">
        <v>64</v>
      </c>
      <c r="D76" t="s">
        <v>119</v>
      </c>
      <c r="E76" s="1">
        <v>46035</v>
      </c>
      <c r="F76" s="1">
        <v>46078</v>
      </c>
      <c r="G76" s="1">
        <v>46094</v>
      </c>
      <c r="H76">
        <v>113</v>
      </c>
      <c r="I76">
        <v>66</v>
      </c>
      <c r="J76">
        <v>54.07</v>
      </c>
      <c r="K76" t="s">
        <v>464</v>
      </c>
      <c r="L76">
        <f t="shared" si="3"/>
        <v>59</v>
      </c>
      <c r="M76" t="str">
        <f>_xlfn.XLOOKUP(B76,suppliers!A:A,suppliers!B:B)</f>
        <v>Metro Logistics</v>
      </c>
      <c r="N76" t="str">
        <f t="shared" si="4"/>
        <v>Late</v>
      </c>
      <c r="O76">
        <f t="shared" si="5"/>
        <v>0.57999999999999996</v>
      </c>
    </row>
    <row r="77" spans="1:15">
      <c r="A77">
        <v>5076</v>
      </c>
      <c r="B77">
        <v>3</v>
      </c>
      <c r="C77">
        <v>100</v>
      </c>
      <c r="D77" t="s">
        <v>118</v>
      </c>
      <c r="E77" s="1">
        <v>46134</v>
      </c>
      <c r="F77" s="1">
        <v>46173</v>
      </c>
      <c r="G77" s="1">
        <v>46173</v>
      </c>
      <c r="H77">
        <v>488</v>
      </c>
      <c r="I77">
        <v>477</v>
      </c>
      <c r="J77">
        <v>127.11</v>
      </c>
      <c r="K77" t="s">
        <v>462</v>
      </c>
      <c r="L77">
        <f t="shared" si="3"/>
        <v>39</v>
      </c>
      <c r="M77" t="str">
        <f>_xlfn.XLOOKUP(B77,suppliers!A:A,suppliers!B:B)</f>
        <v>PrimeSource</v>
      </c>
      <c r="N77" t="str">
        <f t="shared" si="4"/>
        <v>Late</v>
      </c>
      <c r="O77">
        <f t="shared" si="5"/>
        <v>0.98</v>
      </c>
    </row>
    <row r="78" spans="1:15">
      <c r="A78">
        <v>5077</v>
      </c>
      <c r="B78">
        <v>5</v>
      </c>
      <c r="C78">
        <v>52</v>
      </c>
      <c r="D78" t="s">
        <v>117</v>
      </c>
      <c r="E78" s="1">
        <v>46075</v>
      </c>
      <c r="F78" s="1">
        <v>46090</v>
      </c>
      <c r="G78" s="1">
        <v>46085</v>
      </c>
      <c r="H78">
        <v>231</v>
      </c>
      <c r="I78">
        <v>216</v>
      </c>
      <c r="J78">
        <v>145.85</v>
      </c>
      <c r="K78" t="s">
        <v>464</v>
      </c>
      <c r="L78">
        <f t="shared" si="3"/>
        <v>10</v>
      </c>
      <c r="M78" t="str">
        <f>_xlfn.XLOOKUP(B78,suppliers!A:A,suppliers!B:B)</f>
        <v>Utah Wholesale</v>
      </c>
      <c r="N78" t="str">
        <f t="shared" si="4"/>
        <v>On time</v>
      </c>
      <c r="O78">
        <f t="shared" si="5"/>
        <v>0.94</v>
      </c>
    </row>
    <row r="79" spans="1:15">
      <c r="A79">
        <v>5078</v>
      </c>
      <c r="B79">
        <v>6</v>
      </c>
      <c r="C79">
        <v>114</v>
      </c>
      <c r="D79" t="s">
        <v>122</v>
      </c>
      <c r="E79" s="1">
        <v>46054</v>
      </c>
      <c r="F79" s="1">
        <v>46072</v>
      </c>
      <c r="G79" t="s">
        <v>145</v>
      </c>
      <c r="H79">
        <v>532</v>
      </c>
      <c r="I79">
        <v>0</v>
      </c>
      <c r="J79">
        <v>198.53</v>
      </c>
      <c r="K79" t="s">
        <v>462</v>
      </c>
      <c r="L79" t="str">
        <f t="shared" si="3"/>
        <v/>
      </c>
      <c r="M79" t="str">
        <f>_xlfn.XLOOKUP(B79,suppliers!A:A,suppliers!B:B)</f>
        <v>Evergreen Imports</v>
      </c>
      <c r="N79" t="str">
        <f t="shared" si="4"/>
        <v>Late</v>
      </c>
      <c r="O79">
        <f t="shared" si="5"/>
        <v>0</v>
      </c>
    </row>
    <row r="80" spans="1:15">
      <c r="A80">
        <v>5079</v>
      </c>
      <c r="B80">
        <v>7</v>
      </c>
      <c r="C80">
        <v>63</v>
      </c>
      <c r="D80" t="s">
        <v>121</v>
      </c>
      <c r="E80" s="1">
        <v>46111</v>
      </c>
      <c r="F80" s="1">
        <v>46122</v>
      </c>
      <c r="G80" s="1">
        <v>46118</v>
      </c>
      <c r="H80">
        <v>718</v>
      </c>
      <c r="I80">
        <v>688</v>
      </c>
      <c r="J80">
        <v>36.83</v>
      </c>
      <c r="K80" t="s">
        <v>462</v>
      </c>
      <c r="L80">
        <f t="shared" si="3"/>
        <v>7</v>
      </c>
      <c r="M80" t="str">
        <f>_xlfn.XLOOKUP(B80,suppliers!A:A,suppliers!B:B)</f>
        <v>Summit Trading</v>
      </c>
      <c r="N80" t="str">
        <f t="shared" si="4"/>
        <v>On time</v>
      </c>
      <c r="O80">
        <f t="shared" si="5"/>
        <v>0.96</v>
      </c>
    </row>
    <row r="81" spans="1:15">
      <c r="A81">
        <v>5080</v>
      </c>
      <c r="B81">
        <v>5</v>
      </c>
      <c r="C81">
        <v>19</v>
      </c>
      <c r="D81" t="s">
        <v>121</v>
      </c>
      <c r="E81" s="1">
        <v>46099</v>
      </c>
      <c r="F81" s="1">
        <v>46122</v>
      </c>
      <c r="G81" s="1">
        <v>46134</v>
      </c>
      <c r="H81">
        <v>143</v>
      </c>
      <c r="I81">
        <v>98</v>
      </c>
      <c r="J81">
        <v>81.56</v>
      </c>
      <c r="K81" t="s">
        <v>464</v>
      </c>
      <c r="L81">
        <f t="shared" si="3"/>
        <v>35</v>
      </c>
      <c r="M81" t="str">
        <f>_xlfn.XLOOKUP(B81,suppliers!A:A,suppliers!B:B)</f>
        <v>Utah Wholesale</v>
      </c>
      <c r="N81" t="str">
        <f t="shared" si="4"/>
        <v>Late</v>
      </c>
      <c r="O81">
        <f t="shared" si="5"/>
        <v>0.69</v>
      </c>
    </row>
    <row r="82" spans="1:15">
      <c r="A82">
        <v>5081</v>
      </c>
      <c r="B82">
        <v>6</v>
      </c>
      <c r="C82">
        <v>113</v>
      </c>
      <c r="D82" t="s">
        <v>119</v>
      </c>
      <c r="E82" s="1">
        <v>46116</v>
      </c>
      <c r="F82" s="1">
        <v>46126</v>
      </c>
      <c r="G82" s="1">
        <v>46133</v>
      </c>
      <c r="H82">
        <v>868</v>
      </c>
      <c r="I82">
        <v>845</v>
      </c>
      <c r="J82">
        <v>89.33</v>
      </c>
      <c r="K82" t="s">
        <v>462</v>
      </c>
      <c r="L82">
        <f t="shared" si="3"/>
        <v>17</v>
      </c>
      <c r="M82" t="str">
        <f>_xlfn.XLOOKUP(B82,suppliers!A:A,suppliers!B:B)</f>
        <v>Evergreen Imports</v>
      </c>
      <c r="N82" t="str">
        <f t="shared" si="4"/>
        <v>Late</v>
      </c>
      <c r="O82">
        <f t="shared" si="5"/>
        <v>0.97</v>
      </c>
    </row>
    <row r="83" spans="1:15">
      <c r="A83">
        <v>5082</v>
      </c>
      <c r="B83">
        <v>5</v>
      </c>
      <c r="C83">
        <v>131</v>
      </c>
      <c r="D83" t="s">
        <v>119</v>
      </c>
      <c r="E83" s="1">
        <v>46105</v>
      </c>
      <c r="F83" s="1">
        <v>46139</v>
      </c>
      <c r="G83" s="1">
        <v>46137</v>
      </c>
      <c r="H83">
        <v>169</v>
      </c>
      <c r="I83">
        <v>123</v>
      </c>
      <c r="J83">
        <v>52.71</v>
      </c>
      <c r="K83" t="s">
        <v>462</v>
      </c>
      <c r="L83">
        <f t="shared" si="3"/>
        <v>32</v>
      </c>
      <c r="M83" t="str">
        <f>_xlfn.XLOOKUP(B83,suppliers!A:A,suppliers!B:B)</f>
        <v>Utah Wholesale</v>
      </c>
      <c r="N83" t="str">
        <f t="shared" si="4"/>
        <v>On time</v>
      </c>
      <c r="O83">
        <f t="shared" si="5"/>
        <v>0.73</v>
      </c>
    </row>
    <row r="84" spans="1:15">
      <c r="A84">
        <v>5083</v>
      </c>
      <c r="B84">
        <v>8</v>
      </c>
      <c r="C84">
        <v>94</v>
      </c>
      <c r="D84" t="s">
        <v>120</v>
      </c>
      <c r="E84" s="1">
        <v>46098</v>
      </c>
      <c r="F84" s="1">
        <v>46126</v>
      </c>
      <c r="G84" s="1">
        <v>46128</v>
      </c>
      <c r="H84">
        <v>834</v>
      </c>
      <c r="I84">
        <v>828</v>
      </c>
      <c r="J84">
        <v>122.54</v>
      </c>
      <c r="K84" t="s">
        <v>463</v>
      </c>
      <c r="L84">
        <f t="shared" si="3"/>
        <v>30</v>
      </c>
      <c r="M84" t="str">
        <f>_xlfn.XLOOKUP(B84,suppliers!A:A,suppliers!B:B)</f>
        <v>Metro Logistics</v>
      </c>
      <c r="N84" t="str">
        <f t="shared" si="4"/>
        <v>Late</v>
      </c>
      <c r="O84">
        <f t="shared" si="5"/>
        <v>0.99</v>
      </c>
    </row>
    <row r="85" spans="1:15">
      <c r="A85">
        <v>5084</v>
      </c>
      <c r="B85">
        <v>5</v>
      </c>
      <c r="C85">
        <v>19</v>
      </c>
      <c r="D85" t="s">
        <v>117</v>
      </c>
      <c r="E85" s="1">
        <v>46110</v>
      </c>
      <c r="F85" s="1">
        <v>46148</v>
      </c>
      <c r="G85" s="1">
        <v>46167</v>
      </c>
      <c r="H85">
        <v>286</v>
      </c>
      <c r="I85">
        <v>265</v>
      </c>
      <c r="J85">
        <v>70.849999999999994</v>
      </c>
      <c r="K85" t="s">
        <v>462</v>
      </c>
      <c r="L85">
        <f t="shared" si="3"/>
        <v>57</v>
      </c>
      <c r="M85" t="str">
        <f>_xlfn.XLOOKUP(B85,suppliers!A:A,suppliers!B:B)</f>
        <v>Utah Wholesale</v>
      </c>
      <c r="N85" t="str">
        <f t="shared" si="4"/>
        <v>Late</v>
      </c>
      <c r="O85">
        <f t="shared" si="5"/>
        <v>0.93</v>
      </c>
    </row>
    <row r="86" spans="1:15">
      <c r="A86">
        <v>5085</v>
      </c>
      <c r="B86">
        <v>3</v>
      </c>
      <c r="C86">
        <v>67</v>
      </c>
      <c r="D86" t="s">
        <v>120</v>
      </c>
      <c r="E86" s="1">
        <v>46138</v>
      </c>
      <c r="F86" s="1">
        <v>46162</v>
      </c>
      <c r="G86" s="1">
        <v>46181</v>
      </c>
      <c r="H86">
        <v>163</v>
      </c>
      <c r="I86">
        <v>162</v>
      </c>
      <c r="J86">
        <v>22.89</v>
      </c>
      <c r="K86" t="s">
        <v>462</v>
      </c>
      <c r="L86">
        <f t="shared" si="3"/>
        <v>43</v>
      </c>
      <c r="M86" t="str">
        <f>_xlfn.XLOOKUP(B86,suppliers!A:A,suppliers!B:B)</f>
        <v>PrimeSource</v>
      </c>
      <c r="N86" t="str">
        <f t="shared" si="4"/>
        <v>Late</v>
      </c>
      <c r="O86">
        <f t="shared" si="5"/>
        <v>0.99</v>
      </c>
    </row>
    <row r="87" spans="1:15">
      <c r="A87">
        <v>5086</v>
      </c>
      <c r="B87">
        <v>6</v>
      </c>
      <c r="C87">
        <v>95</v>
      </c>
      <c r="D87" t="s">
        <v>120</v>
      </c>
      <c r="E87" s="1">
        <v>46137</v>
      </c>
      <c r="F87" s="1">
        <v>46167</v>
      </c>
      <c r="G87" s="1">
        <v>46171</v>
      </c>
      <c r="H87">
        <v>987</v>
      </c>
      <c r="I87">
        <v>957</v>
      </c>
      <c r="J87">
        <v>81.069999999999993</v>
      </c>
      <c r="K87" t="s">
        <v>462</v>
      </c>
      <c r="L87">
        <f t="shared" si="3"/>
        <v>34</v>
      </c>
      <c r="M87" t="str">
        <f>_xlfn.XLOOKUP(B87,suppliers!A:A,suppliers!B:B)</f>
        <v>Evergreen Imports</v>
      </c>
      <c r="N87" t="str">
        <f t="shared" si="4"/>
        <v>Late</v>
      </c>
      <c r="O87">
        <f t="shared" si="5"/>
        <v>0.97</v>
      </c>
    </row>
    <row r="88" spans="1:15">
      <c r="A88">
        <v>5087</v>
      </c>
      <c r="B88">
        <v>3</v>
      </c>
      <c r="C88">
        <v>76</v>
      </c>
      <c r="D88" t="s">
        <v>118</v>
      </c>
      <c r="E88" s="1">
        <v>46032</v>
      </c>
      <c r="F88" s="1">
        <v>46047</v>
      </c>
      <c r="G88" s="1">
        <v>46051</v>
      </c>
      <c r="H88">
        <v>899</v>
      </c>
      <c r="I88">
        <v>898</v>
      </c>
      <c r="J88">
        <v>123.68</v>
      </c>
      <c r="K88" t="s">
        <v>462</v>
      </c>
      <c r="L88">
        <f t="shared" si="3"/>
        <v>19</v>
      </c>
      <c r="M88" t="str">
        <f>_xlfn.XLOOKUP(B88,suppliers!A:A,suppliers!B:B)</f>
        <v>PrimeSource</v>
      </c>
      <c r="N88" t="str">
        <f t="shared" si="4"/>
        <v>Late</v>
      </c>
      <c r="O88">
        <f t="shared" si="5"/>
        <v>1</v>
      </c>
    </row>
    <row r="89" spans="1:15">
      <c r="A89">
        <v>5088</v>
      </c>
      <c r="B89">
        <v>8</v>
      </c>
      <c r="C89">
        <v>150</v>
      </c>
      <c r="D89" t="s">
        <v>121</v>
      </c>
      <c r="E89" s="1">
        <v>46070</v>
      </c>
      <c r="F89" s="1">
        <v>46086</v>
      </c>
      <c r="G89" s="1">
        <v>46089</v>
      </c>
      <c r="H89">
        <v>392</v>
      </c>
      <c r="I89">
        <v>367</v>
      </c>
      <c r="J89">
        <v>62.05</v>
      </c>
      <c r="K89" t="s">
        <v>462</v>
      </c>
      <c r="L89">
        <f t="shared" si="3"/>
        <v>19</v>
      </c>
      <c r="M89" t="str">
        <f>_xlfn.XLOOKUP(B89,suppliers!A:A,suppliers!B:B)</f>
        <v>Metro Logistics</v>
      </c>
      <c r="N89" t="str">
        <f t="shared" si="4"/>
        <v>Late</v>
      </c>
      <c r="O89">
        <f t="shared" si="5"/>
        <v>0.94</v>
      </c>
    </row>
    <row r="90" spans="1:15">
      <c r="A90">
        <v>5089</v>
      </c>
      <c r="B90">
        <v>4</v>
      </c>
      <c r="C90">
        <v>44</v>
      </c>
      <c r="D90" t="s">
        <v>117</v>
      </c>
      <c r="E90" s="1">
        <v>46081</v>
      </c>
      <c r="F90" s="1">
        <v>46097</v>
      </c>
      <c r="G90" s="1">
        <v>46108</v>
      </c>
      <c r="H90">
        <v>341</v>
      </c>
      <c r="I90">
        <v>310</v>
      </c>
      <c r="J90">
        <v>18</v>
      </c>
      <c r="K90" t="s">
        <v>462</v>
      </c>
      <c r="L90">
        <f t="shared" si="3"/>
        <v>27</v>
      </c>
      <c r="M90" t="str">
        <f>_xlfn.XLOOKUP(B90,suppliers!A:A,suppliers!B:B)</f>
        <v>Blue Ridge</v>
      </c>
      <c r="N90" t="str">
        <f t="shared" si="4"/>
        <v>Late</v>
      </c>
      <c r="O90">
        <f t="shared" si="5"/>
        <v>0.91</v>
      </c>
    </row>
    <row r="91" spans="1:15">
      <c r="A91">
        <v>5090</v>
      </c>
      <c r="B91">
        <v>1</v>
      </c>
      <c r="C91">
        <v>135</v>
      </c>
      <c r="D91" t="s">
        <v>119</v>
      </c>
      <c r="E91" s="1">
        <v>46116</v>
      </c>
      <c r="F91" s="1">
        <v>46134</v>
      </c>
      <c r="G91" s="1">
        <v>46141</v>
      </c>
      <c r="H91">
        <v>34</v>
      </c>
      <c r="I91">
        <v>13</v>
      </c>
      <c r="J91">
        <v>54.55</v>
      </c>
      <c r="K91" t="s">
        <v>462</v>
      </c>
      <c r="L91">
        <f t="shared" si="3"/>
        <v>25</v>
      </c>
      <c r="M91" t="str">
        <f>_xlfn.XLOOKUP(B91,suppliers!A:A,suppliers!B:B)</f>
        <v>Acme Supply</v>
      </c>
      <c r="N91" t="str">
        <f t="shared" si="4"/>
        <v>Late</v>
      </c>
      <c r="O91">
        <f t="shared" si="5"/>
        <v>0.38</v>
      </c>
    </row>
    <row r="92" spans="1:15">
      <c r="A92">
        <v>5091</v>
      </c>
      <c r="B92">
        <v>1</v>
      </c>
      <c r="C92">
        <v>80</v>
      </c>
      <c r="D92" t="s">
        <v>119</v>
      </c>
      <c r="E92" s="1">
        <v>46045</v>
      </c>
      <c r="F92" s="1">
        <v>46066</v>
      </c>
      <c r="G92" s="1">
        <v>46080</v>
      </c>
      <c r="H92">
        <v>816</v>
      </c>
      <c r="I92">
        <v>775</v>
      </c>
      <c r="J92">
        <v>104.47</v>
      </c>
      <c r="K92" t="s">
        <v>462</v>
      </c>
      <c r="L92">
        <f t="shared" si="3"/>
        <v>35</v>
      </c>
      <c r="M92" t="str">
        <f>_xlfn.XLOOKUP(B92,suppliers!A:A,suppliers!B:B)</f>
        <v>Acme Supply</v>
      </c>
      <c r="N92" t="str">
        <f t="shared" si="4"/>
        <v>Late</v>
      </c>
      <c r="O92">
        <f t="shared" si="5"/>
        <v>0.95</v>
      </c>
    </row>
    <row r="93" spans="1:15">
      <c r="A93">
        <v>5092</v>
      </c>
      <c r="B93">
        <v>6</v>
      </c>
      <c r="C93">
        <v>92</v>
      </c>
      <c r="D93" t="s">
        <v>121</v>
      </c>
      <c r="E93" s="1">
        <v>46120</v>
      </c>
      <c r="F93" s="1">
        <v>46156</v>
      </c>
      <c r="G93" s="1">
        <v>46171</v>
      </c>
      <c r="H93">
        <v>948</v>
      </c>
      <c r="I93">
        <v>934</v>
      </c>
      <c r="J93">
        <v>69.48</v>
      </c>
      <c r="K93" t="s">
        <v>462</v>
      </c>
      <c r="L93">
        <f t="shared" si="3"/>
        <v>51</v>
      </c>
      <c r="M93" t="str">
        <f>_xlfn.XLOOKUP(B93,suppliers!A:A,suppliers!B:B)</f>
        <v>Evergreen Imports</v>
      </c>
      <c r="N93" t="str">
        <f t="shared" si="4"/>
        <v>Late</v>
      </c>
      <c r="O93">
        <f t="shared" si="5"/>
        <v>0.99</v>
      </c>
    </row>
    <row r="94" spans="1:15">
      <c r="A94">
        <v>5093</v>
      </c>
      <c r="B94">
        <v>8</v>
      </c>
      <c r="C94">
        <v>94</v>
      </c>
      <c r="D94" t="s">
        <v>121</v>
      </c>
      <c r="E94" s="1">
        <v>46001</v>
      </c>
      <c r="F94" s="1">
        <v>46033</v>
      </c>
      <c r="G94" s="1">
        <v>46038</v>
      </c>
      <c r="H94">
        <v>539</v>
      </c>
      <c r="I94">
        <v>505</v>
      </c>
      <c r="J94">
        <v>103.02</v>
      </c>
      <c r="K94" t="s">
        <v>464</v>
      </c>
      <c r="L94">
        <f t="shared" si="3"/>
        <v>37</v>
      </c>
      <c r="M94" t="str">
        <f>_xlfn.XLOOKUP(B94,suppliers!A:A,suppliers!B:B)</f>
        <v>Metro Logistics</v>
      </c>
      <c r="N94" t="str">
        <f t="shared" si="4"/>
        <v>Late</v>
      </c>
      <c r="O94">
        <f t="shared" si="5"/>
        <v>0.94</v>
      </c>
    </row>
    <row r="95" spans="1:15">
      <c r="A95">
        <v>5094</v>
      </c>
      <c r="B95">
        <v>1</v>
      </c>
      <c r="C95">
        <v>21</v>
      </c>
      <c r="D95" t="s">
        <v>118</v>
      </c>
      <c r="E95" s="1">
        <v>46007</v>
      </c>
      <c r="F95" s="1">
        <v>46042</v>
      </c>
      <c r="G95" s="1">
        <v>46044</v>
      </c>
      <c r="H95">
        <v>270</v>
      </c>
      <c r="I95">
        <v>226</v>
      </c>
      <c r="J95">
        <v>53.68</v>
      </c>
      <c r="K95" t="s">
        <v>462</v>
      </c>
      <c r="L95">
        <f t="shared" si="3"/>
        <v>37</v>
      </c>
      <c r="M95" t="str">
        <f>_xlfn.XLOOKUP(B95,suppliers!A:A,suppliers!B:B)</f>
        <v>Acme Supply</v>
      </c>
      <c r="N95" t="str">
        <f t="shared" si="4"/>
        <v>Late</v>
      </c>
      <c r="O95">
        <f t="shared" si="5"/>
        <v>0.84</v>
      </c>
    </row>
    <row r="96" spans="1:15">
      <c r="A96">
        <v>5095</v>
      </c>
      <c r="B96">
        <v>1</v>
      </c>
      <c r="C96">
        <v>59</v>
      </c>
      <c r="D96" t="s">
        <v>119</v>
      </c>
      <c r="E96" s="1">
        <v>46109</v>
      </c>
      <c r="F96" s="1">
        <v>46127</v>
      </c>
      <c r="G96" s="1">
        <v>46141</v>
      </c>
      <c r="H96">
        <v>292</v>
      </c>
      <c r="I96">
        <v>245</v>
      </c>
      <c r="J96">
        <v>173.81</v>
      </c>
      <c r="K96" t="s">
        <v>462</v>
      </c>
      <c r="L96">
        <f t="shared" si="3"/>
        <v>32</v>
      </c>
      <c r="M96" t="str">
        <f>_xlfn.XLOOKUP(B96,suppliers!A:A,suppliers!B:B)</f>
        <v>Acme Supply</v>
      </c>
      <c r="N96" t="str">
        <f t="shared" si="4"/>
        <v>Late</v>
      </c>
      <c r="O96">
        <f t="shared" si="5"/>
        <v>0.84</v>
      </c>
    </row>
    <row r="97" spans="1:15">
      <c r="A97">
        <v>5096</v>
      </c>
      <c r="B97">
        <v>8</v>
      </c>
      <c r="C97">
        <v>17</v>
      </c>
      <c r="D97" t="s">
        <v>117</v>
      </c>
      <c r="E97" s="1">
        <v>46026</v>
      </c>
      <c r="F97" s="1">
        <v>46066</v>
      </c>
      <c r="G97" s="1">
        <v>46067</v>
      </c>
      <c r="H97">
        <v>253</v>
      </c>
      <c r="I97">
        <v>224</v>
      </c>
      <c r="J97">
        <v>41.11</v>
      </c>
      <c r="K97" t="s">
        <v>464</v>
      </c>
      <c r="L97">
        <f t="shared" si="3"/>
        <v>41</v>
      </c>
      <c r="M97" t="str">
        <f>_xlfn.XLOOKUP(B97,suppliers!A:A,suppliers!B:B)</f>
        <v>Metro Logistics</v>
      </c>
      <c r="N97" t="str">
        <f t="shared" si="4"/>
        <v>Late</v>
      </c>
      <c r="O97">
        <f t="shared" si="5"/>
        <v>0.89</v>
      </c>
    </row>
    <row r="98" spans="1:15">
      <c r="A98">
        <v>5097</v>
      </c>
      <c r="B98">
        <v>2</v>
      </c>
      <c r="C98">
        <v>138</v>
      </c>
      <c r="D98" t="s">
        <v>117</v>
      </c>
      <c r="E98" s="1">
        <v>46006</v>
      </c>
      <c r="F98" s="1">
        <v>46033</v>
      </c>
      <c r="G98" s="1">
        <v>46030</v>
      </c>
      <c r="H98">
        <v>221</v>
      </c>
      <c r="I98">
        <v>216</v>
      </c>
      <c r="J98">
        <v>79.62</v>
      </c>
      <c r="K98" t="s">
        <v>462</v>
      </c>
      <c r="L98">
        <f t="shared" si="3"/>
        <v>24</v>
      </c>
      <c r="M98" t="str">
        <f>_xlfn.XLOOKUP(B98,suppliers!A:A,suppliers!B:B)</f>
        <v>Global Goods</v>
      </c>
      <c r="N98" t="str">
        <f t="shared" si="4"/>
        <v>On time</v>
      </c>
      <c r="O98">
        <f t="shared" si="5"/>
        <v>0.98</v>
      </c>
    </row>
    <row r="99" spans="1:15">
      <c r="A99">
        <v>5098</v>
      </c>
      <c r="B99">
        <v>3</v>
      </c>
      <c r="C99">
        <v>51</v>
      </c>
      <c r="D99" t="s">
        <v>119</v>
      </c>
      <c r="E99" s="1">
        <v>46018</v>
      </c>
      <c r="F99" s="1">
        <v>46059</v>
      </c>
      <c r="G99" s="1">
        <v>46073</v>
      </c>
      <c r="H99">
        <v>518</v>
      </c>
      <c r="I99">
        <v>481</v>
      </c>
      <c r="J99">
        <v>55.67</v>
      </c>
      <c r="K99" t="s">
        <v>462</v>
      </c>
      <c r="L99">
        <f t="shared" si="3"/>
        <v>55</v>
      </c>
      <c r="M99" t="str">
        <f>_xlfn.XLOOKUP(B99,suppliers!A:A,suppliers!B:B)</f>
        <v>PrimeSource</v>
      </c>
      <c r="N99" t="str">
        <f t="shared" si="4"/>
        <v>Late</v>
      </c>
      <c r="O99">
        <f t="shared" si="5"/>
        <v>0.93</v>
      </c>
    </row>
    <row r="100" spans="1:15">
      <c r="A100">
        <v>5099</v>
      </c>
      <c r="B100">
        <v>1</v>
      </c>
      <c r="C100">
        <v>29</v>
      </c>
      <c r="D100" t="s">
        <v>119</v>
      </c>
      <c r="E100" s="1">
        <v>46106</v>
      </c>
      <c r="F100" s="1">
        <v>46125</v>
      </c>
      <c r="G100" s="1">
        <v>46140</v>
      </c>
      <c r="H100">
        <v>649</v>
      </c>
      <c r="I100">
        <v>633</v>
      </c>
      <c r="J100">
        <v>55.74</v>
      </c>
      <c r="K100" t="s">
        <v>462</v>
      </c>
      <c r="L100">
        <f t="shared" si="3"/>
        <v>34</v>
      </c>
      <c r="M100" t="str">
        <f>_xlfn.XLOOKUP(B100,suppliers!A:A,suppliers!B:B)</f>
        <v>Acme Supply</v>
      </c>
      <c r="N100" t="str">
        <f t="shared" si="4"/>
        <v>Late</v>
      </c>
      <c r="O100">
        <f t="shared" si="5"/>
        <v>0.98</v>
      </c>
    </row>
    <row r="101" spans="1:15">
      <c r="A101">
        <v>5100</v>
      </c>
      <c r="B101">
        <v>4</v>
      </c>
      <c r="C101">
        <v>70</v>
      </c>
      <c r="D101" t="s">
        <v>120</v>
      </c>
      <c r="E101" s="1">
        <v>46119</v>
      </c>
      <c r="F101" s="1">
        <v>46137</v>
      </c>
      <c r="G101" s="1">
        <v>46147</v>
      </c>
      <c r="H101">
        <v>546</v>
      </c>
      <c r="I101">
        <v>530</v>
      </c>
      <c r="J101">
        <v>92.49</v>
      </c>
      <c r="K101" t="s">
        <v>464</v>
      </c>
      <c r="L101">
        <f t="shared" si="3"/>
        <v>28</v>
      </c>
      <c r="M101" t="str">
        <f>_xlfn.XLOOKUP(B101,suppliers!A:A,suppliers!B:B)</f>
        <v>Blue Ridge</v>
      </c>
      <c r="N101" t="str">
        <f t="shared" si="4"/>
        <v>Late</v>
      </c>
      <c r="O101">
        <f t="shared" si="5"/>
        <v>0.97</v>
      </c>
    </row>
    <row r="102" spans="1:15">
      <c r="A102">
        <v>5101</v>
      </c>
      <c r="B102">
        <v>8</v>
      </c>
      <c r="C102">
        <v>64</v>
      </c>
      <c r="D102" t="s">
        <v>119</v>
      </c>
      <c r="E102" s="1">
        <v>46080</v>
      </c>
      <c r="F102" s="1">
        <v>46104</v>
      </c>
      <c r="G102" s="1">
        <v>46115</v>
      </c>
      <c r="H102">
        <v>336</v>
      </c>
      <c r="I102">
        <v>288</v>
      </c>
      <c r="J102">
        <v>48.34</v>
      </c>
      <c r="K102" t="s">
        <v>462</v>
      </c>
      <c r="L102">
        <f t="shared" si="3"/>
        <v>35</v>
      </c>
      <c r="M102" t="str">
        <f>_xlfn.XLOOKUP(B102,suppliers!A:A,suppliers!B:B)</f>
        <v>Metro Logistics</v>
      </c>
      <c r="N102" t="str">
        <f t="shared" si="4"/>
        <v>Late</v>
      </c>
      <c r="O102">
        <f t="shared" si="5"/>
        <v>0.86</v>
      </c>
    </row>
    <row r="103" spans="1:15">
      <c r="A103">
        <v>5102</v>
      </c>
      <c r="B103">
        <v>5</v>
      </c>
      <c r="C103">
        <v>125</v>
      </c>
      <c r="D103" t="s">
        <v>118</v>
      </c>
      <c r="E103" s="1">
        <v>45994</v>
      </c>
      <c r="F103" s="1">
        <v>46021</v>
      </c>
      <c r="G103" s="1">
        <v>46032</v>
      </c>
      <c r="H103">
        <v>501</v>
      </c>
      <c r="I103">
        <v>497</v>
      </c>
      <c r="J103">
        <v>75.03</v>
      </c>
      <c r="K103" t="s">
        <v>462</v>
      </c>
      <c r="L103">
        <f t="shared" si="3"/>
        <v>38</v>
      </c>
      <c r="M103" t="str">
        <f>_xlfn.XLOOKUP(B103,suppliers!A:A,suppliers!B:B)</f>
        <v>Utah Wholesale</v>
      </c>
      <c r="N103" t="str">
        <f t="shared" si="4"/>
        <v>Late</v>
      </c>
      <c r="O103">
        <f t="shared" si="5"/>
        <v>0.99</v>
      </c>
    </row>
    <row r="104" spans="1:15">
      <c r="A104">
        <v>5103</v>
      </c>
      <c r="B104">
        <v>1</v>
      </c>
      <c r="C104">
        <v>78</v>
      </c>
      <c r="D104" t="s">
        <v>118</v>
      </c>
      <c r="E104" s="1">
        <v>46017</v>
      </c>
      <c r="F104" s="1">
        <v>46052</v>
      </c>
      <c r="G104" s="1">
        <v>46068</v>
      </c>
      <c r="H104">
        <v>571</v>
      </c>
      <c r="I104">
        <v>522</v>
      </c>
      <c r="J104">
        <v>52.24</v>
      </c>
      <c r="K104" t="s">
        <v>464</v>
      </c>
      <c r="L104">
        <f t="shared" si="3"/>
        <v>51</v>
      </c>
      <c r="M104" t="str">
        <f>_xlfn.XLOOKUP(B104,suppliers!A:A,suppliers!B:B)</f>
        <v>Acme Supply</v>
      </c>
      <c r="N104" t="str">
        <f t="shared" si="4"/>
        <v>Late</v>
      </c>
      <c r="O104">
        <f t="shared" si="5"/>
        <v>0.91</v>
      </c>
    </row>
    <row r="105" spans="1:15">
      <c r="A105">
        <v>5104</v>
      </c>
      <c r="B105">
        <v>7</v>
      </c>
      <c r="C105">
        <v>60</v>
      </c>
      <c r="D105" t="s">
        <v>119</v>
      </c>
      <c r="E105" s="1">
        <v>46047</v>
      </c>
      <c r="F105" s="1">
        <v>46073</v>
      </c>
      <c r="G105" s="1">
        <v>46078</v>
      </c>
      <c r="H105">
        <v>804</v>
      </c>
      <c r="I105">
        <v>761</v>
      </c>
      <c r="J105">
        <v>129.28</v>
      </c>
      <c r="K105" t="s">
        <v>463</v>
      </c>
      <c r="L105">
        <f t="shared" si="3"/>
        <v>31</v>
      </c>
      <c r="M105" t="str">
        <f>_xlfn.XLOOKUP(B105,suppliers!A:A,suppliers!B:B)</f>
        <v>Summit Trading</v>
      </c>
      <c r="N105" t="str">
        <f t="shared" si="4"/>
        <v>Late</v>
      </c>
      <c r="O105">
        <f t="shared" si="5"/>
        <v>0.95</v>
      </c>
    </row>
    <row r="106" spans="1:15">
      <c r="A106">
        <v>5105</v>
      </c>
      <c r="B106">
        <v>2</v>
      </c>
      <c r="C106">
        <v>54</v>
      </c>
      <c r="D106" t="s">
        <v>118</v>
      </c>
      <c r="E106" s="1">
        <v>46139</v>
      </c>
      <c r="F106" s="1">
        <v>46155</v>
      </c>
      <c r="G106" s="1">
        <v>46156</v>
      </c>
      <c r="H106">
        <v>804</v>
      </c>
      <c r="I106">
        <v>794</v>
      </c>
      <c r="J106">
        <v>164.82</v>
      </c>
      <c r="K106" t="s">
        <v>464</v>
      </c>
      <c r="L106">
        <f t="shared" si="3"/>
        <v>17</v>
      </c>
      <c r="M106" t="str">
        <f>_xlfn.XLOOKUP(B106,suppliers!A:A,suppliers!B:B)</f>
        <v>Global Goods</v>
      </c>
      <c r="N106" t="str">
        <f t="shared" si="4"/>
        <v>Late</v>
      </c>
      <c r="O106">
        <f t="shared" si="5"/>
        <v>0.99</v>
      </c>
    </row>
    <row r="107" spans="1:15">
      <c r="A107">
        <v>5106</v>
      </c>
      <c r="B107">
        <v>4</v>
      </c>
      <c r="C107">
        <v>41</v>
      </c>
      <c r="D107" t="s">
        <v>117</v>
      </c>
      <c r="E107" s="1">
        <v>46076</v>
      </c>
      <c r="F107" s="1">
        <v>46116</v>
      </c>
      <c r="G107" t="s">
        <v>145</v>
      </c>
      <c r="H107">
        <v>689</v>
      </c>
      <c r="I107">
        <v>0</v>
      </c>
      <c r="J107">
        <v>131.47</v>
      </c>
      <c r="K107" t="s">
        <v>463</v>
      </c>
      <c r="L107" t="str">
        <f t="shared" si="3"/>
        <v/>
      </c>
      <c r="M107" t="str">
        <f>_xlfn.XLOOKUP(B107,suppliers!A:A,suppliers!B:B)</f>
        <v>Blue Ridge</v>
      </c>
      <c r="N107" t="str">
        <f t="shared" si="4"/>
        <v>Late</v>
      </c>
      <c r="O107">
        <f t="shared" si="5"/>
        <v>0</v>
      </c>
    </row>
    <row r="108" spans="1:15">
      <c r="A108">
        <v>5107</v>
      </c>
      <c r="B108">
        <v>1</v>
      </c>
      <c r="C108">
        <v>59</v>
      </c>
      <c r="D108" t="s">
        <v>118</v>
      </c>
      <c r="E108" s="1">
        <v>46060</v>
      </c>
      <c r="F108" s="1">
        <v>46097</v>
      </c>
      <c r="G108" t="s">
        <v>145</v>
      </c>
      <c r="H108">
        <v>874</v>
      </c>
      <c r="I108">
        <v>0</v>
      </c>
      <c r="J108">
        <v>157.69</v>
      </c>
      <c r="K108" t="s">
        <v>463</v>
      </c>
      <c r="L108" t="str">
        <f t="shared" si="3"/>
        <v/>
      </c>
      <c r="M108" t="str">
        <f>_xlfn.XLOOKUP(B108,suppliers!A:A,suppliers!B:B)</f>
        <v>Acme Supply</v>
      </c>
      <c r="N108" t="str">
        <f t="shared" si="4"/>
        <v>Late</v>
      </c>
      <c r="O108">
        <f t="shared" si="5"/>
        <v>0</v>
      </c>
    </row>
    <row r="109" spans="1:15">
      <c r="A109">
        <v>5108</v>
      </c>
      <c r="B109">
        <v>6</v>
      </c>
      <c r="C109">
        <v>86</v>
      </c>
      <c r="D109" t="s">
        <v>117</v>
      </c>
      <c r="E109" s="1">
        <v>46083</v>
      </c>
      <c r="F109" s="1">
        <v>46110</v>
      </c>
      <c r="G109" s="1">
        <v>46118</v>
      </c>
      <c r="H109">
        <v>596</v>
      </c>
      <c r="I109">
        <v>596</v>
      </c>
      <c r="J109">
        <v>130.83000000000001</v>
      </c>
      <c r="K109" t="s">
        <v>462</v>
      </c>
      <c r="L109">
        <f t="shared" si="3"/>
        <v>35</v>
      </c>
      <c r="M109" t="str">
        <f>_xlfn.XLOOKUP(B109,suppliers!A:A,suppliers!B:B)</f>
        <v>Evergreen Imports</v>
      </c>
      <c r="N109" t="str">
        <f t="shared" si="4"/>
        <v>Late</v>
      </c>
      <c r="O109">
        <f t="shared" si="5"/>
        <v>1</v>
      </c>
    </row>
    <row r="110" spans="1:15">
      <c r="A110">
        <v>5109</v>
      </c>
      <c r="B110">
        <v>3</v>
      </c>
      <c r="C110">
        <v>15</v>
      </c>
      <c r="D110" t="s">
        <v>119</v>
      </c>
      <c r="E110" s="1">
        <v>46097</v>
      </c>
      <c r="F110" s="1">
        <v>46126</v>
      </c>
      <c r="G110" s="1">
        <v>46125</v>
      </c>
      <c r="H110">
        <v>487</v>
      </c>
      <c r="I110">
        <v>442</v>
      </c>
      <c r="J110">
        <v>184.88</v>
      </c>
      <c r="K110" t="s">
        <v>462</v>
      </c>
      <c r="L110">
        <f t="shared" si="3"/>
        <v>28</v>
      </c>
      <c r="M110" t="str">
        <f>_xlfn.XLOOKUP(B110,suppliers!A:A,suppliers!B:B)</f>
        <v>PrimeSource</v>
      </c>
      <c r="N110" t="str">
        <f t="shared" si="4"/>
        <v>On time</v>
      </c>
      <c r="O110">
        <f t="shared" si="5"/>
        <v>0.91</v>
      </c>
    </row>
    <row r="111" spans="1:15">
      <c r="A111">
        <v>5110</v>
      </c>
      <c r="B111">
        <v>2</v>
      </c>
      <c r="C111">
        <v>54</v>
      </c>
      <c r="D111" t="s">
        <v>117</v>
      </c>
      <c r="E111" s="1">
        <v>46058</v>
      </c>
      <c r="F111" s="1">
        <v>46083</v>
      </c>
      <c r="G111" s="1">
        <v>46078</v>
      </c>
      <c r="H111">
        <v>349</v>
      </c>
      <c r="I111">
        <v>329</v>
      </c>
      <c r="J111">
        <v>166.86</v>
      </c>
      <c r="K111" t="s">
        <v>464</v>
      </c>
      <c r="L111">
        <f t="shared" si="3"/>
        <v>20</v>
      </c>
      <c r="M111" t="str">
        <f>_xlfn.XLOOKUP(B111,suppliers!A:A,suppliers!B:B)</f>
        <v>Global Goods</v>
      </c>
      <c r="N111" t="str">
        <f t="shared" si="4"/>
        <v>On time</v>
      </c>
      <c r="O111">
        <f t="shared" si="5"/>
        <v>0.94</v>
      </c>
    </row>
    <row r="112" spans="1:15">
      <c r="A112">
        <v>5111</v>
      </c>
      <c r="B112">
        <v>4</v>
      </c>
      <c r="C112">
        <v>144</v>
      </c>
      <c r="D112" t="s">
        <v>119</v>
      </c>
      <c r="E112" s="1">
        <v>46044</v>
      </c>
      <c r="F112" s="1">
        <v>46064</v>
      </c>
      <c r="G112" s="1">
        <v>46073</v>
      </c>
      <c r="H112">
        <v>896</v>
      </c>
      <c r="I112">
        <v>881</v>
      </c>
      <c r="J112">
        <v>9.64</v>
      </c>
      <c r="K112" t="s">
        <v>462</v>
      </c>
      <c r="L112">
        <f t="shared" si="3"/>
        <v>29</v>
      </c>
      <c r="M112" t="str">
        <f>_xlfn.XLOOKUP(B112,suppliers!A:A,suppliers!B:B)</f>
        <v>Blue Ridge</v>
      </c>
      <c r="N112" t="str">
        <f t="shared" si="4"/>
        <v>Late</v>
      </c>
      <c r="O112">
        <f t="shared" si="5"/>
        <v>0.98</v>
      </c>
    </row>
    <row r="113" spans="1:15">
      <c r="A113">
        <v>5112</v>
      </c>
      <c r="B113">
        <v>5</v>
      </c>
      <c r="C113">
        <v>84</v>
      </c>
      <c r="D113" t="s">
        <v>117</v>
      </c>
      <c r="E113" s="1">
        <v>46115</v>
      </c>
      <c r="F113" s="1">
        <v>46159</v>
      </c>
      <c r="G113" s="1">
        <v>46155</v>
      </c>
      <c r="H113">
        <v>819</v>
      </c>
      <c r="I113">
        <v>804</v>
      </c>
      <c r="J113">
        <v>150.51</v>
      </c>
      <c r="K113" t="s">
        <v>463</v>
      </c>
      <c r="L113">
        <f t="shared" si="3"/>
        <v>40</v>
      </c>
      <c r="M113" t="str">
        <f>_xlfn.XLOOKUP(B113,suppliers!A:A,suppliers!B:B)</f>
        <v>Utah Wholesale</v>
      </c>
      <c r="N113" t="str">
        <f t="shared" si="4"/>
        <v>On time</v>
      </c>
      <c r="O113">
        <f t="shared" si="5"/>
        <v>0.98</v>
      </c>
    </row>
    <row r="114" spans="1:15">
      <c r="A114">
        <v>5113</v>
      </c>
      <c r="B114">
        <v>6</v>
      </c>
      <c r="C114">
        <v>97</v>
      </c>
      <c r="D114" t="s">
        <v>117</v>
      </c>
      <c r="E114" s="1">
        <v>46008</v>
      </c>
      <c r="F114" s="1">
        <v>46021</v>
      </c>
      <c r="G114" s="1">
        <v>46026</v>
      </c>
      <c r="H114">
        <v>302</v>
      </c>
      <c r="I114">
        <v>284</v>
      </c>
      <c r="J114">
        <v>8.94</v>
      </c>
      <c r="K114" t="s">
        <v>464</v>
      </c>
      <c r="L114">
        <f t="shared" si="3"/>
        <v>18</v>
      </c>
      <c r="M114" t="str">
        <f>_xlfn.XLOOKUP(B114,suppliers!A:A,suppliers!B:B)</f>
        <v>Evergreen Imports</v>
      </c>
      <c r="N114" t="str">
        <f t="shared" si="4"/>
        <v>Late</v>
      </c>
      <c r="O114">
        <f t="shared" si="5"/>
        <v>0.94</v>
      </c>
    </row>
    <row r="115" spans="1:15">
      <c r="A115">
        <v>5114</v>
      </c>
      <c r="B115">
        <v>6</v>
      </c>
      <c r="C115">
        <v>121</v>
      </c>
      <c r="D115" t="s">
        <v>118</v>
      </c>
      <c r="E115" s="1">
        <v>46027</v>
      </c>
      <c r="F115" s="1">
        <v>46038</v>
      </c>
      <c r="G115" s="1">
        <v>46057</v>
      </c>
      <c r="H115">
        <v>770</v>
      </c>
      <c r="I115">
        <v>761</v>
      </c>
      <c r="J115">
        <v>55.61</v>
      </c>
      <c r="K115" t="s">
        <v>464</v>
      </c>
      <c r="L115">
        <f t="shared" si="3"/>
        <v>30</v>
      </c>
      <c r="M115" t="str">
        <f>_xlfn.XLOOKUP(B115,suppliers!A:A,suppliers!B:B)</f>
        <v>Evergreen Imports</v>
      </c>
      <c r="N115" t="str">
        <f t="shared" si="4"/>
        <v>Late</v>
      </c>
      <c r="O115">
        <f t="shared" si="5"/>
        <v>0.99</v>
      </c>
    </row>
    <row r="116" spans="1:15">
      <c r="A116">
        <v>5115</v>
      </c>
      <c r="B116">
        <v>6</v>
      </c>
      <c r="C116">
        <v>77</v>
      </c>
      <c r="D116" t="s">
        <v>121</v>
      </c>
      <c r="E116" s="1">
        <v>46139</v>
      </c>
      <c r="F116" s="1">
        <v>46158</v>
      </c>
      <c r="G116" s="1">
        <v>46167</v>
      </c>
      <c r="H116">
        <v>271</v>
      </c>
      <c r="I116">
        <v>223</v>
      </c>
      <c r="J116">
        <v>93.4</v>
      </c>
      <c r="K116" t="s">
        <v>463</v>
      </c>
      <c r="L116">
        <f t="shared" si="3"/>
        <v>28</v>
      </c>
      <c r="M116" t="str">
        <f>_xlfn.XLOOKUP(B116,suppliers!A:A,suppliers!B:B)</f>
        <v>Evergreen Imports</v>
      </c>
      <c r="N116" t="str">
        <f t="shared" si="4"/>
        <v>Late</v>
      </c>
      <c r="O116">
        <f t="shared" si="5"/>
        <v>0.82</v>
      </c>
    </row>
    <row r="117" spans="1:15">
      <c r="A117">
        <v>5116</v>
      </c>
      <c r="B117">
        <v>5</v>
      </c>
      <c r="C117">
        <v>143</v>
      </c>
      <c r="D117" t="s">
        <v>122</v>
      </c>
      <c r="E117" s="1">
        <v>46128</v>
      </c>
      <c r="F117" s="1">
        <v>46153</v>
      </c>
      <c r="G117" s="1">
        <v>46152</v>
      </c>
      <c r="H117">
        <v>810</v>
      </c>
      <c r="I117">
        <v>787</v>
      </c>
      <c r="J117">
        <v>47.04</v>
      </c>
      <c r="K117" t="s">
        <v>462</v>
      </c>
      <c r="L117">
        <f t="shared" si="3"/>
        <v>24</v>
      </c>
      <c r="M117" t="str">
        <f>_xlfn.XLOOKUP(B117,suppliers!A:A,suppliers!B:B)</f>
        <v>Utah Wholesale</v>
      </c>
      <c r="N117" t="str">
        <f t="shared" si="4"/>
        <v>On time</v>
      </c>
      <c r="O117">
        <f t="shared" si="5"/>
        <v>0.97</v>
      </c>
    </row>
    <row r="118" spans="1:15">
      <c r="A118">
        <v>5117</v>
      </c>
      <c r="B118">
        <v>3</v>
      </c>
      <c r="C118">
        <v>55</v>
      </c>
      <c r="D118" t="s">
        <v>120</v>
      </c>
      <c r="E118" s="1">
        <v>46040</v>
      </c>
      <c r="F118" s="1">
        <v>46067</v>
      </c>
      <c r="G118" s="1">
        <v>46076</v>
      </c>
      <c r="H118">
        <v>390</v>
      </c>
      <c r="I118">
        <v>374</v>
      </c>
      <c r="J118">
        <v>12.51</v>
      </c>
      <c r="K118" t="s">
        <v>464</v>
      </c>
      <c r="L118">
        <f t="shared" si="3"/>
        <v>36</v>
      </c>
      <c r="M118" t="str">
        <f>_xlfn.XLOOKUP(B118,suppliers!A:A,suppliers!B:B)</f>
        <v>PrimeSource</v>
      </c>
      <c r="N118" t="str">
        <f t="shared" si="4"/>
        <v>Late</v>
      </c>
      <c r="O118">
        <f t="shared" si="5"/>
        <v>0.96</v>
      </c>
    </row>
    <row r="119" spans="1:15">
      <c r="A119">
        <v>5118</v>
      </c>
      <c r="B119">
        <v>5</v>
      </c>
      <c r="C119">
        <v>6</v>
      </c>
      <c r="D119" t="s">
        <v>119</v>
      </c>
      <c r="E119" s="1">
        <v>46028</v>
      </c>
      <c r="F119" s="1">
        <v>46042</v>
      </c>
      <c r="G119" s="1">
        <v>46050</v>
      </c>
      <c r="H119">
        <v>425</v>
      </c>
      <c r="I119">
        <v>392</v>
      </c>
      <c r="J119">
        <v>25.71</v>
      </c>
      <c r="K119" t="s">
        <v>464</v>
      </c>
      <c r="L119">
        <f t="shared" si="3"/>
        <v>22</v>
      </c>
      <c r="M119" t="str">
        <f>_xlfn.XLOOKUP(B119,suppliers!A:A,suppliers!B:B)</f>
        <v>Utah Wholesale</v>
      </c>
      <c r="N119" t="str">
        <f t="shared" si="4"/>
        <v>Late</v>
      </c>
      <c r="O119">
        <f t="shared" si="5"/>
        <v>0.92</v>
      </c>
    </row>
    <row r="120" spans="1:15">
      <c r="A120">
        <v>5119</v>
      </c>
      <c r="B120">
        <v>5</v>
      </c>
      <c r="C120">
        <v>132</v>
      </c>
      <c r="D120" t="s">
        <v>122</v>
      </c>
      <c r="E120" s="1">
        <v>46088</v>
      </c>
      <c r="F120" s="1">
        <v>46096</v>
      </c>
      <c r="G120" s="1">
        <v>46092</v>
      </c>
      <c r="H120">
        <v>536</v>
      </c>
      <c r="I120">
        <v>486</v>
      </c>
      <c r="J120">
        <v>18.52</v>
      </c>
      <c r="K120" t="s">
        <v>464</v>
      </c>
      <c r="L120">
        <f t="shared" si="3"/>
        <v>4</v>
      </c>
      <c r="M120" t="str">
        <f>_xlfn.XLOOKUP(B120,suppliers!A:A,suppliers!B:B)</f>
        <v>Utah Wholesale</v>
      </c>
      <c r="N120" t="str">
        <f t="shared" si="4"/>
        <v>On time</v>
      </c>
      <c r="O120">
        <f t="shared" si="5"/>
        <v>0.91</v>
      </c>
    </row>
    <row r="121" spans="1:15">
      <c r="A121">
        <v>5120</v>
      </c>
      <c r="B121">
        <v>2</v>
      </c>
      <c r="C121">
        <v>126</v>
      </c>
      <c r="D121" t="s">
        <v>119</v>
      </c>
      <c r="E121" s="1">
        <v>46065</v>
      </c>
      <c r="F121" s="1">
        <v>46108</v>
      </c>
      <c r="G121" s="1">
        <v>46105</v>
      </c>
      <c r="H121">
        <v>772</v>
      </c>
      <c r="I121">
        <v>737</v>
      </c>
      <c r="J121">
        <v>91.99</v>
      </c>
      <c r="K121" t="s">
        <v>464</v>
      </c>
      <c r="L121">
        <f t="shared" si="3"/>
        <v>40</v>
      </c>
      <c r="M121" t="str">
        <f>_xlfn.XLOOKUP(B121,suppliers!A:A,suppliers!B:B)</f>
        <v>Global Goods</v>
      </c>
      <c r="N121" t="str">
        <f t="shared" si="4"/>
        <v>On time</v>
      </c>
      <c r="O121">
        <f t="shared" si="5"/>
        <v>0.95</v>
      </c>
    </row>
    <row r="122" spans="1:15">
      <c r="A122">
        <v>5121</v>
      </c>
      <c r="B122">
        <v>8</v>
      </c>
      <c r="C122">
        <v>137</v>
      </c>
      <c r="D122" t="s">
        <v>118</v>
      </c>
      <c r="E122" s="1">
        <v>46033</v>
      </c>
      <c r="F122" s="1">
        <v>46072</v>
      </c>
      <c r="G122" s="1">
        <v>46069</v>
      </c>
      <c r="H122">
        <v>607</v>
      </c>
      <c r="I122">
        <v>559</v>
      </c>
      <c r="J122">
        <v>44.81</v>
      </c>
      <c r="K122" t="s">
        <v>464</v>
      </c>
      <c r="L122">
        <f t="shared" si="3"/>
        <v>36</v>
      </c>
      <c r="M122" t="str">
        <f>_xlfn.XLOOKUP(B122,suppliers!A:A,suppliers!B:B)</f>
        <v>Metro Logistics</v>
      </c>
      <c r="N122" t="str">
        <f t="shared" si="4"/>
        <v>On time</v>
      </c>
      <c r="O122">
        <f t="shared" si="5"/>
        <v>0.92</v>
      </c>
    </row>
    <row r="123" spans="1:15">
      <c r="A123">
        <v>5122</v>
      </c>
      <c r="B123">
        <v>7</v>
      </c>
      <c r="C123">
        <v>111</v>
      </c>
      <c r="D123" t="s">
        <v>119</v>
      </c>
      <c r="E123" s="1">
        <v>46063</v>
      </c>
      <c r="F123" s="1">
        <v>46099</v>
      </c>
      <c r="G123" s="1">
        <v>46117</v>
      </c>
      <c r="H123">
        <v>175</v>
      </c>
      <c r="I123">
        <v>164</v>
      </c>
      <c r="J123">
        <v>189.74</v>
      </c>
      <c r="K123" t="s">
        <v>464</v>
      </c>
      <c r="L123">
        <f t="shared" si="3"/>
        <v>54</v>
      </c>
      <c r="M123" t="str">
        <f>_xlfn.XLOOKUP(B123,suppliers!A:A,suppliers!B:B)</f>
        <v>Summit Trading</v>
      </c>
      <c r="N123" t="str">
        <f t="shared" si="4"/>
        <v>Late</v>
      </c>
      <c r="O123">
        <f t="shared" si="5"/>
        <v>0.94</v>
      </c>
    </row>
    <row r="124" spans="1:15">
      <c r="A124">
        <v>5123</v>
      </c>
      <c r="B124">
        <v>3</v>
      </c>
      <c r="C124">
        <v>87</v>
      </c>
      <c r="D124" t="s">
        <v>119</v>
      </c>
      <c r="E124" s="1">
        <v>46109</v>
      </c>
      <c r="F124" s="1">
        <v>46149</v>
      </c>
      <c r="G124" s="1">
        <v>46167</v>
      </c>
      <c r="H124">
        <v>859</v>
      </c>
      <c r="I124">
        <v>834</v>
      </c>
      <c r="J124">
        <v>38.6</v>
      </c>
      <c r="K124" t="s">
        <v>464</v>
      </c>
      <c r="L124">
        <f t="shared" si="3"/>
        <v>58</v>
      </c>
      <c r="M124" t="str">
        <f>_xlfn.XLOOKUP(B124,suppliers!A:A,suppliers!B:B)</f>
        <v>PrimeSource</v>
      </c>
      <c r="N124" t="str">
        <f t="shared" si="4"/>
        <v>Late</v>
      </c>
      <c r="O124">
        <f t="shared" si="5"/>
        <v>0.97</v>
      </c>
    </row>
    <row r="125" spans="1:15">
      <c r="A125">
        <v>5124</v>
      </c>
      <c r="B125">
        <v>3</v>
      </c>
      <c r="C125">
        <v>76</v>
      </c>
      <c r="D125" t="s">
        <v>120</v>
      </c>
      <c r="E125" s="1">
        <v>45994</v>
      </c>
      <c r="F125" s="1">
        <v>46025</v>
      </c>
      <c r="G125" s="1">
        <v>46027</v>
      </c>
      <c r="H125">
        <v>350</v>
      </c>
      <c r="I125">
        <v>336</v>
      </c>
      <c r="J125">
        <v>125.8</v>
      </c>
      <c r="K125" t="s">
        <v>464</v>
      </c>
      <c r="L125">
        <f t="shared" si="3"/>
        <v>33</v>
      </c>
      <c r="M125" t="str">
        <f>_xlfn.XLOOKUP(B125,suppliers!A:A,suppliers!B:B)</f>
        <v>PrimeSource</v>
      </c>
      <c r="N125" t="str">
        <f t="shared" si="4"/>
        <v>Late</v>
      </c>
      <c r="O125">
        <f t="shared" si="5"/>
        <v>0.96</v>
      </c>
    </row>
    <row r="126" spans="1:15">
      <c r="A126">
        <v>5125</v>
      </c>
      <c r="B126">
        <v>5</v>
      </c>
      <c r="C126">
        <v>84</v>
      </c>
      <c r="D126" t="s">
        <v>122</v>
      </c>
      <c r="E126" s="1">
        <v>46129</v>
      </c>
      <c r="F126" s="1">
        <v>46165</v>
      </c>
      <c r="G126" s="1">
        <v>46166</v>
      </c>
      <c r="H126">
        <v>808</v>
      </c>
      <c r="I126">
        <v>763</v>
      </c>
      <c r="J126">
        <v>159.28</v>
      </c>
      <c r="K126" t="s">
        <v>464</v>
      </c>
      <c r="L126">
        <f t="shared" si="3"/>
        <v>37</v>
      </c>
      <c r="M126" t="str">
        <f>_xlfn.XLOOKUP(B126,suppliers!A:A,suppliers!B:B)</f>
        <v>Utah Wholesale</v>
      </c>
      <c r="N126" t="str">
        <f t="shared" si="4"/>
        <v>Late</v>
      </c>
      <c r="O126">
        <f t="shared" si="5"/>
        <v>0.94</v>
      </c>
    </row>
    <row r="127" spans="1:15">
      <c r="A127">
        <v>5126</v>
      </c>
      <c r="B127">
        <v>8</v>
      </c>
      <c r="C127">
        <v>40</v>
      </c>
      <c r="D127" t="s">
        <v>119</v>
      </c>
      <c r="E127" s="1">
        <v>46041</v>
      </c>
      <c r="F127" s="1">
        <v>46057</v>
      </c>
      <c r="G127" s="1">
        <v>46057</v>
      </c>
      <c r="H127">
        <v>123</v>
      </c>
      <c r="I127">
        <v>74</v>
      </c>
      <c r="J127">
        <v>152.68</v>
      </c>
      <c r="K127" t="s">
        <v>462</v>
      </c>
      <c r="L127">
        <f t="shared" si="3"/>
        <v>16</v>
      </c>
      <c r="M127" t="str">
        <f>_xlfn.XLOOKUP(B127,suppliers!A:A,suppliers!B:B)</f>
        <v>Metro Logistics</v>
      </c>
      <c r="N127" t="str">
        <f t="shared" si="4"/>
        <v>Late</v>
      </c>
      <c r="O127">
        <f t="shared" si="5"/>
        <v>0.6</v>
      </c>
    </row>
    <row r="128" spans="1:15">
      <c r="A128">
        <v>5127</v>
      </c>
      <c r="B128">
        <v>7</v>
      </c>
      <c r="C128">
        <v>139</v>
      </c>
      <c r="D128" t="s">
        <v>118</v>
      </c>
      <c r="E128" s="1">
        <v>46082</v>
      </c>
      <c r="F128" s="1">
        <v>46093</v>
      </c>
      <c r="G128" s="1">
        <v>46098</v>
      </c>
      <c r="H128">
        <v>970</v>
      </c>
      <c r="I128">
        <v>958</v>
      </c>
      <c r="J128">
        <v>72.569999999999993</v>
      </c>
      <c r="K128" t="s">
        <v>463</v>
      </c>
      <c r="L128">
        <f t="shared" si="3"/>
        <v>16</v>
      </c>
      <c r="M128" t="str">
        <f>_xlfn.XLOOKUP(B128,suppliers!A:A,suppliers!B:B)</f>
        <v>Summit Trading</v>
      </c>
      <c r="N128" t="str">
        <f t="shared" si="4"/>
        <v>Late</v>
      </c>
      <c r="O128">
        <f t="shared" si="5"/>
        <v>0.99</v>
      </c>
    </row>
    <row r="129" spans="1:15">
      <c r="A129">
        <v>5128</v>
      </c>
      <c r="B129">
        <v>6</v>
      </c>
      <c r="C129">
        <v>42</v>
      </c>
      <c r="D129" t="s">
        <v>118</v>
      </c>
      <c r="E129" s="1">
        <v>46101</v>
      </c>
      <c r="F129" s="1">
        <v>46125</v>
      </c>
      <c r="G129" s="1">
        <v>46126</v>
      </c>
      <c r="H129">
        <v>810</v>
      </c>
      <c r="I129">
        <v>782</v>
      </c>
      <c r="J129">
        <v>105.52</v>
      </c>
      <c r="K129" t="s">
        <v>464</v>
      </c>
      <c r="L129">
        <f t="shared" si="3"/>
        <v>25</v>
      </c>
      <c r="M129" t="str">
        <f>_xlfn.XLOOKUP(B129,suppliers!A:A,suppliers!B:B)</f>
        <v>Evergreen Imports</v>
      </c>
      <c r="N129" t="str">
        <f t="shared" si="4"/>
        <v>Late</v>
      </c>
      <c r="O129">
        <f t="shared" si="5"/>
        <v>0.97</v>
      </c>
    </row>
    <row r="130" spans="1:15">
      <c r="A130">
        <v>5129</v>
      </c>
      <c r="B130">
        <v>6</v>
      </c>
      <c r="C130">
        <v>97</v>
      </c>
      <c r="D130" t="s">
        <v>117</v>
      </c>
      <c r="E130" s="1">
        <v>45999</v>
      </c>
      <c r="F130" s="1">
        <v>46034</v>
      </c>
      <c r="G130" s="1">
        <v>46052</v>
      </c>
      <c r="H130">
        <v>233</v>
      </c>
      <c r="I130">
        <v>205</v>
      </c>
      <c r="J130">
        <v>8.41</v>
      </c>
      <c r="K130" t="s">
        <v>462</v>
      </c>
      <c r="L130">
        <f t="shared" si="3"/>
        <v>53</v>
      </c>
      <c r="M130" t="str">
        <f>_xlfn.XLOOKUP(B130,suppliers!A:A,suppliers!B:B)</f>
        <v>Evergreen Imports</v>
      </c>
      <c r="N130" t="str">
        <f t="shared" si="4"/>
        <v>Late</v>
      </c>
      <c r="O130">
        <f t="shared" si="5"/>
        <v>0.88</v>
      </c>
    </row>
    <row r="131" spans="1:15">
      <c r="A131">
        <v>5130</v>
      </c>
      <c r="B131">
        <v>3</v>
      </c>
      <c r="C131">
        <v>51</v>
      </c>
      <c r="D131" t="s">
        <v>121</v>
      </c>
      <c r="E131" s="1">
        <v>46045</v>
      </c>
      <c r="F131" s="1">
        <v>46076</v>
      </c>
      <c r="G131" s="1">
        <v>46074</v>
      </c>
      <c r="H131">
        <v>115</v>
      </c>
      <c r="I131">
        <v>78</v>
      </c>
      <c r="J131">
        <v>71.03</v>
      </c>
      <c r="K131" t="s">
        <v>464</v>
      </c>
      <c r="L131">
        <f t="shared" ref="L131:L194" si="6">IFERROR(G131-E131,"")</f>
        <v>29</v>
      </c>
      <c r="M131" t="str">
        <f>_xlfn.XLOOKUP(B131,suppliers!A:A,suppliers!B:B)</f>
        <v>PrimeSource</v>
      </c>
      <c r="N131" t="str">
        <f t="shared" ref="N131:N194" si="7">IF(G131&lt;F131,"On time","Late")</f>
        <v>On time</v>
      </c>
      <c r="O131">
        <f t="shared" ref="O131:O194" si="8">ROUND(I131/H131,2)</f>
        <v>0.68</v>
      </c>
    </row>
    <row r="132" spans="1:15">
      <c r="A132">
        <v>5131</v>
      </c>
      <c r="B132">
        <v>8</v>
      </c>
      <c r="C132">
        <v>32</v>
      </c>
      <c r="D132" t="s">
        <v>122</v>
      </c>
      <c r="E132" s="1">
        <v>46034</v>
      </c>
      <c r="F132" s="1">
        <v>46054</v>
      </c>
      <c r="G132" s="1">
        <v>46064</v>
      </c>
      <c r="H132">
        <v>778</v>
      </c>
      <c r="I132">
        <v>752</v>
      </c>
      <c r="J132">
        <v>108.51</v>
      </c>
      <c r="K132" t="s">
        <v>462</v>
      </c>
      <c r="L132">
        <f t="shared" si="6"/>
        <v>30</v>
      </c>
      <c r="M132" t="str">
        <f>_xlfn.XLOOKUP(B132,suppliers!A:A,suppliers!B:B)</f>
        <v>Metro Logistics</v>
      </c>
      <c r="N132" t="str">
        <f t="shared" si="7"/>
        <v>Late</v>
      </c>
      <c r="O132">
        <f t="shared" si="8"/>
        <v>0.97</v>
      </c>
    </row>
    <row r="133" spans="1:15">
      <c r="A133">
        <v>5132</v>
      </c>
      <c r="B133">
        <v>2</v>
      </c>
      <c r="C133">
        <v>54</v>
      </c>
      <c r="D133" t="s">
        <v>117</v>
      </c>
      <c r="E133" s="1">
        <v>46016</v>
      </c>
      <c r="F133" s="1">
        <v>46055</v>
      </c>
      <c r="G133" s="1">
        <v>46058</v>
      </c>
      <c r="H133">
        <v>540</v>
      </c>
      <c r="I133">
        <v>539</v>
      </c>
      <c r="J133">
        <v>146.24</v>
      </c>
      <c r="K133" t="s">
        <v>464</v>
      </c>
      <c r="L133">
        <f t="shared" si="6"/>
        <v>42</v>
      </c>
      <c r="M133" t="str">
        <f>_xlfn.XLOOKUP(B133,suppliers!A:A,suppliers!B:B)</f>
        <v>Global Goods</v>
      </c>
      <c r="N133" t="str">
        <f t="shared" si="7"/>
        <v>Late</v>
      </c>
      <c r="O133">
        <f t="shared" si="8"/>
        <v>1</v>
      </c>
    </row>
    <row r="134" spans="1:15">
      <c r="A134">
        <v>5133</v>
      </c>
      <c r="B134">
        <v>4</v>
      </c>
      <c r="C134">
        <v>98</v>
      </c>
      <c r="D134" t="s">
        <v>120</v>
      </c>
      <c r="E134" s="1">
        <v>46100</v>
      </c>
      <c r="F134" s="1">
        <v>46132</v>
      </c>
      <c r="G134" t="s">
        <v>145</v>
      </c>
      <c r="H134">
        <v>122</v>
      </c>
      <c r="I134">
        <v>0</v>
      </c>
      <c r="J134">
        <v>135.88</v>
      </c>
      <c r="K134" t="s">
        <v>464</v>
      </c>
      <c r="L134" t="str">
        <f t="shared" si="6"/>
        <v/>
      </c>
      <c r="M134" t="str">
        <f>_xlfn.XLOOKUP(B134,suppliers!A:A,suppliers!B:B)</f>
        <v>Blue Ridge</v>
      </c>
      <c r="N134" t="str">
        <f t="shared" si="7"/>
        <v>Late</v>
      </c>
      <c r="O134">
        <f t="shared" si="8"/>
        <v>0</v>
      </c>
    </row>
    <row r="135" spans="1:15">
      <c r="A135">
        <v>5134</v>
      </c>
      <c r="B135">
        <v>1</v>
      </c>
      <c r="C135">
        <v>112</v>
      </c>
      <c r="D135" t="s">
        <v>117</v>
      </c>
      <c r="E135" s="1">
        <v>46069</v>
      </c>
      <c r="F135" s="1">
        <v>46090</v>
      </c>
      <c r="G135" t="s">
        <v>145</v>
      </c>
      <c r="H135">
        <v>106</v>
      </c>
      <c r="I135">
        <v>0</v>
      </c>
      <c r="J135">
        <v>131.03</v>
      </c>
      <c r="K135" t="s">
        <v>462</v>
      </c>
      <c r="L135" t="str">
        <f t="shared" si="6"/>
        <v/>
      </c>
      <c r="M135" t="str">
        <f>_xlfn.XLOOKUP(B135,suppliers!A:A,suppliers!B:B)</f>
        <v>Acme Supply</v>
      </c>
      <c r="N135" t="str">
        <f t="shared" si="7"/>
        <v>Late</v>
      </c>
      <c r="O135">
        <f t="shared" si="8"/>
        <v>0</v>
      </c>
    </row>
    <row r="136" spans="1:15">
      <c r="A136">
        <v>5135</v>
      </c>
      <c r="B136">
        <v>6</v>
      </c>
      <c r="C136">
        <v>5</v>
      </c>
      <c r="D136" t="s">
        <v>118</v>
      </c>
      <c r="E136" s="1">
        <v>46063</v>
      </c>
      <c r="F136" s="1">
        <v>46090</v>
      </c>
      <c r="G136" s="1">
        <v>46092</v>
      </c>
      <c r="H136">
        <v>201</v>
      </c>
      <c r="I136">
        <v>168</v>
      </c>
      <c r="J136">
        <v>69.430000000000007</v>
      </c>
      <c r="K136" t="s">
        <v>462</v>
      </c>
      <c r="L136">
        <f t="shared" si="6"/>
        <v>29</v>
      </c>
      <c r="M136" t="str">
        <f>_xlfn.XLOOKUP(B136,suppliers!A:A,suppliers!B:B)</f>
        <v>Evergreen Imports</v>
      </c>
      <c r="N136" t="str">
        <f t="shared" si="7"/>
        <v>Late</v>
      </c>
      <c r="O136">
        <f t="shared" si="8"/>
        <v>0.84</v>
      </c>
    </row>
    <row r="137" spans="1:15">
      <c r="A137">
        <v>5136</v>
      </c>
      <c r="B137">
        <v>4</v>
      </c>
      <c r="C137">
        <v>36</v>
      </c>
      <c r="D137" t="s">
        <v>120</v>
      </c>
      <c r="E137" s="1">
        <v>46113</v>
      </c>
      <c r="F137" s="1">
        <v>46122</v>
      </c>
      <c r="G137" s="1">
        <v>46142</v>
      </c>
      <c r="H137">
        <v>234</v>
      </c>
      <c r="I137">
        <v>211</v>
      </c>
      <c r="J137">
        <v>94.32</v>
      </c>
      <c r="K137" t="s">
        <v>464</v>
      </c>
      <c r="L137">
        <f t="shared" si="6"/>
        <v>29</v>
      </c>
      <c r="M137" t="str">
        <f>_xlfn.XLOOKUP(B137,suppliers!A:A,suppliers!B:B)</f>
        <v>Blue Ridge</v>
      </c>
      <c r="N137" t="str">
        <f t="shared" si="7"/>
        <v>Late</v>
      </c>
      <c r="O137">
        <f t="shared" si="8"/>
        <v>0.9</v>
      </c>
    </row>
    <row r="138" spans="1:15">
      <c r="A138">
        <v>5137</v>
      </c>
      <c r="B138">
        <v>5</v>
      </c>
      <c r="C138">
        <v>107</v>
      </c>
      <c r="D138" t="s">
        <v>118</v>
      </c>
      <c r="E138" s="1">
        <v>46033</v>
      </c>
      <c r="F138" s="1">
        <v>46066</v>
      </c>
      <c r="G138" s="1">
        <v>46077</v>
      </c>
      <c r="H138">
        <v>175</v>
      </c>
      <c r="I138">
        <v>152</v>
      </c>
      <c r="J138">
        <v>93.15</v>
      </c>
      <c r="K138" t="s">
        <v>464</v>
      </c>
      <c r="L138">
        <f t="shared" si="6"/>
        <v>44</v>
      </c>
      <c r="M138" t="str">
        <f>_xlfn.XLOOKUP(B138,suppliers!A:A,suppliers!B:B)</f>
        <v>Utah Wholesale</v>
      </c>
      <c r="N138" t="str">
        <f t="shared" si="7"/>
        <v>Late</v>
      </c>
      <c r="O138">
        <f t="shared" si="8"/>
        <v>0.87</v>
      </c>
    </row>
    <row r="139" spans="1:15">
      <c r="A139">
        <v>5138</v>
      </c>
      <c r="B139">
        <v>6</v>
      </c>
      <c r="C139">
        <v>42</v>
      </c>
      <c r="D139" t="s">
        <v>120</v>
      </c>
      <c r="E139" s="1">
        <v>46000</v>
      </c>
      <c r="F139" s="1">
        <v>46038</v>
      </c>
      <c r="G139" s="1">
        <v>46045</v>
      </c>
      <c r="H139">
        <v>660</v>
      </c>
      <c r="I139">
        <v>621</v>
      </c>
      <c r="J139">
        <v>106.28</v>
      </c>
      <c r="K139" t="s">
        <v>463</v>
      </c>
      <c r="L139">
        <f t="shared" si="6"/>
        <v>45</v>
      </c>
      <c r="M139" t="str">
        <f>_xlfn.XLOOKUP(B139,suppliers!A:A,suppliers!B:B)</f>
        <v>Evergreen Imports</v>
      </c>
      <c r="N139" t="str">
        <f t="shared" si="7"/>
        <v>Late</v>
      </c>
      <c r="O139">
        <f t="shared" si="8"/>
        <v>0.94</v>
      </c>
    </row>
    <row r="140" spans="1:15">
      <c r="A140">
        <v>5139</v>
      </c>
      <c r="B140">
        <v>4</v>
      </c>
      <c r="C140">
        <v>8</v>
      </c>
      <c r="D140" t="s">
        <v>118</v>
      </c>
      <c r="E140" s="1">
        <v>45999</v>
      </c>
      <c r="F140" s="1">
        <v>46027</v>
      </c>
      <c r="G140" s="1">
        <v>46037</v>
      </c>
      <c r="H140">
        <v>55</v>
      </c>
      <c r="I140">
        <v>29</v>
      </c>
      <c r="J140">
        <v>182.98</v>
      </c>
      <c r="K140" t="s">
        <v>464</v>
      </c>
      <c r="L140">
        <f t="shared" si="6"/>
        <v>38</v>
      </c>
      <c r="M140" t="str">
        <f>_xlfn.XLOOKUP(B140,suppliers!A:A,suppliers!B:B)</f>
        <v>Blue Ridge</v>
      </c>
      <c r="N140" t="str">
        <f t="shared" si="7"/>
        <v>Late</v>
      </c>
      <c r="O140">
        <f t="shared" si="8"/>
        <v>0.53</v>
      </c>
    </row>
    <row r="141" spans="1:15">
      <c r="A141">
        <v>5140</v>
      </c>
      <c r="B141">
        <v>7</v>
      </c>
      <c r="C141">
        <v>139</v>
      </c>
      <c r="D141" t="s">
        <v>122</v>
      </c>
      <c r="E141" s="1">
        <v>46089</v>
      </c>
      <c r="F141" s="1">
        <v>46134</v>
      </c>
      <c r="G141" s="1">
        <v>46134</v>
      </c>
      <c r="H141">
        <v>181</v>
      </c>
      <c r="I141">
        <v>167</v>
      </c>
      <c r="J141">
        <v>68.569999999999993</v>
      </c>
      <c r="K141" t="s">
        <v>464</v>
      </c>
      <c r="L141">
        <f t="shared" si="6"/>
        <v>45</v>
      </c>
      <c r="M141" t="str">
        <f>_xlfn.XLOOKUP(B141,suppliers!A:A,suppliers!B:B)</f>
        <v>Summit Trading</v>
      </c>
      <c r="N141" t="str">
        <f t="shared" si="7"/>
        <v>Late</v>
      </c>
      <c r="O141">
        <f t="shared" si="8"/>
        <v>0.92</v>
      </c>
    </row>
    <row r="142" spans="1:15">
      <c r="A142">
        <v>5141</v>
      </c>
      <c r="B142">
        <v>8</v>
      </c>
      <c r="C142">
        <v>108</v>
      </c>
      <c r="D142" t="s">
        <v>121</v>
      </c>
      <c r="E142" s="1">
        <v>46009</v>
      </c>
      <c r="F142" s="1">
        <v>46023</v>
      </c>
      <c r="G142" t="s">
        <v>145</v>
      </c>
      <c r="H142">
        <v>495</v>
      </c>
      <c r="I142">
        <v>0</v>
      </c>
      <c r="J142">
        <v>66.900000000000006</v>
      </c>
      <c r="K142" t="s">
        <v>462</v>
      </c>
      <c r="L142" t="str">
        <f t="shared" si="6"/>
        <v/>
      </c>
      <c r="M142" t="str">
        <f>_xlfn.XLOOKUP(B142,suppliers!A:A,suppliers!B:B)</f>
        <v>Metro Logistics</v>
      </c>
      <c r="N142" t="str">
        <f t="shared" si="7"/>
        <v>Late</v>
      </c>
      <c r="O142">
        <f t="shared" si="8"/>
        <v>0</v>
      </c>
    </row>
    <row r="143" spans="1:15">
      <c r="A143">
        <v>5142</v>
      </c>
      <c r="B143">
        <v>4</v>
      </c>
      <c r="C143">
        <v>35</v>
      </c>
      <c r="D143" t="s">
        <v>121</v>
      </c>
      <c r="E143" s="1">
        <v>45993</v>
      </c>
      <c r="F143" s="1">
        <v>46019</v>
      </c>
      <c r="G143" s="1">
        <v>46022</v>
      </c>
      <c r="H143">
        <v>151</v>
      </c>
      <c r="I143">
        <v>128</v>
      </c>
      <c r="J143">
        <v>142.07</v>
      </c>
      <c r="K143" t="s">
        <v>464</v>
      </c>
      <c r="L143">
        <f t="shared" si="6"/>
        <v>29</v>
      </c>
      <c r="M143" t="str">
        <f>_xlfn.XLOOKUP(B143,suppliers!A:A,suppliers!B:B)</f>
        <v>Blue Ridge</v>
      </c>
      <c r="N143" t="str">
        <f t="shared" si="7"/>
        <v>Late</v>
      </c>
      <c r="O143">
        <f t="shared" si="8"/>
        <v>0.85</v>
      </c>
    </row>
    <row r="144" spans="1:15">
      <c r="A144">
        <v>5143</v>
      </c>
      <c r="B144">
        <v>2</v>
      </c>
      <c r="C144">
        <v>25</v>
      </c>
      <c r="D144" t="s">
        <v>121</v>
      </c>
      <c r="E144" s="1">
        <v>46115</v>
      </c>
      <c r="F144" s="1">
        <v>46153</v>
      </c>
      <c r="G144" s="1">
        <v>46166</v>
      </c>
      <c r="H144">
        <v>220</v>
      </c>
      <c r="I144">
        <v>212</v>
      </c>
      <c r="J144">
        <v>13.63</v>
      </c>
      <c r="K144" t="s">
        <v>462</v>
      </c>
      <c r="L144">
        <f t="shared" si="6"/>
        <v>51</v>
      </c>
      <c r="M144" t="str">
        <f>_xlfn.XLOOKUP(B144,suppliers!A:A,suppliers!B:B)</f>
        <v>Global Goods</v>
      </c>
      <c r="N144" t="str">
        <f t="shared" si="7"/>
        <v>Late</v>
      </c>
      <c r="O144">
        <f t="shared" si="8"/>
        <v>0.96</v>
      </c>
    </row>
    <row r="145" spans="1:15">
      <c r="A145">
        <v>5144</v>
      </c>
      <c r="B145">
        <v>3</v>
      </c>
      <c r="C145">
        <v>58</v>
      </c>
      <c r="D145" t="s">
        <v>118</v>
      </c>
      <c r="E145" s="1">
        <v>46014</v>
      </c>
      <c r="F145" s="1">
        <v>46027</v>
      </c>
      <c r="G145" s="1">
        <v>46031</v>
      </c>
      <c r="H145">
        <v>928</v>
      </c>
      <c r="I145">
        <v>914</v>
      </c>
      <c r="J145">
        <v>117.21</v>
      </c>
      <c r="K145" t="s">
        <v>463</v>
      </c>
      <c r="L145">
        <f t="shared" si="6"/>
        <v>17</v>
      </c>
      <c r="M145" t="str">
        <f>_xlfn.XLOOKUP(B145,suppliers!A:A,suppliers!B:B)</f>
        <v>PrimeSource</v>
      </c>
      <c r="N145" t="str">
        <f t="shared" si="7"/>
        <v>Late</v>
      </c>
      <c r="O145">
        <f t="shared" si="8"/>
        <v>0.98</v>
      </c>
    </row>
    <row r="146" spans="1:15">
      <c r="A146">
        <v>5145</v>
      </c>
      <c r="B146">
        <v>2</v>
      </c>
      <c r="C146">
        <v>48</v>
      </c>
      <c r="D146" t="s">
        <v>121</v>
      </c>
      <c r="E146" s="1">
        <v>46070</v>
      </c>
      <c r="F146" s="1">
        <v>46098</v>
      </c>
      <c r="G146" s="1">
        <v>46107</v>
      </c>
      <c r="H146">
        <v>704</v>
      </c>
      <c r="I146">
        <v>668</v>
      </c>
      <c r="J146">
        <v>92.55</v>
      </c>
      <c r="K146" t="s">
        <v>463</v>
      </c>
      <c r="L146">
        <f t="shared" si="6"/>
        <v>37</v>
      </c>
      <c r="M146" t="str">
        <f>_xlfn.XLOOKUP(B146,suppliers!A:A,suppliers!B:B)</f>
        <v>Global Goods</v>
      </c>
      <c r="N146" t="str">
        <f t="shared" si="7"/>
        <v>Late</v>
      </c>
      <c r="O146">
        <f t="shared" si="8"/>
        <v>0.95</v>
      </c>
    </row>
    <row r="147" spans="1:15">
      <c r="A147">
        <v>5146</v>
      </c>
      <c r="B147">
        <v>2</v>
      </c>
      <c r="C147">
        <v>34</v>
      </c>
      <c r="D147" t="s">
        <v>119</v>
      </c>
      <c r="E147" s="1">
        <v>46076</v>
      </c>
      <c r="F147" s="1">
        <v>46110</v>
      </c>
      <c r="G147" s="1">
        <v>46109</v>
      </c>
      <c r="H147">
        <v>613</v>
      </c>
      <c r="I147">
        <v>566</v>
      </c>
      <c r="J147">
        <v>99.27</v>
      </c>
      <c r="K147" t="s">
        <v>462</v>
      </c>
      <c r="L147">
        <f t="shared" si="6"/>
        <v>33</v>
      </c>
      <c r="M147" t="str">
        <f>_xlfn.XLOOKUP(B147,suppliers!A:A,suppliers!B:B)</f>
        <v>Global Goods</v>
      </c>
      <c r="N147" t="str">
        <f t="shared" si="7"/>
        <v>On time</v>
      </c>
      <c r="O147">
        <f t="shared" si="8"/>
        <v>0.92</v>
      </c>
    </row>
    <row r="148" spans="1:15">
      <c r="A148">
        <v>5147</v>
      </c>
      <c r="B148">
        <v>4</v>
      </c>
      <c r="C148">
        <v>13</v>
      </c>
      <c r="D148" t="s">
        <v>118</v>
      </c>
      <c r="E148" s="1">
        <v>46043</v>
      </c>
      <c r="F148" s="1">
        <v>46061</v>
      </c>
      <c r="G148" s="1">
        <v>46076</v>
      </c>
      <c r="H148">
        <v>54</v>
      </c>
      <c r="I148">
        <v>44</v>
      </c>
      <c r="J148">
        <v>180.58</v>
      </c>
      <c r="K148" t="s">
        <v>462</v>
      </c>
      <c r="L148">
        <f t="shared" si="6"/>
        <v>33</v>
      </c>
      <c r="M148" t="str">
        <f>_xlfn.XLOOKUP(B148,suppliers!A:A,suppliers!B:B)</f>
        <v>Blue Ridge</v>
      </c>
      <c r="N148" t="str">
        <f t="shared" si="7"/>
        <v>Late</v>
      </c>
      <c r="O148">
        <f t="shared" si="8"/>
        <v>0.81</v>
      </c>
    </row>
    <row r="149" spans="1:15">
      <c r="A149">
        <v>5148</v>
      </c>
      <c r="B149">
        <v>7</v>
      </c>
      <c r="C149">
        <v>83</v>
      </c>
      <c r="D149" t="s">
        <v>117</v>
      </c>
      <c r="E149" s="1">
        <v>45995</v>
      </c>
      <c r="F149" s="1">
        <v>46038</v>
      </c>
      <c r="G149" s="1">
        <v>46044</v>
      </c>
      <c r="H149">
        <v>212</v>
      </c>
      <c r="I149">
        <v>184</v>
      </c>
      <c r="J149">
        <v>162.61000000000001</v>
      </c>
      <c r="K149" t="s">
        <v>462</v>
      </c>
      <c r="L149">
        <f t="shared" si="6"/>
        <v>49</v>
      </c>
      <c r="M149" t="str">
        <f>_xlfn.XLOOKUP(B149,suppliers!A:A,suppliers!B:B)</f>
        <v>Summit Trading</v>
      </c>
      <c r="N149" t="str">
        <f t="shared" si="7"/>
        <v>Late</v>
      </c>
      <c r="O149">
        <f t="shared" si="8"/>
        <v>0.87</v>
      </c>
    </row>
    <row r="150" spans="1:15">
      <c r="A150">
        <v>5149</v>
      </c>
      <c r="B150">
        <v>5</v>
      </c>
      <c r="C150">
        <v>117</v>
      </c>
      <c r="D150" t="s">
        <v>121</v>
      </c>
      <c r="E150" s="1">
        <v>46060</v>
      </c>
      <c r="F150" s="1">
        <v>46101</v>
      </c>
      <c r="G150" s="1">
        <v>46119</v>
      </c>
      <c r="H150">
        <v>306</v>
      </c>
      <c r="I150">
        <v>285</v>
      </c>
      <c r="J150">
        <v>146.59</v>
      </c>
      <c r="K150" t="s">
        <v>463</v>
      </c>
      <c r="L150">
        <f t="shared" si="6"/>
        <v>59</v>
      </c>
      <c r="M150" t="str">
        <f>_xlfn.XLOOKUP(B150,suppliers!A:A,suppliers!B:B)</f>
        <v>Utah Wholesale</v>
      </c>
      <c r="N150" t="str">
        <f t="shared" si="7"/>
        <v>Late</v>
      </c>
      <c r="O150">
        <f t="shared" si="8"/>
        <v>0.93</v>
      </c>
    </row>
    <row r="151" spans="1:15">
      <c r="A151">
        <v>5150</v>
      </c>
      <c r="B151">
        <v>2</v>
      </c>
      <c r="C151">
        <v>48</v>
      </c>
      <c r="D151" t="s">
        <v>119</v>
      </c>
      <c r="E151" s="1">
        <v>46058</v>
      </c>
      <c r="F151" s="1">
        <v>46086</v>
      </c>
      <c r="G151" s="1">
        <v>46096</v>
      </c>
      <c r="H151">
        <v>810</v>
      </c>
      <c r="I151">
        <v>768</v>
      </c>
      <c r="J151">
        <v>91.13</v>
      </c>
      <c r="K151" t="s">
        <v>463</v>
      </c>
      <c r="L151">
        <f t="shared" si="6"/>
        <v>38</v>
      </c>
      <c r="M151" t="str">
        <f>_xlfn.XLOOKUP(B151,suppliers!A:A,suppliers!B:B)</f>
        <v>Global Goods</v>
      </c>
      <c r="N151" t="str">
        <f t="shared" si="7"/>
        <v>Late</v>
      </c>
      <c r="O151">
        <f t="shared" si="8"/>
        <v>0.95</v>
      </c>
    </row>
    <row r="152" spans="1:15">
      <c r="A152">
        <v>5151</v>
      </c>
      <c r="B152">
        <v>5</v>
      </c>
      <c r="C152">
        <v>133</v>
      </c>
      <c r="D152" t="s">
        <v>121</v>
      </c>
      <c r="E152" s="1">
        <v>46060</v>
      </c>
      <c r="F152" s="1">
        <v>46071</v>
      </c>
      <c r="G152" s="1">
        <v>46079</v>
      </c>
      <c r="H152">
        <v>677</v>
      </c>
      <c r="I152">
        <v>669</v>
      </c>
      <c r="J152">
        <v>107.97</v>
      </c>
      <c r="K152" t="s">
        <v>464</v>
      </c>
      <c r="L152">
        <f t="shared" si="6"/>
        <v>19</v>
      </c>
      <c r="M152" t="str">
        <f>_xlfn.XLOOKUP(B152,suppliers!A:A,suppliers!B:B)</f>
        <v>Utah Wholesale</v>
      </c>
      <c r="N152" t="str">
        <f t="shared" si="7"/>
        <v>Late</v>
      </c>
      <c r="O152">
        <f t="shared" si="8"/>
        <v>0.99</v>
      </c>
    </row>
    <row r="153" spans="1:15">
      <c r="A153">
        <v>5152</v>
      </c>
      <c r="B153">
        <v>1</v>
      </c>
      <c r="C153">
        <v>59</v>
      </c>
      <c r="D153" t="s">
        <v>122</v>
      </c>
      <c r="E153" s="1">
        <v>46110</v>
      </c>
      <c r="F153" s="1">
        <v>46124</v>
      </c>
      <c r="G153" s="1">
        <v>46141</v>
      </c>
      <c r="H153">
        <v>322</v>
      </c>
      <c r="I153">
        <v>303</v>
      </c>
      <c r="J153">
        <v>146.16999999999999</v>
      </c>
      <c r="K153" t="s">
        <v>462</v>
      </c>
      <c r="L153">
        <f t="shared" si="6"/>
        <v>31</v>
      </c>
      <c r="M153" t="str">
        <f>_xlfn.XLOOKUP(B153,suppliers!A:A,suppliers!B:B)</f>
        <v>Acme Supply</v>
      </c>
      <c r="N153" t="str">
        <f t="shared" si="7"/>
        <v>Late</v>
      </c>
      <c r="O153">
        <f t="shared" si="8"/>
        <v>0.94</v>
      </c>
    </row>
    <row r="154" spans="1:15">
      <c r="A154">
        <v>5153</v>
      </c>
      <c r="B154">
        <v>1</v>
      </c>
      <c r="C154">
        <v>112</v>
      </c>
      <c r="D154" t="s">
        <v>121</v>
      </c>
      <c r="E154" s="1">
        <v>46134</v>
      </c>
      <c r="F154" s="1">
        <v>46146</v>
      </c>
      <c r="G154" t="s">
        <v>145</v>
      </c>
      <c r="H154">
        <v>536</v>
      </c>
      <c r="I154">
        <v>0</v>
      </c>
      <c r="J154">
        <v>108.95</v>
      </c>
      <c r="K154" t="s">
        <v>462</v>
      </c>
      <c r="L154" t="str">
        <f t="shared" si="6"/>
        <v/>
      </c>
      <c r="M154" t="str">
        <f>_xlfn.XLOOKUP(B154,suppliers!A:A,suppliers!B:B)</f>
        <v>Acme Supply</v>
      </c>
      <c r="N154" t="str">
        <f t="shared" si="7"/>
        <v>Late</v>
      </c>
      <c r="O154">
        <f t="shared" si="8"/>
        <v>0</v>
      </c>
    </row>
    <row r="155" spans="1:15">
      <c r="A155">
        <v>5154</v>
      </c>
      <c r="B155">
        <v>2</v>
      </c>
      <c r="C155">
        <v>37</v>
      </c>
      <c r="D155" t="s">
        <v>118</v>
      </c>
      <c r="E155" s="1">
        <v>46049</v>
      </c>
      <c r="F155" s="1">
        <v>46057</v>
      </c>
      <c r="G155" s="1">
        <v>46075</v>
      </c>
      <c r="H155">
        <v>382</v>
      </c>
      <c r="I155">
        <v>346</v>
      </c>
      <c r="J155">
        <v>155.22</v>
      </c>
      <c r="K155" t="s">
        <v>464</v>
      </c>
      <c r="L155">
        <f t="shared" si="6"/>
        <v>26</v>
      </c>
      <c r="M155" t="str">
        <f>_xlfn.XLOOKUP(B155,suppliers!A:A,suppliers!B:B)</f>
        <v>Global Goods</v>
      </c>
      <c r="N155" t="str">
        <f t="shared" si="7"/>
        <v>Late</v>
      </c>
      <c r="O155">
        <f t="shared" si="8"/>
        <v>0.91</v>
      </c>
    </row>
    <row r="156" spans="1:15">
      <c r="A156">
        <v>5155</v>
      </c>
      <c r="B156">
        <v>1</v>
      </c>
      <c r="C156">
        <v>135</v>
      </c>
      <c r="D156" t="s">
        <v>121</v>
      </c>
      <c r="E156" s="1">
        <v>46005</v>
      </c>
      <c r="F156" s="1">
        <v>46046</v>
      </c>
      <c r="G156" s="1">
        <v>46048</v>
      </c>
      <c r="H156">
        <v>730</v>
      </c>
      <c r="I156">
        <v>720</v>
      </c>
      <c r="J156">
        <v>59.98</v>
      </c>
      <c r="K156" t="s">
        <v>463</v>
      </c>
      <c r="L156">
        <f t="shared" si="6"/>
        <v>43</v>
      </c>
      <c r="M156" t="str">
        <f>_xlfn.XLOOKUP(B156,suppliers!A:A,suppliers!B:B)</f>
        <v>Acme Supply</v>
      </c>
      <c r="N156" t="str">
        <f t="shared" si="7"/>
        <v>Late</v>
      </c>
      <c r="O156">
        <f t="shared" si="8"/>
        <v>0.99</v>
      </c>
    </row>
    <row r="157" spans="1:15">
      <c r="A157">
        <v>5156</v>
      </c>
      <c r="B157">
        <v>4</v>
      </c>
      <c r="C157">
        <v>41</v>
      </c>
      <c r="D157" t="s">
        <v>118</v>
      </c>
      <c r="E157" s="1">
        <v>46018</v>
      </c>
      <c r="F157" s="1">
        <v>46035</v>
      </c>
      <c r="G157" s="1">
        <v>46049</v>
      </c>
      <c r="H157">
        <v>251</v>
      </c>
      <c r="I157">
        <v>217</v>
      </c>
      <c r="J157">
        <v>143.46</v>
      </c>
      <c r="K157" t="s">
        <v>464</v>
      </c>
      <c r="L157">
        <f t="shared" si="6"/>
        <v>31</v>
      </c>
      <c r="M157" t="str">
        <f>_xlfn.XLOOKUP(B157,suppliers!A:A,suppliers!B:B)</f>
        <v>Blue Ridge</v>
      </c>
      <c r="N157" t="str">
        <f t="shared" si="7"/>
        <v>Late</v>
      </c>
      <c r="O157">
        <f t="shared" si="8"/>
        <v>0.86</v>
      </c>
    </row>
    <row r="158" spans="1:15">
      <c r="A158">
        <v>5157</v>
      </c>
      <c r="B158">
        <v>3</v>
      </c>
      <c r="C158">
        <v>109</v>
      </c>
      <c r="D158" t="s">
        <v>121</v>
      </c>
      <c r="E158" s="1">
        <v>46044</v>
      </c>
      <c r="F158" s="1">
        <v>46068</v>
      </c>
      <c r="G158" s="1">
        <v>46075</v>
      </c>
      <c r="H158">
        <v>323</v>
      </c>
      <c r="I158">
        <v>297</v>
      </c>
      <c r="J158">
        <v>10.08</v>
      </c>
      <c r="K158" t="s">
        <v>462</v>
      </c>
      <c r="L158">
        <f t="shared" si="6"/>
        <v>31</v>
      </c>
      <c r="M158" t="str">
        <f>_xlfn.XLOOKUP(B158,suppliers!A:A,suppliers!B:B)</f>
        <v>PrimeSource</v>
      </c>
      <c r="N158" t="str">
        <f t="shared" si="7"/>
        <v>Late</v>
      </c>
      <c r="O158">
        <f t="shared" si="8"/>
        <v>0.92</v>
      </c>
    </row>
    <row r="159" spans="1:15">
      <c r="A159">
        <v>5158</v>
      </c>
      <c r="B159">
        <v>2</v>
      </c>
      <c r="C159">
        <v>120</v>
      </c>
      <c r="D159" t="s">
        <v>121</v>
      </c>
      <c r="E159" s="1">
        <v>46075</v>
      </c>
      <c r="F159" s="1">
        <v>46090</v>
      </c>
      <c r="G159" s="1">
        <v>46094</v>
      </c>
      <c r="H159">
        <v>20</v>
      </c>
      <c r="I159">
        <v>-22</v>
      </c>
      <c r="J159">
        <v>102.63</v>
      </c>
      <c r="K159" t="s">
        <v>463</v>
      </c>
      <c r="L159">
        <f t="shared" si="6"/>
        <v>19</v>
      </c>
      <c r="M159" t="str">
        <f>_xlfn.XLOOKUP(B159,suppliers!A:A,suppliers!B:B)</f>
        <v>Global Goods</v>
      </c>
      <c r="N159" t="str">
        <f t="shared" si="7"/>
        <v>Late</v>
      </c>
      <c r="O159">
        <f t="shared" si="8"/>
        <v>-1.1000000000000001</v>
      </c>
    </row>
    <row r="160" spans="1:15">
      <c r="A160">
        <v>5159</v>
      </c>
      <c r="B160">
        <v>2</v>
      </c>
      <c r="C160">
        <v>54</v>
      </c>
      <c r="D160" t="s">
        <v>118</v>
      </c>
      <c r="E160" s="1">
        <v>46010</v>
      </c>
      <c r="F160" s="1">
        <v>46020</v>
      </c>
      <c r="G160" s="1">
        <v>46019</v>
      </c>
      <c r="H160">
        <v>167</v>
      </c>
      <c r="I160">
        <v>119</v>
      </c>
      <c r="J160">
        <v>170.35</v>
      </c>
      <c r="K160" t="s">
        <v>462</v>
      </c>
      <c r="L160">
        <f t="shared" si="6"/>
        <v>9</v>
      </c>
      <c r="M160" t="str">
        <f>_xlfn.XLOOKUP(B160,suppliers!A:A,suppliers!B:B)</f>
        <v>Global Goods</v>
      </c>
      <c r="N160" t="str">
        <f t="shared" si="7"/>
        <v>On time</v>
      </c>
      <c r="O160">
        <f t="shared" si="8"/>
        <v>0.71</v>
      </c>
    </row>
    <row r="161" spans="1:15">
      <c r="A161">
        <v>5160</v>
      </c>
      <c r="B161">
        <v>1</v>
      </c>
      <c r="C161">
        <v>101</v>
      </c>
      <c r="D161" t="s">
        <v>119</v>
      </c>
      <c r="E161" s="1">
        <v>46033</v>
      </c>
      <c r="F161" s="1">
        <v>46066</v>
      </c>
      <c r="G161" s="1">
        <v>46067</v>
      </c>
      <c r="H161">
        <v>274</v>
      </c>
      <c r="I161">
        <v>260</v>
      </c>
      <c r="J161">
        <v>205.77</v>
      </c>
      <c r="K161" t="s">
        <v>463</v>
      </c>
      <c r="L161">
        <f t="shared" si="6"/>
        <v>34</v>
      </c>
      <c r="M161" t="str">
        <f>_xlfn.XLOOKUP(B161,suppliers!A:A,suppliers!B:B)</f>
        <v>Acme Supply</v>
      </c>
      <c r="N161" t="str">
        <f t="shared" si="7"/>
        <v>Late</v>
      </c>
      <c r="O161">
        <f t="shared" si="8"/>
        <v>0.95</v>
      </c>
    </row>
    <row r="162" spans="1:15">
      <c r="A162">
        <v>5161</v>
      </c>
      <c r="B162">
        <v>4</v>
      </c>
      <c r="C162">
        <v>36</v>
      </c>
      <c r="D162" t="s">
        <v>118</v>
      </c>
      <c r="E162" s="1">
        <v>46095</v>
      </c>
      <c r="F162" s="1">
        <v>46109</v>
      </c>
      <c r="G162" s="1">
        <v>46122</v>
      </c>
      <c r="H162">
        <v>987</v>
      </c>
      <c r="I162">
        <v>959</v>
      </c>
      <c r="J162">
        <v>88.21</v>
      </c>
      <c r="K162" t="s">
        <v>462</v>
      </c>
      <c r="L162">
        <f t="shared" si="6"/>
        <v>27</v>
      </c>
      <c r="M162" t="str">
        <f>_xlfn.XLOOKUP(B162,suppliers!A:A,suppliers!B:B)</f>
        <v>Blue Ridge</v>
      </c>
      <c r="N162" t="str">
        <f t="shared" si="7"/>
        <v>Late</v>
      </c>
      <c r="O162">
        <f t="shared" si="8"/>
        <v>0.97</v>
      </c>
    </row>
    <row r="163" spans="1:15">
      <c r="A163">
        <v>5162</v>
      </c>
      <c r="B163">
        <v>6</v>
      </c>
      <c r="C163">
        <v>71</v>
      </c>
      <c r="D163" t="s">
        <v>117</v>
      </c>
      <c r="E163" s="1">
        <v>46076</v>
      </c>
      <c r="F163" s="1">
        <v>46083</v>
      </c>
      <c r="G163" s="1">
        <v>46094</v>
      </c>
      <c r="H163">
        <v>338</v>
      </c>
      <c r="I163">
        <v>324</v>
      </c>
      <c r="J163">
        <v>181.26</v>
      </c>
      <c r="K163" t="s">
        <v>462</v>
      </c>
      <c r="L163">
        <f t="shared" si="6"/>
        <v>18</v>
      </c>
      <c r="M163" t="str">
        <f>_xlfn.XLOOKUP(B163,suppliers!A:A,suppliers!B:B)</f>
        <v>Evergreen Imports</v>
      </c>
      <c r="N163" t="str">
        <f t="shared" si="7"/>
        <v>Late</v>
      </c>
      <c r="O163">
        <f t="shared" si="8"/>
        <v>0.96</v>
      </c>
    </row>
    <row r="164" spans="1:15">
      <c r="A164">
        <v>5163</v>
      </c>
      <c r="B164">
        <v>6</v>
      </c>
      <c r="C164">
        <v>77</v>
      </c>
      <c r="D164" t="s">
        <v>122</v>
      </c>
      <c r="E164" s="1">
        <v>46024</v>
      </c>
      <c r="F164" s="1">
        <v>46065</v>
      </c>
      <c r="G164" s="1">
        <v>46074</v>
      </c>
      <c r="H164">
        <v>177</v>
      </c>
      <c r="I164">
        <v>160</v>
      </c>
      <c r="J164">
        <v>83.6</v>
      </c>
      <c r="K164" t="s">
        <v>464</v>
      </c>
      <c r="L164">
        <f t="shared" si="6"/>
        <v>50</v>
      </c>
      <c r="M164" t="str">
        <f>_xlfn.XLOOKUP(B164,suppliers!A:A,suppliers!B:B)</f>
        <v>Evergreen Imports</v>
      </c>
      <c r="N164" t="str">
        <f t="shared" si="7"/>
        <v>Late</v>
      </c>
      <c r="O164">
        <f t="shared" si="8"/>
        <v>0.9</v>
      </c>
    </row>
    <row r="165" spans="1:15">
      <c r="A165">
        <v>5164</v>
      </c>
      <c r="B165">
        <v>4</v>
      </c>
      <c r="C165">
        <v>98</v>
      </c>
      <c r="D165" t="s">
        <v>117</v>
      </c>
      <c r="E165" s="1">
        <v>46058</v>
      </c>
      <c r="F165" s="1">
        <v>46072</v>
      </c>
      <c r="G165" s="1">
        <v>46080</v>
      </c>
      <c r="H165">
        <v>619</v>
      </c>
      <c r="I165">
        <v>571</v>
      </c>
      <c r="J165">
        <v>125.67</v>
      </c>
      <c r="K165" t="s">
        <v>463</v>
      </c>
      <c r="L165">
        <f t="shared" si="6"/>
        <v>22</v>
      </c>
      <c r="M165" t="str">
        <f>_xlfn.XLOOKUP(B165,suppliers!A:A,suppliers!B:B)</f>
        <v>Blue Ridge</v>
      </c>
      <c r="N165" t="str">
        <f t="shared" si="7"/>
        <v>Late</v>
      </c>
      <c r="O165">
        <f t="shared" si="8"/>
        <v>0.92</v>
      </c>
    </row>
    <row r="166" spans="1:15">
      <c r="A166">
        <v>5165</v>
      </c>
      <c r="B166">
        <v>3</v>
      </c>
      <c r="C166">
        <v>58</v>
      </c>
      <c r="D166" t="s">
        <v>122</v>
      </c>
      <c r="E166" s="1">
        <v>46126</v>
      </c>
      <c r="F166" s="1">
        <v>46139</v>
      </c>
      <c r="G166" s="1">
        <v>46157</v>
      </c>
      <c r="H166">
        <v>637</v>
      </c>
      <c r="I166">
        <v>622</v>
      </c>
      <c r="J166">
        <v>131.94999999999999</v>
      </c>
      <c r="K166" t="s">
        <v>462</v>
      </c>
      <c r="L166">
        <f t="shared" si="6"/>
        <v>31</v>
      </c>
      <c r="M166" t="str">
        <f>_xlfn.XLOOKUP(B166,suppliers!A:A,suppliers!B:B)</f>
        <v>PrimeSource</v>
      </c>
      <c r="N166" t="str">
        <f t="shared" si="7"/>
        <v>Late</v>
      </c>
      <c r="O166">
        <f t="shared" si="8"/>
        <v>0.98</v>
      </c>
    </row>
    <row r="167" spans="1:15">
      <c r="A167">
        <v>5166</v>
      </c>
      <c r="B167">
        <v>7</v>
      </c>
      <c r="C167">
        <v>111</v>
      </c>
      <c r="D167" t="s">
        <v>120</v>
      </c>
      <c r="E167" s="1">
        <v>46100</v>
      </c>
      <c r="F167" s="1">
        <v>46110</v>
      </c>
      <c r="G167" s="1">
        <v>46129</v>
      </c>
      <c r="H167">
        <v>306</v>
      </c>
      <c r="I167">
        <v>290</v>
      </c>
      <c r="J167">
        <v>202.86</v>
      </c>
      <c r="K167" t="s">
        <v>464</v>
      </c>
      <c r="L167">
        <f t="shared" si="6"/>
        <v>29</v>
      </c>
      <c r="M167" t="str">
        <f>_xlfn.XLOOKUP(B167,suppliers!A:A,suppliers!B:B)</f>
        <v>Summit Trading</v>
      </c>
      <c r="N167" t="str">
        <f t="shared" si="7"/>
        <v>Late</v>
      </c>
      <c r="O167">
        <f t="shared" si="8"/>
        <v>0.95</v>
      </c>
    </row>
    <row r="168" spans="1:15">
      <c r="A168">
        <v>5167</v>
      </c>
      <c r="B168">
        <v>4</v>
      </c>
      <c r="C168">
        <v>85</v>
      </c>
      <c r="D168" t="s">
        <v>117</v>
      </c>
      <c r="E168" s="1">
        <v>46100</v>
      </c>
      <c r="F168" s="1">
        <v>46123</v>
      </c>
      <c r="G168" t="s">
        <v>145</v>
      </c>
      <c r="H168">
        <v>105</v>
      </c>
      <c r="I168">
        <v>0</v>
      </c>
      <c r="J168">
        <v>118.89</v>
      </c>
      <c r="K168" t="s">
        <v>462</v>
      </c>
      <c r="L168" t="str">
        <f t="shared" si="6"/>
        <v/>
      </c>
      <c r="M168" t="str">
        <f>_xlfn.XLOOKUP(B168,suppliers!A:A,suppliers!B:B)</f>
        <v>Blue Ridge</v>
      </c>
      <c r="N168" t="str">
        <f t="shared" si="7"/>
        <v>Late</v>
      </c>
      <c r="O168">
        <f t="shared" si="8"/>
        <v>0</v>
      </c>
    </row>
    <row r="169" spans="1:15">
      <c r="A169">
        <v>5168</v>
      </c>
      <c r="B169">
        <v>8</v>
      </c>
      <c r="C169">
        <v>150</v>
      </c>
      <c r="D169" t="s">
        <v>117</v>
      </c>
      <c r="E169" s="1">
        <v>46119</v>
      </c>
      <c r="F169" s="1">
        <v>46140</v>
      </c>
      <c r="G169" s="1">
        <v>46156</v>
      </c>
      <c r="H169">
        <v>292</v>
      </c>
      <c r="I169">
        <v>257</v>
      </c>
      <c r="J169">
        <v>48.59</v>
      </c>
      <c r="K169" t="s">
        <v>464</v>
      </c>
      <c r="L169">
        <f t="shared" si="6"/>
        <v>37</v>
      </c>
      <c r="M169" t="str">
        <f>_xlfn.XLOOKUP(B169,suppliers!A:A,suppliers!B:B)</f>
        <v>Metro Logistics</v>
      </c>
      <c r="N169" t="str">
        <f t="shared" si="7"/>
        <v>Late</v>
      </c>
      <c r="O169">
        <f t="shared" si="8"/>
        <v>0.88</v>
      </c>
    </row>
    <row r="170" spans="1:15">
      <c r="A170">
        <v>5169</v>
      </c>
      <c r="B170">
        <v>2</v>
      </c>
      <c r="C170">
        <v>145</v>
      </c>
      <c r="D170" t="s">
        <v>119</v>
      </c>
      <c r="E170" s="1">
        <v>46089</v>
      </c>
      <c r="F170" s="1">
        <v>46134</v>
      </c>
      <c r="G170" s="1">
        <v>46150</v>
      </c>
      <c r="H170">
        <v>411</v>
      </c>
      <c r="I170">
        <v>374</v>
      </c>
      <c r="J170">
        <v>87.9</v>
      </c>
      <c r="K170" t="s">
        <v>464</v>
      </c>
      <c r="L170">
        <f t="shared" si="6"/>
        <v>61</v>
      </c>
      <c r="M170" t="str">
        <f>_xlfn.XLOOKUP(B170,suppliers!A:A,suppliers!B:B)</f>
        <v>Global Goods</v>
      </c>
      <c r="N170" t="str">
        <f t="shared" si="7"/>
        <v>Late</v>
      </c>
      <c r="O170">
        <f t="shared" si="8"/>
        <v>0.91</v>
      </c>
    </row>
    <row r="171" spans="1:15">
      <c r="A171">
        <v>5170</v>
      </c>
      <c r="B171">
        <v>3</v>
      </c>
      <c r="C171">
        <v>148</v>
      </c>
      <c r="D171" t="s">
        <v>117</v>
      </c>
      <c r="E171" s="1">
        <v>46017</v>
      </c>
      <c r="F171" s="1">
        <v>46031</v>
      </c>
      <c r="G171" t="s">
        <v>145</v>
      </c>
      <c r="H171">
        <v>264</v>
      </c>
      <c r="I171">
        <v>0</v>
      </c>
      <c r="J171">
        <v>100.89</v>
      </c>
      <c r="K171" t="s">
        <v>462</v>
      </c>
      <c r="L171" t="str">
        <f t="shared" si="6"/>
        <v/>
      </c>
      <c r="M171" t="str">
        <f>_xlfn.XLOOKUP(B171,suppliers!A:A,suppliers!B:B)</f>
        <v>PrimeSource</v>
      </c>
      <c r="N171" t="str">
        <f t="shared" si="7"/>
        <v>Late</v>
      </c>
      <c r="O171">
        <f t="shared" si="8"/>
        <v>0</v>
      </c>
    </row>
    <row r="172" spans="1:15">
      <c r="A172">
        <v>5171</v>
      </c>
      <c r="B172">
        <v>2</v>
      </c>
      <c r="C172">
        <v>11</v>
      </c>
      <c r="D172" t="s">
        <v>117</v>
      </c>
      <c r="E172" s="1">
        <v>46081</v>
      </c>
      <c r="F172" s="1">
        <v>46116</v>
      </c>
      <c r="G172" s="1">
        <v>46129</v>
      </c>
      <c r="H172">
        <v>904</v>
      </c>
      <c r="I172">
        <v>864</v>
      </c>
      <c r="J172">
        <v>44.12</v>
      </c>
      <c r="K172" t="s">
        <v>462</v>
      </c>
      <c r="L172">
        <f t="shared" si="6"/>
        <v>48</v>
      </c>
      <c r="M172" t="str">
        <f>_xlfn.XLOOKUP(B172,suppliers!A:A,suppliers!B:B)</f>
        <v>Global Goods</v>
      </c>
      <c r="N172" t="str">
        <f t="shared" si="7"/>
        <v>Late</v>
      </c>
      <c r="O172">
        <f t="shared" si="8"/>
        <v>0.96</v>
      </c>
    </row>
    <row r="173" spans="1:15">
      <c r="A173">
        <v>5172</v>
      </c>
      <c r="B173">
        <v>7</v>
      </c>
      <c r="C173">
        <v>7</v>
      </c>
      <c r="D173" t="s">
        <v>120</v>
      </c>
      <c r="E173" s="1">
        <v>46048</v>
      </c>
      <c r="F173" s="1">
        <v>46091</v>
      </c>
      <c r="G173" s="1">
        <v>46106</v>
      </c>
      <c r="H173">
        <v>988</v>
      </c>
      <c r="I173">
        <v>962</v>
      </c>
      <c r="J173">
        <v>97.02</v>
      </c>
      <c r="K173" t="s">
        <v>464</v>
      </c>
      <c r="L173">
        <f t="shared" si="6"/>
        <v>58</v>
      </c>
      <c r="M173" t="str">
        <f>_xlfn.XLOOKUP(B173,suppliers!A:A,suppliers!B:B)</f>
        <v>Summit Trading</v>
      </c>
      <c r="N173" t="str">
        <f t="shared" si="7"/>
        <v>Late</v>
      </c>
      <c r="O173">
        <f t="shared" si="8"/>
        <v>0.97</v>
      </c>
    </row>
    <row r="174" spans="1:15">
      <c r="A174">
        <v>5173</v>
      </c>
      <c r="B174">
        <v>5</v>
      </c>
      <c r="C174">
        <v>117</v>
      </c>
      <c r="D174" t="s">
        <v>118</v>
      </c>
      <c r="E174" s="1">
        <v>46057</v>
      </c>
      <c r="F174" s="1">
        <v>46086</v>
      </c>
      <c r="G174" s="1">
        <v>46092</v>
      </c>
      <c r="H174">
        <v>380</v>
      </c>
      <c r="I174">
        <v>363</v>
      </c>
      <c r="J174">
        <v>163.36000000000001</v>
      </c>
      <c r="K174" t="s">
        <v>462</v>
      </c>
      <c r="L174">
        <f t="shared" si="6"/>
        <v>35</v>
      </c>
      <c r="M174" t="str">
        <f>_xlfn.XLOOKUP(B174,suppliers!A:A,suppliers!B:B)</f>
        <v>Utah Wholesale</v>
      </c>
      <c r="N174" t="str">
        <f t="shared" si="7"/>
        <v>Late</v>
      </c>
      <c r="O174">
        <f t="shared" si="8"/>
        <v>0.96</v>
      </c>
    </row>
    <row r="175" spans="1:15">
      <c r="A175">
        <v>5174</v>
      </c>
      <c r="B175">
        <v>4</v>
      </c>
      <c r="C175">
        <v>13</v>
      </c>
      <c r="D175" t="s">
        <v>118</v>
      </c>
      <c r="E175" s="1">
        <v>46076</v>
      </c>
      <c r="F175" s="1">
        <v>46112</v>
      </c>
      <c r="G175" s="1">
        <v>46127</v>
      </c>
      <c r="H175">
        <v>289</v>
      </c>
      <c r="I175">
        <v>276</v>
      </c>
      <c r="J175">
        <v>176.51</v>
      </c>
      <c r="K175" t="s">
        <v>464</v>
      </c>
      <c r="L175">
        <f t="shared" si="6"/>
        <v>51</v>
      </c>
      <c r="M175" t="str">
        <f>_xlfn.XLOOKUP(B175,suppliers!A:A,suppliers!B:B)</f>
        <v>Blue Ridge</v>
      </c>
      <c r="N175" t="str">
        <f t="shared" si="7"/>
        <v>Late</v>
      </c>
      <c r="O175">
        <f t="shared" si="8"/>
        <v>0.96</v>
      </c>
    </row>
    <row r="176" spans="1:15">
      <c r="A176">
        <v>5175</v>
      </c>
      <c r="B176">
        <v>8</v>
      </c>
      <c r="C176">
        <v>141</v>
      </c>
      <c r="D176" t="s">
        <v>117</v>
      </c>
      <c r="E176" s="1">
        <v>46075</v>
      </c>
      <c r="F176" s="1">
        <v>46107</v>
      </c>
      <c r="G176" s="1">
        <v>46126</v>
      </c>
      <c r="H176">
        <v>855</v>
      </c>
      <c r="I176">
        <v>850</v>
      </c>
      <c r="J176">
        <v>137.24</v>
      </c>
      <c r="K176" t="s">
        <v>463</v>
      </c>
      <c r="L176">
        <f t="shared" si="6"/>
        <v>51</v>
      </c>
      <c r="M176" t="str">
        <f>_xlfn.XLOOKUP(B176,suppliers!A:A,suppliers!B:B)</f>
        <v>Metro Logistics</v>
      </c>
      <c r="N176" t="str">
        <f t="shared" si="7"/>
        <v>Late</v>
      </c>
      <c r="O176">
        <f t="shared" si="8"/>
        <v>0.99</v>
      </c>
    </row>
    <row r="177" spans="1:15">
      <c r="A177">
        <v>5176</v>
      </c>
      <c r="B177">
        <v>4</v>
      </c>
      <c r="C177">
        <v>91</v>
      </c>
      <c r="D177" t="s">
        <v>119</v>
      </c>
      <c r="E177" s="1">
        <v>46130</v>
      </c>
      <c r="F177" s="1">
        <v>46151</v>
      </c>
      <c r="G177" s="1">
        <v>46155</v>
      </c>
      <c r="H177">
        <v>123</v>
      </c>
      <c r="I177">
        <v>83</v>
      </c>
      <c r="J177">
        <v>165.11</v>
      </c>
      <c r="K177" t="s">
        <v>462</v>
      </c>
      <c r="L177">
        <f t="shared" si="6"/>
        <v>25</v>
      </c>
      <c r="M177" t="str">
        <f>_xlfn.XLOOKUP(B177,suppliers!A:A,suppliers!B:B)</f>
        <v>Blue Ridge</v>
      </c>
      <c r="N177" t="str">
        <f t="shared" si="7"/>
        <v>Late</v>
      </c>
      <c r="O177">
        <f t="shared" si="8"/>
        <v>0.67</v>
      </c>
    </row>
    <row r="178" spans="1:15">
      <c r="A178">
        <v>5177</v>
      </c>
      <c r="B178">
        <v>8</v>
      </c>
      <c r="C178">
        <v>81</v>
      </c>
      <c r="D178" t="s">
        <v>117</v>
      </c>
      <c r="E178" s="1">
        <v>46120</v>
      </c>
      <c r="F178" s="1">
        <v>46138</v>
      </c>
      <c r="G178" s="1">
        <v>46139</v>
      </c>
      <c r="H178">
        <v>291</v>
      </c>
      <c r="I178">
        <v>269</v>
      </c>
      <c r="J178">
        <v>51.63</v>
      </c>
      <c r="K178" t="s">
        <v>463</v>
      </c>
      <c r="L178">
        <f t="shared" si="6"/>
        <v>19</v>
      </c>
      <c r="M178" t="str">
        <f>_xlfn.XLOOKUP(B178,suppliers!A:A,suppliers!B:B)</f>
        <v>Metro Logistics</v>
      </c>
      <c r="N178" t="str">
        <f t="shared" si="7"/>
        <v>Late</v>
      </c>
      <c r="O178">
        <f t="shared" si="8"/>
        <v>0.92</v>
      </c>
    </row>
    <row r="179" spans="1:15">
      <c r="A179">
        <v>5178</v>
      </c>
      <c r="B179">
        <v>6</v>
      </c>
      <c r="C179">
        <v>113</v>
      </c>
      <c r="D179" t="s">
        <v>118</v>
      </c>
      <c r="E179" s="1">
        <v>46085</v>
      </c>
      <c r="F179" s="1">
        <v>46102</v>
      </c>
      <c r="G179" t="s">
        <v>145</v>
      </c>
      <c r="H179">
        <v>350</v>
      </c>
      <c r="I179">
        <v>0</v>
      </c>
      <c r="J179">
        <v>64.89</v>
      </c>
      <c r="K179" t="s">
        <v>464</v>
      </c>
      <c r="L179" t="str">
        <f t="shared" si="6"/>
        <v/>
      </c>
      <c r="M179" t="str">
        <f>_xlfn.XLOOKUP(B179,suppliers!A:A,suppliers!B:B)</f>
        <v>Evergreen Imports</v>
      </c>
      <c r="N179" t="str">
        <f t="shared" si="7"/>
        <v>Late</v>
      </c>
      <c r="O179">
        <f t="shared" si="8"/>
        <v>0</v>
      </c>
    </row>
    <row r="180" spans="1:15">
      <c r="A180">
        <v>5179</v>
      </c>
      <c r="B180">
        <v>1</v>
      </c>
      <c r="C180">
        <v>80</v>
      </c>
      <c r="D180" t="s">
        <v>119</v>
      </c>
      <c r="E180" s="1">
        <v>46122</v>
      </c>
      <c r="F180" s="1">
        <v>46164</v>
      </c>
      <c r="G180" s="1">
        <v>46176</v>
      </c>
      <c r="H180">
        <v>571</v>
      </c>
      <c r="I180">
        <v>559</v>
      </c>
      <c r="J180">
        <v>84.3</v>
      </c>
      <c r="K180" t="s">
        <v>464</v>
      </c>
      <c r="L180">
        <f t="shared" si="6"/>
        <v>54</v>
      </c>
      <c r="M180" t="str">
        <f>_xlfn.XLOOKUP(B180,suppliers!A:A,suppliers!B:B)</f>
        <v>Acme Supply</v>
      </c>
      <c r="N180" t="str">
        <f t="shared" si="7"/>
        <v>Late</v>
      </c>
      <c r="O180">
        <f t="shared" si="8"/>
        <v>0.98</v>
      </c>
    </row>
    <row r="181" spans="1:15">
      <c r="A181">
        <v>5180</v>
      </c>
      <c r="B181">
        <v>6</v>
      </c>
      <c r="C181">
        <v>24</v>
      </c>
      <c r="D181" t="s">
        <v>118</v>
      </c>
      <c r="E181" s="1">
        <v>46096</v>
      </c>
      <c r="F181" s="1">
        <v>46119</v>
      </c>
      <c r="G181" s="1">
        <v>46124</v>
      </c>
      <c r="H181">
        <v>565</v>
      </c>
      <c r="I181">
        <v>541</v>
      </c>
      <c r="J181">
        <v>61.21</v>
      </c>
      <c r="K181" t="s">
        <v>464</v>
      </c>
      <c r="L181">
        <f t="shared" si="6"/>
        <v>28</v>
      </c>
      <c r="M181" t="str">
        <f>_xlfn.XLOOKUP(B181,suppliers!A:A,suppliers!B:B)</f>
        <v>Evergreen Imports</v>
      </c>
      <c r="N181" t="str">
        <f t="shared" si="7"/>
        <v>Late</v>
      </c>
      <c r="O181">
        <f t="shared" si="8"/>
        <v>0.96</v>
      </c>
    </row>
    <row r="182" spans="1:15">
      <c r="A182">
        <v>5181</v>
      </c>
      <c r="B182">
        <v>3</v>
      </c>
      <c r="C182">
        <v>76</v>
      </c>
      <c r="D182" t="s">
        <v>118</v>
      </c>
      <c r="E182" s="1">
        <v>46138</v>
      </c>
      <c r="F182" s="1">
        <v>46150</v>
      </c>
      <c r="G182" s="1">
        <v>46152</v>
      </c>
      <c r="H182">
        <v>473</v>
      </c>
      <c r="I182">
        <v>438</v>
      </c>
      <c r="J182">
        <v>145.47</v>
      </c>
      <c r="K182" t="s">
        <v>462</v>
      </c>
      <c r="L182">
        <f t="shared" si="6"/>
        <v>14</v>
      </c>
      <c r="M182" t="str">
        <f>_xlfn.XLOOKUP(B182,suppliers!A:A,suppliers!B:B)</f>
        <v>PrimeSource</v>
      </c>
      <c r="N182" t="str">
        <f t="shared" si="7"/>
        <v>Late</v>
      </c>
      <c r="O182">
        <f t="shared" si="8"/>
        <v>0.93</v>
      </c>
    </row>
    <row r="183" spans="1:15">
      <c r="A183">
        <v>5182</v>
      </c>
      <c r="B183">
        <v>6</v>
      </c>
      <c r="C183">
        <v>71</v>
      </c>
      <c r="D183" t="s">
        <v>118</v>
      </c>
      <c r="E183" s="1">
        <v>45999</v>
      </c>
      <c r="F183" s="1">
        <v>46037</v>
      </c>
      <c r="G183" s="1">
        <v>46054</v>
      </c>
      <c r="H183">
        <v>244</v>
      </c>
      <c r="I183">
        <v>216</v>
      </c>
      <c r="J183">
        <v>162.18</v>
      </c>
      <c r="K183" t="s">
        <v>462</v>
      </c>
      <c r="L183">
        <f t="shared" si="6"/>
        <v>55</v>
      </c>
      <c r="M183" t="str">
        <f>_xlfn.XLOOKUP(B183,suppliers!A:A,suppliers!B:B)</f>
        <v>Evergreen Imports</v>
      </c>
      <c r="N183" t="str">
        <f t="shared" si="7"/>
        <v>Late</v>
      </c>
      <c r="O183">
        <f t="shared" si="8"/>
        <v>0.89</v>
      </c>
    </row>
    <row r="184" spans="1:15">
      <c r="A184">
        <v>5183</v>
      </c>
      <c r="B184">
        <v>3</v>
      </c>
      <c r="C184">
        <v>38</v>
      </c>
      <c r="D184" t="s">
        <v>117</v>
      </c>
      <c r="E184" s="1">
        <v>45996</v>
      </c>
      <c r="F184" s="1">
        <v>46021</v>
      </c>
      <c r="G184" s="1">
        <v>46016</v>
      </c>
      <c r="H184">
        <v>898</v>
      </c>
      <c r="I184">
        <v>872</v>
      </c>
      <c r="J184">
        <v>182.97</v>
      </c>
      <c r="K184" t="s">
        <v>464</v>
      </c>
      <c r="L184">
        <f t="shared" si="6"/>
        <v>20</v>
      </c>
      <c r="M184" t="str">
        <f>_xlfn.XLOOKUP(B184,suppliers!A:A,suppliers!B:B)</f>
        <v>PrimeSource</v>
      </c>
      <c r="N184" t="str">
        <f t="shared" si="7"/>
        <v>On time</v>
      </c>
      <c r="O184">
        <f t="shared" si="8"/>
        <v>0.97</v>
      </c>
    </row>
    <row r="185" spans="1:15">
      <c r="A185">
        <v>5184</v>
      </c>
      <c r="B185">
        <v>8</v>
      </c>
      <c r="C185">
        <v>142</v>
      </c>
      <c r="D185" t="s">
        <v>117</v>
      </c>
      <c r="E185" s="1">
        <v>46138</v>
      </c>
      <c r="F185" s="1">
        <v>46157</v>
      </c>
      <c r="G185" s="1">
        <v>46168</v>
      </c>
      <c r="H185">
        <v>614</v>
      </c>
      <c r="I185">
        <v>567</v>
      </c>
      <c r="J185">
        <v>96.67</v>
      </c>
      <c r="K185" t="s">
        <v>463</v>
      </c>
      <c r="L185">
        <f t="shared" si="6"/>
        <v>30</v>
      </c>
      <c r="M185" t="str">
        <f>_xlfn.XLOOKUP(B185,suppliers!A:A,suppliers!B:B)</f>
        <v>Metro Logistics</v>
      </c>
      <c r="N185" t="str">
        <f t="shared" si="7"/>
        <v>Late</v>
      </c>
      <c r="O185">
        <f t="shared" si="8"/>
        <v>0.92</v>
      </c>
    </row>
    <row r="186" spans="1:15">
      <c r="A186">
        <v>5185</v>
      </c>
      <c r="B186">
        <v>8</v>
      </c>
      <c r="C186">
        <v>94</v>
      </c>
      <c r="D186" t="s">
        <v>119</v>
      </c>
      <c r="E186" s="1">
        <v>46060</v>
      </c>
      <c r="F186" s="1">
        <v>46094</v>
      </c>
      <c r="G186" s="1">
        <v>46096</v>
      </c>
      <c r="H186">
        <v>347</v>
      </c>
      <c r="I186">
        <v>303</v>
      </c>
      <c r="J186">
        <v>125.25</v>
      </c>
      <c r="K186" t="s">
        <v>462</v>
      </c>
      <c r="L186">
        <f t="shared" si="6"/>
        <v>36</v>
      </c>
      <c r="M186" t="str">
        <f>_xlfn.XLOOKUP(B186,suppliers!A:A,suppliers!B:B)</f>
        <v>Metro Logistics</v>
      </c>
      <c r="N186" t="str">
        <f t="shared" si="7"/>
        <v>Late</v>
      </c>
      <c r="O186">
        <f t="shared" si="8"/>
        <v>0.87</v>
      </c>
    </row>
    <row r="187" spans="1:15">
      <c r="A187">
        <v>5186</v>
      </c>
      <c r="B187">
        <v>7</v>
      </c>
      <c r="C187">
        <v>83</v>
      </c>
      <c r="D187" t="s">
        <v>121</v>
      </c>
      <c r="E187" s="1">
        <v>46056</v>
      </c>
      <c r="F187" s="1">
        <v>46097</v>
      </c>
      <c r="G187" s="1">
        <v>46095</v>
      </c>
      <c r="H187">
        <v>959</v>
      </c>
      <c r="I187">
        <v>914</v>
      </c>
      <c r="J187">
        <v>171.8</v>
      </c>
      <c r="K187" t="s">
        <v>462</v>
      </c>
      <c r="L187">
        <f t="shared" si="6"/>
        <v>39</v>
      </c>
      <c r="M187" t="str">
        <f>_xlfn.XLOOKUP(B187,suppliers!A:A,suppliers!B:B)</f>
        <v>Summit Trading</v>
      </c>
      <c r="N187" t="str">
        <f t="shared" si="7"/>
        <v>On time</v>
      </c>
      <c r="O187">
        <f t="shared" si="8"/>
        <v>0.95</v>
      </c>
    </row>
    <row r="188" spans="1:15">
      <c r="A188">
        <v>5187</v>
      </c>
      <c r="B188">
        <v>2</v>
      </c>
      <c r="C188">
        <v>138</v>
      </c>
      <c r="D188" t="s">
        <v>121</v>
      </c>
      <c r="E188" s="1">
        <v>46073</v>
      </c>
      <c r="F188" s="1">
        <v>46086</v>
      </c>
      <c r="G188" s="1">
        <v>46100</v>
      </c>
      <c r="H188">
        <v>253</v>
      </c>
      <c r="I188">
        <v>239</v>
      </c>
      <c r="J188">
        <v>87.01</v>
      </c>
      <c r="K188" t="s">
        <v>462</v>
      </c>
      <c r="L188">
        <f t="shared" si="6"/>
        <v>27</v>
      </c>
      <c r="M188" t="str">
        <f>_xlfn.XLOOKUP(B188,suppliers!A:A,suppliers!B:B)</f>
        <v>Global Goods</v>
      </c>
      <c r="N188" t="str">
        <f t="shared" si="7"/>
        <v>Late</v>
      </c>
      <c r="O188">
        <f t="shared" si="8"/>
        <v>0.94</v>
      </c>
    </row>
    <row r="189" spans="1:15">
      <c r="A189">
        <v>5188</v>
      </c>
      <c r="B189">
        <v>1</v>
      </c>
      <c r="C189">
        <v>69</v>
      </c>
      <c r="D189" t="s">
        <v>119</v>
      </c>
      <c r="E189" s="1">
        <v>46140</v>
      </c>
      <c r="F189" s="1">
        <v>46150</v>
      </c>
      <c r="G189" s="1">
        <v>46159</v>
      </c>
      <c r="H189">
        <v>529</v>
      </c>
      <c r="I189">
        <v>519</v>
      </c>
      <c r="J189">
        <v>176.45</v>
      </c>
      <c r="K189" t="s">
        <v>464</v>
      </c>
      <c r="L189">
        <f t="shared" si="6"/>
        <v>19</v>
      </c>
      <c r="M189" t="str">
        <f>_xlfn.XLOOKUP(B189,suppliers!A:A,suppliers!B:B)</f>
        <v>Acme Supply</v>
      </c>
      <c r="N189" t="str">
        <f t="shared" si="7"/>
        <v>Late</v>
      </c>
      <c r="O189">
        <f t="shared" si="8"/>
        <v>0.98</v>
      </c>
    </row>
    <row r="190" spans="1:15">
      <c r="A190">
        <v>5189</v>
      </c>
      <c r="B190">
        <v>4</v>
      </c>
      <c r="C190">
        <v>144</v>
      </c>
      <c r="D190" t="s">
        <v>118</v>
      </c>
      <c r="E190" s="1">
        <v>46107</v>
      </c>
      <c r="F190" s="1">
        <v>46149</v>
      </c>
      <c r="G190" s="1">
        <v>46155</v>
      </c>
      <c r="H190">
        <v>508</v>
      </c>
      <c r="I190">
        <v>504</v>
      </c>
      <c r="J190">
        <v>12.03</v>
      </c>
      <c r="K190" t="s">
        <v>463</v>
      </c>
      <c r="L190">
        <f t="shared" si="6"/>
        <v>48</v>
      </c>
      <c r="M190" t="str">
        <f>_xlfn.XLOOKUP(B190,suppliers!A:A,suppliers!B:B)</f>
        <v>Blue Ridge</v>
      </c>
      <c r="N190" t="str">
        <f t="shared" si="7"/>
        <v>Late</v>
      </c>
      <c r="O190">
        <f t="shared" si="8"/>
        <v>0.99</v>
      </c>
    </row>
    <row r="191" spans="1:15">
      <c r="A191">
        <v>5190</v>
      </c>
      <c r="B191">
        <v>8</v>
      </c>
      <c r="C191">
        <v>17</v>
      </c>
      <c r="D191" t="s">
        <v>117</v>
      </c>
      <c r="E191" s="1">
        <v>46063</v>
      </c>
      <c r="F191" s="1">
        <v>46106</v>
      </c>
      <c r="G191" s="1">
        <v>46124</v>
      </c>
      <c r="H191">
        <v>48</v>
      </c>
      <c r="I191">
        <v>21</v>
      </c>
      <c r="J191">
        <v>49.26</v>
      </c>
      <c r="K191" t="s">
        <v>462</v>
      </c>
      <c r="L191">
        <f t="shared" si="6"/>
        <v>61</v>
      </c>
      <c r="M191" t="str">
        <f>_xlfn.XLOOKUP(B191,suppliers!A:A,suppliers!B:B)</f>
        <v>Metro Logistics</v>
      </c>
      <c r="N191" t="str">
        <f t="shared" si="7"/>
        <v>Late</v>
      </c>
      <c r="O191">
        <f t="shared" si="8"/>
        <v>0.44</v>
      </c>
    </row>
    <row r="192" spans="1:15">
      <c r="A192">
        <v>5191</v>
      </c>
      <c r="B192">
        <v>4</v>
      </c>
      <c r="C192">
        <v>102</v>
      </c>
      <c r="D192" t="s">
        <v>118</v>
      </c>
      <c r="E192" s="1">
        <v>46048</v>
      </c>
      <c r="F192" s="1">
        <v>46083</v>
      </c>
      <c r="G192" s="1">
        <v>46100</v>
      </c>
      <c r="H192">
        <v>710</v>
      </c>
      <c r="I192">
        <v>674</v>
      </c>
      <c r="J192">
        <v>164.98</v>
      </c>
      <c r="K192" t="s">
        <v>464</v>
      </c>
      <c r="L192">
        <f t="shared" si="6"/>
        <v>52</v>
      </c>
      <c r="M192" t="str">
        <f>_xlfn.XLOOKUP(B192,suppliers!A:A,suppliers!B:B)</f>
        <v>Blue Ridge</v>
      </c>
      <c r="N192" t="str">
        <f t="shared" si="7"/>
        <v>Late</v>
      </c>
      <c r="O192">
        <f t="shared" si="8"/>
        <v>0.95</v>
      </c>
    </row>
    <row r="193" spans="1:15">
      <c r="A193">
        <v>5192</v>
      </c>
      <c r="B193">
        <v>8</v>
      </c>
      <c r="C193">
        <v>105</v>
      </c>
      <c r="D193" t="s">
        <v>119</v>
      </c>
      <c r="E193" s="1">
        <v>46029</v>
      </c>
      <c r="F193" s="1">
        <v>46070</v>
      </c>
      <c r="G193" t="s">
        <v>145</v>
      </c>
      <c r="H193">
        <v>620</v>
      </c>
      <c r="I193">
        <v>0</v>
      </c>
      <c r="J193">
        <v>22.9</v>
      </c>
      <c r="K193" t="s">
        <v>464</v>
      </c>
      <c r="L193" t="str">
        <f t="shared" si="6"/>
        <v/>
      </c>
      <c r="M193" t="str">
        <f>_xlfn.XLOOKUP(B193,suppliers!A:A,suppliers!B:B)</f>
        <v>Metro Logistics</v>
      </c>
      <c r="N193" t="str">
        <f t="shared" si="7"/>
        <v>Late</v>
      </c>
      <c r="O193">
        <f t="shared" si="8"/>
        <v>0</v>
      </c>
    </row>
    <row r="194" spans="1:15">
      <c r="A194">
        <v>5193</v>
      </c>
      <c r="B194">
        <v>6</v>
      </c>
      <c r="C194">
        <v>14</v>
      </c>
      <c r="D194" t="s">
        <v>117</v>
      </c>
      <c r="E194" s="1">
        <v>46084</v>
      </c>
      <c r="F194" s="1">
        <v>46128</v>
      </c>
      <c r="G194" s="1">
        <v>46125</v>
      </c>
      <c r="H194">
        <v>648</v>
      </c>
      <c r="I194">
        <v>602</v>
      </c>
      <c r="J194">
        <v>65.83</v>
      </c>
      <c r="K194" t="s">
        <v>462</v>
      </c>
      <c r="L194">
        <f t="shared" si="6"/>
        <v>41</v>
      </c>
      <c r="M194" t="str">
        <f>_xlfn.XLOOKUP(B194,suppliers!A:A,suppliers!B:B)</f>
        <v>Evergreen Imports</v>
      </c>
      <c r="N194" t="str">
        <f t="shared" si="7"/>
        <v>On time</v>
      </c>
      <c r="O194">
        <f t="shared" si="8"/>
        <v>0.93</v>
      </c>
    </row>
    <row r="195" spans="1:15">
      <c r="A195">
        <v>5194</v>
      </c>
      <c r="B195">
        <v>5</v>
      </c>
      <c r="C195">
        <v>50</v>
      </c>
      <c r="D195" t="s">
        <v>117</v>
      </c>
      <c r="E195" s="1">
        <v>46056</v>
      </c>
      <c r="F195" s="1">
        <v>46101</v>
      </c>
      <c r="G195" s="1">
        <v>46101</v>
      </c>
      <c r="H195">
        <v>875</v>
      </c>
      <c r="I195">
        <v>829</v>
      </c>
      <c r="J195">
        <v>30.08</v>
      </c>
      <c r="K195" t="s">
        <v>464</v>
      </c>
      <c r="L195">
        <f t="shared" ref="L195:L258" si="9">IFERROR(G195-E195,"")</f>
        <v>45</v>
      </c>
      <c r="M195" t="str">
        <f>_xlfn.XLOOKUP(B195,suppliers!A:A,suppliers!B:B)</f>
        <v>Utah Wholesale</v>
      </c>
      <c r="N195" t="str">
        <f t="shared" ref="N195:N258" si="10">IF(G195&lt;F195,"On time","Late")</f>
        <v>Late</v>
      </c>
      <c r="O195">
        <f t="shared" ref="O195:O258" si="11">ROUND(I195/H195,2)</f>
        <v>0.95</v>
      </c>
    </row>
    <row r="196" spans="1:15">
      <c r="A196">
        <v>5195</v>
      </c>
      <c r="B196">
        <v>4</v>
      </c>
      <c r="C196">
        <v>85</v>
      </c>
      <c r="D196" t="s">
        <v>117</v>
      </c>
      <c r="E196" s="1">
        <v>46015</v>
      </c>
      <c r="F196" s="1">
        <v>46028</v>
      </c>
      <c r="G196" t="s">
        <v>145</v>
      </c>
      <c r="H196">
        <v>607</v>
      </c>
      <c r="I196">
        <v>0</v>
      </c>
      <c r="J196">
        <v>157.13999999999999</v>
      </c>
      <c r="K196" t="s">
        <v>462</v>
      </c>
      <c r="L196" t="str">
        <f t="shared" si="9"/>
        <v/>
      </c>
      <c r="M196" t="str">
        <f>_xlfn.XLOOKUP(B196,suppliers!A:A,suppliers!B:B)</f>
        <v>Blue Ridge</v>
      </c>
      <c r="N196" t="str">
        <f t="shared" si="10"/>
        <v>Late</v>
      </c>
      <c r="O196">
        <f t="shared" si="11"/>
        <v>0</v>
      </c>
    </row>
    <row r="197" spans="1:15">
      <c r="A197">
        <v>5196</v>
      </c>
      <c r="B197">
        <v>4</v>
      </c>
      <c r="C197">
        <v>98</v>
      </c>
      <c r="D197" t="s">
        <v>118</v>
      </c>
      <c r="E197" s="1">
        <v>46114</v>
      </c>
      <c r="F197" s="1">
        <v>46129</v>
      </c>
      <c r="G197" s="1">
        <v>46129</v>
      </c>
      <c r="H197">
        <v>118</v>
      </c>
      <c r="I197">
        <v>73</v>
      </c>
      <c r="J197">
        <v>133.49</v>
      </c>
      <c r="K197" t="s">
        <v>462</v>
      </c>
      <c r="L197">
        <f t="shared" si="9"/>
        <v>15</v>
      </c>
      <c r="M197" t="str">
        <f>_xlfn.XLOOKUP(B197,suppliers!A:A,suppliers!B:B)</f>
        <v>Blue Ridge</v>
      </c>
      <c r="N197" t="str">
        <f t="shared" si="10"/>
        <v>Late</v>
      </c>
      <c r="O197">
        <f t="shared" si="11"/>
        <v>0.62</v>
      </c>
    </row>
    <row r="198" spans="1:15">
      <c r="A198">
        <v>5197</v>
      </c>
      <c r="B198">
        <v>7</v>
      </c>
      <c r="C198">
        <v>65</v>
      </c>
      <c r="D198" t="s">
        <v>119</v>
      </c>
      <c r="E198" s="1">
        <v>46120</v>
      </c>
      <c r="F198" s="1">
        <v>46132</v>
      </c>
      <c r="G198" s="1">
        <v>46139</v>
      </c>
      <c r="H198">
        <v>225</v>
      </c>
      <c r="I198">
        <v>204</v>
      </c>
      <c r="J198">
        <v>41.4</v>
      </c>
      <c r="K198" t="s">
        <v>462</v>
      </c>
      <c r="L198">
        <f t="shared" si="9"/>
        <v>19</v>
      </c>
      <c r="M198" t="str">
        <f>_xlfn.XLOOKUP(B198,suppliers!A:A,suppliers!B:B)</f>
        <v>Summit Trading</v>
      </c>
      <c r="N198" t="str">
        <f t="shared" si="10"/>
        <v>Late</v>
      </c>
      <c r="O198">
        <f t="shared" si="11"/>
        <v>0.91</v>
      </c>
    </row>
    <row r="199" spans="1:15">
      <c r="A199">
        <v>5198</v>
      </c>
      <c r="B199">
        <v>2</v>
      </c>
      <c r="C199">
        <v>25</v>
      </c>
      <c r="D199" t="s">
        <v>119</v>
      </c>
      <c r="E199" s="1">
        <v>46127</v>
      </c>
      <c r="F199" s="1">
        <v>46150</v>
      </c>
      <c r="G199" s="1">
        <v>46164</v>
      </c>
      <c r="H199">
        <v>82</v>
      </c>
      <c r="I199">
        <v>39</v>
      </c>
      <c r="J199">
        <v>18.82</v>
      </c>
      <c r="K199" t="s">
        <v>463</v>
      </c>
      <c r="L199">
        <f t="shared" si="9"/>
        <v>37</v>
      </c>
      <c r="M199" t="str">
        <f>_xlfn.XLOOKUP(B199,suppliers!A:A,suppliers!B:B)</f>
        <v>Global Goods</v>
      </c>
      <c r="N199" t="str">
        <f t="shared" si="10"/>
        <v>Late</v>
      </c>
      <c r="O199">
        <f t="shared" si="11"/>
        <v>0.48</v>
      </c>
    </row>
    <row r="200" spans="1:15">
      <c r="A200">
        <v>5199</v>
      </c>
      <c r="B200">
        <v>2</v>
      </c>
      <c r="C200">
        <v>25</v>
      </c>
      <c r="D200" t="s">
        <v>122</v>
      </c>
      <c r="E200" s="1">
        <v>46036</v>
      </c>
      <c r="F200" s="1">
        <v>46043</v>
      </c>
      <c r="G200" t="s">
        <v>145</v>
      </c>
      <c r="H200">
        <v>561</v>
      </c>
      <c r="I200">
        <v>0</v>
      </c>
      <c r="J200">
        <v>12.95</v>
      </c>
      <c r="K200" t="s">
        <v>462</v>
      </c>
      <c r="L200" t="str">
        <f t="shared" si="9"/>
        <v/>
      </c>
      <c r="M200" t="str">
        <f>_xlfn.XLOOKUP(B200,suppliers!A:A,suppliers!B:B)</f>
        <v>Global Goods</v>
      </c>
      <c r="N200" t="str">
        <f t="shared" si="10"/>
        <v>Late</v>
      </c>
      <c r="O200">
        <f t="shared" si="11"/>
        <v>0</v>
      </c>
    </row>
    <row r="201" spans="1:15">
      <c r="A201">
        <v>5200</v>
      </c>
      <c r="B201">
        <v>8</v>
      </c>
      <c r="C201">
        <v>79</v>
      </c>
      <c r="D201" t="s">
        <v>117</v>
      </c>
      <c r="E201" s="1">
        <v>46000</v>
      </c>
      <c r="F201" s="1">
        <v>46043</v>
      </c>
      <c r="G201" s="1">
        <v>46040</v>
      </c>
      <c r="H201">
        <v>998</v>
      </c>
      <c r="I201">
        <v>987</v>
      </c>
      <c r="J201">
        <v>102.9</v>
      </c>
      <c r="K201" t="s">
        <v>464</v>
      </c>
      <c r="L201">
        <f t="shared" si="9"/>
        <v>40</v>
      </c>
      <c r="M201" t="str">
        <f>_xlfn.XLOOKUP(B201,suppliers!A:A,suppliers!B:B)</f>
        <v>Metro Logistics</v>
      </c>
      <c r="N201" t="str">
        <f t="shared" si="10"/>
        <v>On time</v>
      </c>
      <c r="O201">
        <f t="shared" si="11"/>
        <v>0.99</v>
      </c>
    </row>
    <row r="202" spans="1:15">
      <c r="A202">
        <v>5201</v>
      </c>
      <c r="B202">
        <v>7</v>
      </c>
      <c r="C202">
        <v>56</v>
      </c>
      <c r="D202" t="s">
        <v>118</v>
      </c>
      <c r="E202" s="1">
        <v>46081</v>
      </c>
      <c r="F202" s="1">
        <v>46094</v>
      </c>
      <c r="G202" s="1">
        <v>46093</v>
      </c>
      <c r="H202">
        <v>634</v>
      </c>
      <c r="I202">
        <v>606</v>
      </c>
      <c r="J202">
        <v>134.68</v>
      </c>
      <c r="K202" t="s">
        <v>462</v>
      </c>
      <c r="L202">
        <f t="shared" si="9"/>
        <v>12</v>
      </c>
      <c r="M202" t="str">
        <f>_xlfn.XLOOKUP(B202,suppliers!A:A,suppliers!B:B)</f>
        <v>Summit Trading</v>
      </c>
      <c r="N202" t="str">
        <f t="shared" si="10"/>
        <v>On time</v>
      </c>
      <c r="O202">
        <f t="shared" si="11"/>
        <v>0.96</v>
      </c>
    </row>
    <row r="203" spans="1:15">
      <c r="A203">
        <v>5202</v>
      </c>
      <c r="B203">
        <v>4</v>
      </c>
      <c r="C203">
        <v>130</v>
      </c>
      <c r="D203" t="s">
        <v>119</v>
      </c>
      <c r="E203" s="1">
        <v>46031</v>
      </c>
      <c r="F203" s="1">
        <v>46066</v>
      </c>
      <c r="G203" s="1">
        <v>46062</v>
      </c>
      <c r="H203">
        <v>977</v>
      </c>
      <c r="I203">
        <v>958</v>
      </c>
      <c r="J203">
        <v>152.16</v>
      </c>
      <c r="K203" t="s">
        <v>463</v>
      </c>
      <c r="L203">
        <f t="shared" si="9"/>
        <v>31</v>
      </c>
      <c r="M203" t="str">
        <f>_xlfn.XLOOKUP(B203,suppliers!A:A,suppliers!B:B)</f>
        <v>Blue Ridge</v>
      </c>
      <c r="N203" t="str">
        <f t="shared" si="10"/>
        <v>On time</v>
      </c>
      <c r="O203">
        <f t="shared" si="11"/>
        <v>0.98</v>
      </c>
    </row>
    <row r="204" spans="1:15">
      <c r="A204">
        <v>5203</v>
      </c>
      <c r="B204">
        <v>6</v>
      </c>
      <c r="C204">
        <v>28</v>
      </c>
      <c r="D204" t="s">
        <v>118</v>
      </c>
      <c r="E204" s="1">
        <v>46082</v>
      </c>
      <c r="F204" s="1">
        <v>46100</v>
      </c>
      <c r="G204" s="1">
        <v>46100</v>
      </c>
      <c r="H204">
        <v>941</v>
      </c>
      <c r="I204">
        <v>903</v>
      </c>
      <c r="J204">
        <v>66.58</v>
      </c>
      <c r="K204" t="s">
        <v>462</v>
      </c>
      <c r="L204">
        <f t="shared" si="9"/>
        <v>18</v>
      </c>
      <c r="M204" t="str">
        <f>_xlfn.XLOOKUP(B204,suppliers!A:A,suppliers!B:B)</f>
        <v>Evergreen Imports</v>
      </c>
      <c r="N204" t="str">
        <f t="shared" si="10"/>
        <v>Late</v>
      </c>
      <c r="O204">
        <f t="shared" si="11"/>
        <v>0.96</v>
      </c>
    </row>
    <row r="205" spans="1:15">
      <c r="A205">
        <v>5204</v>
      </c>
      <c r="B205">
        <v>3</v>
      </c>
      <c r="C205">
        <v>87</v>
      </c>
      <c r="D205" t="s">
        <v>121</v>
      </c>
      <c r="E205" s="1">
        <v>46109</v>
      </c>
      <c r="F205" s="1">
        <v>46151</v>
      </c>
      <c r="G205" s="1">
        <v>46171</v>
      </c>
      <c r="H205">
        <v>478</v>
      </c>
      <c r="I205">
        <v>474</v>
      </c>
      <c r="J205">
        <v>38.549999999999997</v>
      </c>
      <c r="K205" t="s">
        <v>463</v>
      </c>
      <c r="L205">
        <f t="shared" si="9"/>
        <v>62</v>
      </c>
      <c r="M205" t="str">
        <f>_xlfn.XLOOKUP(B205,suppliers!A:A,suppliers!B:B)</f>
        <v>PrimeSource</v>
      </c>
      <c r="N205" t="str">
        <f t="shared" si="10"/>
        <v>Late</v>
      </c>
      <c r="O205">
        <f t="shared" si="11"/>
        <v>0.99</v>
      </c>
    </row>
    <row r="206" spans="1:15">
      <c r="A206">
        <v>5205</v>
      </c>
      <c r="B206">
        <v>8</v>
      </c>
      <c r="C206">
        <v>64</v>
      </c>
      <c r="D206" t="s">
        <v>119</v>
      </c>
      <c r="E206" s="1">
        <v>46086</v>
      </c>
      <c r="F206" s="1">
        <v>46102</v>
      </c>
      <c r="G206" s="1">
        <v>46112</v>
      </c>
      <c r="H206">
        <v>212</v>
      </c>
      <c r="I206">
        <v>190</v>
      </c>
      <c r="J206">
        <v>51.29</v>
      </c>
      <c r="K206" t="s">
        <v>464</v>
      </c>
      <c r="L206">
        <f t="shared" si="9"/>
        <v>26</v>
      </c>
      <c r="M206" t="str">
        <f>_xlfn.XLOOKUP(B206,suppliers!A:A,suppliers!B:B)</f>
        <v>Metro Logistics</v>
      </c>
      <c r="N206" t="str">
        <f t="shared" si="10"/>
        <v>Late</v>
      </c>
      <c r="O206">
        <f t="shared" si="11"/>
        <v>0.9</v>
      </c>
    </row>
    <row r="207" spans="1:15">
      <c r="A207">
        <v>5206</v>
      </c>
      <c r="B207">
        <v>3</v>
      </c>
      <c r="C207">
        <v>123</v>
      </c>
      <c r="D207" t="s">
        <v>121</v>
      </c>
      <c r="E207" s="1">
        <v>46018</v>
      </c>
      <c r="F207" s="1">
        <v>46058</v>
      </c>
      <c r="G207" s="1">
        <v>46073</v>
      </c>
      <c r="H207">
        <v>348</v>
      </c>
      <c r="I207">
        <v>315</v>
      </c>
      <c r="J207">
        <v>128.74</v>
      </c>
      <c r="K207" t="s">
        <v>462</v>
      </c>
      <c r="L207">
        <f t="shared" si="9"/>
        <v>55</v>
      </c>
      <c r="M207" t="str">
        <f>_xlfn.XLOOKUP(B207,suppliers!A:A,suppliers!B:B)</f>
        <v>PrimeSource</v>
      </c>
      <c r="N207" t="str">
        <f t="shared" si="10"/>
        <v>Late</v>
      </c>
      <c r="O207">
        <f t="shared" si="11"/>
        <v>0.91</v>
      </c>
    </row>
    <row r="208" spans="1:15">
      <c r="A208">
        <v>5207</v>
      </c>
      <c r="B208">
        <v>2</v>
      </c>
      <c r="C208">
        <v>140</v>
      </c>
      <c r="D208" t="s">
        <v>117</v>
      </c>
      <c r="E208" s="1">
        <v>46044</v>
      </c>
      <c r="F208" s="1">
        <v>46069</v>
      </c>
      <c r="G208" s="1">
        <v>46078</v>
      </c>
      <c r="H208">
        <v>801</v>
      </c>
      <c r="I208">
        <v>776</v>
      </c>
      <c r="J208">
        <v>18.97</v>
      </c>
      <c r="K208" t="s">
        <v>462</v>
      </c>
      <c r="L208">
        <f t="shared" si="9"/>
        <v>34</v>
      </c>
      <c r="M208" t="str">
        <f>_xlfn.XLOOKUP(B208,suppliers!A:A,suppliers!B:B)</f>
        <v>Global Goods</v>
      </c>
      <c r="N208" t="str">
        <f t="shared" si="10"/>
        <v>Late</v>
      </c>
      <c r="O208">
        <f t="shared" si="11"/>
        <v>0.97</v>
      </c>
    </row>
    <row r="209" spans="1:15">
      <c r="A209">
        <v>5208</v>
      </c>
      <c r="B209">
        <v>6</v>
      </c>
      <c r="C209">
        <v>97</v>
      </c>
      <c r="D209" t="s">
        <v>117</v>
      </c>
      <c r="E209" s="1">
        <v>46014</v>
      </c>
      <c r="F209" s="1">
        <v>46052</v>
      </c>
      <c r="G209" s="1">
        <v>46050</v>
      </c>
      <c r="H209">
        <v>349</v>
      </c>
      <c r="I209">
        <v>330</v>
      </c>
      <c r="J209">
        <v>9.02</v>
      </c>
      <c r="K209" t="s">
        <v>462</v>
      </c>
      <c r="L209">
        <f t="shared" si="9"/>
        <v>36</v>
      </c>
      <c r="M209" t="str">
        <f>_xlfn.XLOOKUP(B209,suppliers!A:A,suppliers!B:B)</f>
        <v>Evergreen Imports</v>
      </c>
      <c r="N209" t="str">
        <f t="shared" si="10"/>
        <v>On time</v>
      </c>
      <c r="O209">
        <f t="shared" si="11"/>
        <v>0.95</v>
      </c>
    </row>
    <row r="210" spans="1:15">
      <c r="A210">
        <v>5209</v>
      </c>
      <c r="B210">
        <v>1</v>
      </c>
      <c r="C210">
        <v>74</v>
      </c>
      <c r="D210" t="s">
        <v>121</v>
      </c>
      <c r="E210" s="1">
        <v>46007</v>
      </c>
      <c r="F210" s="1">
        <v>46047</v>
      </c>
      <c r="G210" s="1">
        <v>46048</v>
      </c>
      <c r="H210">
        <v>989</v>
      </c>
      <c r="I210">
        <v>978</v>
      </c>
      <c r="J210">
        <v>92.63</v>
      </c>
      <c r="K210" t="s">
        <v>463</v>
      </c>
      <c r="L210">
        <f t="shared" si="9"/>
        <v>41</v>
      </c>
      <c r="M210" t="str">
        <f>_xlfn.XLOOKUP(B210,suppliers!A:A,suppliers!B:B)</f>
        <v>Acme Supply</v>
      </c>
      <c r="N210" t="str">
        <f t="shared" si="10"/>
        <v>Late</v>
      </c>
      <c r="O210">
        <f t="shared" si="11"/>
        <v>0.99</v>
      </c>
    </row>
    <row r="211" spans="1:15">
      <c r="A211">
        <v>5210</v>
      </c>
      <c r="B211">
        <v>4</v>
      </c>
      <c r="C211">
        <v>13</v>
      </c>
      <c r="D211" t="s">
        <v>121</v>
      </c>
      <c r="E211" s="1">
        <v>46129</v>
      </c>
      <c r="F211" s="1">
        <v>46137</v>
      </c>
      <c r="G211" s="1">
        <v>46141</v>
      </c>
      <c r="H211">
        <v>414</v>
      </c>
      <c r="I211">
        <v>411</v>
      </c>
      <c r="J211">
        <v>141.11000000000001</v>
      </c>
      <c r="K211" t="s">
        <v>462</v>
      </c>
      <c r="L211">
        <f t="shared" si="9"/>
        <v>12</v>
      </c>
      <c r="M211" t="str">
        <f>_xlfn.XLOOKUP(B211,suppliers!A:A,suppliers!B:B)</f>
        <v>Blue Ridge</v>
      </c>
      <c r="N211" t="str">
        <f t="shared" si="10"/>
        <v>Late</v>
      </c>
      <c r="O211">
        <f t="shared" si="11"/>
        <v>0.99</v>
      </c>
    </row>
    <row r="212" spans="1:15">
      <c r="A212">
        <v>5211</v>
      </c>
      <c r="B212">
        <v>5</v>
      </c>
      <c r="C212">
        <v>131</v>
      </c>
      <c r="D212" t="s">
        <v>118</v>
      </c>
      <c r="E212" s="1">
        <v>46127</v>
      </c>
      <c r="F212" s="1">
        <v>46145</v>
      </c>
      <c r="G212" s="1">
        <v>46161</v>
      </c>
      <c r="H212">
        <v>735</v>
      </c>
      <c r="I212">
        <v>729</v>
      </c>
      <c r="J212">
        <v>38.479999999999997</v>
      </c>
      <c r="K212" t="s">
        <v>462</v>
      </c>
      <c r="L212">
        <f t="shared" si="9"/>
        <v>34</v>
      </c>
      <c r="M212" t="str">
        <f>_xlfn.XLOOKUP(B212,suppliers!A:A,suppliers!B:B)</f>
        <v>Utah Wholesale</v>
      </c>
      <c r="N212" t="str">
        <f t="shared" si="10"/>
        <v>Late</v>
      </c>
      <c r="O212">
        <f t="shared" si="11"/>
        <v>0.99</v>
      </c>
    </row>
    <row r="213" spans="1:15">
      <c r="A213">
        <v>5212</v>
      </c>
      <c r="B213">
        <v>2</v>
      </c>
      <c r="C213">
        <v>48</v>
      </c>
      <c r="D213" t="s">
        <v>119</v>
      </c>
      <c r="E213" s="1">
        <v>46049</v>
      </c>
      <c r="F213" s="1">
        <v>46076</v>
      </c>
      <c r="G213" s="1">
        <v>46077</v>
      </c>
      <c r="H213">
        <v>527</v>
      </c>
      <c r="I213">
        <v>525</v>
      </c>
      <c r="J213">
        <v>79.47</v>
      </c>
      <c r="K213" t="s">
        <v>462</v>
      </c>
      <c r="L213">
        <f t="shared" si="9"/>
        <v>28</v>
      </c>
      <c r="M213" t="str">
        <f>_xlfn.XLOOKUP(B213,suppliers!A:A,suppliers!B:B)</f>
        <v>Global Goods</v>
      </c>
      <c r="N213" t="str">
        <f t="shared" si="10"/>
        <v>Late</v>
      </c>
      <c r="O213">
        <f t="shared" si="11"/>
        <v>1</v>
      </c>
    </row>
    <row r="214" spans="1:15">
      <c r="A214">
        <v>5213</v>
      </c>
      <c r="B214">
        <v>5</v>
      </c>
      <c r="C214">
        <v>53</v>
      </c>
      <c r="D214" t="s">
        <v>118</v>
      </c>
      <c r="E214" s="1">
        <v>46022</v>
      </c>
      <c r="F214" s="1">
        <v>46047</v>
      </c>
      <c r="G214" s="1">
        <v>46049</v>
      </c>
      <c r="H214">
        <v>695</v>
      </c>
      <c r="I214">
        <v>671</v>
      </c>
      <c r="J214">
        <v>78.069999999999993</v>
      </c>
      <c r="K214" t="s">
        <v>462</v>
      </c>
      <c r="L214">
        <f t="shared" si="9"/>
        <v>27</v>
      </c>
      <c r="M214" t="str">
        <f>_xlfn.XLOOKUP(B214,suppliers!A:A,suppliers!B:B)</f>
        <v>Utah Wholesale</v>
      </c>
      <c r="N214" t="str">
        <f t="shared" si="10"/>
        <v>Late</v>
      </c>
      <c r="O214">
        <f t="shared" si="11"/>
        <v>0.97</v>
      </c>
    </row>
    <row r="215" spans="1:15">
      <c r="A215">
        <v>5214</v>
      </c>
      <c r="B215">
        <v>5</v>
      </c>
      <c r="C215">
        <v>96</v>
      </c>
      <c r="D215" t="s">
        <v>120</v>
      </c>
      <c r="E215" s="1">
        <v>46095</v>
      </c>
      <c r="F215" s="1">
        <v>46104</v>
      </c>
      <c r="G215" s="1">
        <v>46118</v>
      </c>
      <c r="H215">
        <v>272</v>
      </c>
      <c r="I215">
        <v>245</v>
      </c>
      <c r="J215">
        <v>150.08000000000001</v>
      </c>
      <c r="K215" t="s">
        <v>464</v>
      </c>
      <c r="L215">
        <f t="shared" si="9"/>
        <v>23</v>
      </c>
      <c r="M215" t="str">
        <f>_xlfn.XLOOKUP(B215,suppliers!A:A,suppliers!B:B)</f>
        <v>Utah Wholesale</v>
      </c>
      <c r="N215" t="str">
        <f t="shared" si="10"/>
        <v>Late</v>
      </c>
      <c r="O215">
        <f t="shared" si="11"/>
        <v>0.9</v>
      </c>
    </row>
    <row r="216" spans="1:15">
      <c r="A216">
        <v>5215</v>
      </c>
      <c r="B216">
        <v>1</v>
      </c>
      <c r="C216">
        <v>80</v>
      </c>
      <c r="D216" t="s">
        <v>117</v>
      </c>
      <c r="E216" s="1">
        <v>46045</v>
      </c>
      <c r="F216" s="1">
        <v>46069</v>
      </c>
      <c r="G216" s="1">
        <v>46064</v>
      </c>
      <c r="H216">
        <v>445</v>
      </c>
      <c r="I216">
        <v>428</v>
      </c>
      <c r="J216">
        <v>107.94</v>
      </c>
      <c r="K216" t="s">
        <v>462</v>
      </c>
      <c r="L216">
        <f t="shared" si="9"/>
        <v>19</v>
      </c>
      <c r="M216" t="str">
        <f>_xlfn.XLOOKUP(B216,suppliers!A:A,suppliers!B:B)</f>
        <v>Acme Supply</v>
      </c>
      <c r="N216" t="str">
        <f t="shared" si="10"/>
        <v>On time</v>
      </c>
      <c r="O216">
        <f t="shared" si="11"/>
        <v>0.96</v>
      </c>
    </row>
    <row r="217" spans="1:15">
      <c r="A217">
        <v>5216</v>
      </c>
      <c r="B217">
        <v>5</v>
      </c>
      <c r="C217">
        <v>125</v>
      </c>
      <c r="D217" t="s">
        <v>117</v>
      </c>
      <c r="E217" s="1">
        <v>46057</v>
      </c>
      <c r="F217" s="1">
        <v>46102</v>
      </c>
      <c r="G217" s="1">
        <v>46119</v>
      </c>
      <c r="H217">
        <v>424</v>
      </c>
      <c r="I217">
        <v>416</v>
      </c>
      <c r="J217">
        <v>62.03</v>
      </c>
      <c r="K217" t="s">
        <v>462</v>
      </c>
      <c r="L217">
        <f t="shared" si="9"/>
        <v>62</v>
      </c>
      <c r="M217" t="str">
        <f>_xlfn.XLOOKUP(B217,suppliers!A:A,suppliers!B:B)</f>
        <v>Utah Wholesale</v>
      </c>
      <c r="N217" t="str">
        <f t="shared" si="10"/>
        <v>Late</v>
      </c>
      <c r="O217">
        <f t="shared" si="11"/>
        <v>0.98</v>
      </c>
    </row>
    <row r="218" spans="1:15">
      <c r="A218">
        <v>5217</v>
      </c>
      <c r="B218">
        <v>5</v>
      </c>
      <c r="C218">
        <v>19</v>
      </c>
      <c r="D218" t="s">
        <v>121</v>
      </c>
      <c r="E218" s="1">
        <v>46022</v>
      </c>
      <c r="F218" s="1">
        <v>46036</v>
      </c>
      <c r="G218" s="1">
        <v>46056</v>
      </c>
      <c r="H218">
        <v>520</v>
      </c>
      <c r="I218">
        <v>500</v>
      </c>
      <c r="J218">
        <v>62.92</v>
      </c>
      <c r="K218" t="s">
        <v>462</v>
      </c>
      <c r="L218">
        <f t="shared" si="9"/>
        <v>34</v>
      </c>
      <c r="M218" t="str">
        <f>_xlfn.XLOOKUP(B218,suppliers!A:A,suppliers!B:B)</f>
        <v>Utah Wholesale</v>
      </c>
      <c r="N218" t="str">
        <f t="shared" si="10"/>
        <v>Late</v>
      </c>
      <c r="O218">
        <f t="shared" si="11"/>
        <v>0.96</v>
      </c>
    </row>
    <row r="219" spans="1:15">
      <c r="A219">
        <v>5218</v>
      </c>
      <c r="B219">
        <v>7</v>
      </c>
      <c r="C219">
        <v>66</v>
      </c>
      <c r="D219" t="s">
        <v>119</v>
      </c>
      <c r="E219" s="1">
        <v>46094</v>
      </c>
      <c r="F219" s="1">
        <v>46119</v>
      </c>
      <c r="G219" s="1">
        <v>46123</v>
      </c>
      <c r="H219">
        <v>896</v>
      </c>
      <c r="I219">
        <v>848</v>
      </c>
      <c r="J219">
        <v>187.81</v>
      </c>
      <c r="K219" t="s">
        <v>464</v>
      </c>
      <c r="L219">
        <f t="shared" si="9"/>
        <v>29</v>
      </c>
      <c r="M219" t="str">
        <f>_xlfn.XLOOKUP(B219,suppliers!A:A,suppliers!B:B)</f>
        <v>Summit Trading</v>
      </c>
      <c r="N219" t="str">
        <f t="shared" si="10"/>
        <v>Late</v>
      </c>
      <c r="O219">
        <f t="shared" si="11"/>
        <v>0.95</v>
      </c>
    </row>
    <row r="220" spans="1:15">
      <c r="A220">
        <v>5219</v>
      </c>
      <c r="B220">
        <v>4</v>
      </c>
      <c r="C220">
        <v>102</v>
      </c>
      <c r="D220" t="s">
        <v>119</v>
      </c>
      <c r="E220" s="1">
        <v>46044</v>
      </c>
      <c r="F220" s="1">
        <v>46056</v>
      </c>
      <c r="G220" s="1">
        <v>46066</v>
      </c>
      <c r="H220">
        <v>225</v>
      </c>
      <c r="I220">
        <v>195</v>
      </c>
      <c r="J220">
        <v>152.93</v>
      </c>
      <c r="K220" t="s">
        <v>462</v>
      </c>
      <c r="L220">
        <f t="shared" si="9"/>
        <v>22</v>
      </c>
      <c r="M220" t="str">
        <f>_xlfn.XLOOKUP(B220,suppliers!A:A,suppliers!B:B)</f>
        <v>Blue Ridge</v>
      </c>
      <c r="N220" t="str">
        <f t="shared" si="10"/>
        <v>Late</v>
      </c>
      <c r="O220">
        <f t="shared" si="11"/>
        <v>0.87</v>
      </c>
    </row>
    <row r="221" spans="1:15">
      <c r="A221">
        <v>5220</v>
      </c>
      <c r="B221">
        <v>6</v>
      </c>
      <c r="C221">
        <v>28</v>
      </c>
      <c r="D221" t="s">
        <v>119</v>
      </c>
      <c r="E221" s="1">
        <v>46021</v>
      </c>
      <c r="F221" s="1">
        <v>46042</v>
      </c>
      <c r="G221" s="1">
        <v>46049</v>
      </c>
      <c r="H221">
        <v>208</v>
      </c>
      <c r="I221">
        <v>193</v>
      </c>
      <c r="J221">
        <v>66.099999999999994</v>
      </c>
      <c r="K221" t="s">
        <v>462</v>
      </c>
      <c r="L221">
        <f t="shared" si="9"/>
        <v>28</v>
      </c>
      <c r="M221" t="str">
        <f>_xlfn.XLOOKUP(B221,suppliers!A:A,suppliers!B:B)</f>
        <v>Evergreen Imports</v>
      </c>
      <c r="N221" t="str">
        <f t="shared" si="10"/>
        <v>Late</v>
      </c>
      <c r="O221">
        <f t="shared" si="11"/>
        <v>0.93</v>
      </c>
    </row>
    <row r="222" spans="1:15">
      <c r="A222">
        <v>5221</v>
      </c>
      <c r="B222">
        <v>6</v>
      </c>
      <c r="C222">
        <v>95</v>
      </c>
      <c r="D222" t="s">
        <v>121</v>
      </c>
      <c r="E222" s="1">
        <v>46105</v>
      </c>
      <c r="F222" s="1">
        <v>46121</v>
      </c>
      <c r="G222" s="1">
        <v>46140</v>
      </c>
      <c r="H222">
        <v>62</v>
      </c>
      <c r="I222">
        <v>13</v>
      </c>
      <c r="J222">
        <v>79.55</v>
      </c>
      <c r="K222" t="s">
        <v>462</v>
      </c>
      <c r="L222">
        <f t="shared" si="9"/>
        <v>35</v>
      </c>
      <c r="M222" t="str">
        <f>_xlfn.XLOOKUP(B222,suppliers!A:A,suppliers!B:B)</f>
        <v>Evergreen Imports</v>
      </c>
      <c r="N222" t="str">
        <f t="shared" si="10"/>
        <v>Late</v>
      </c>
      <c r="O222">
        <f t="shared" si="11"/>
        <v>0.21</v>
      </c>
    </row>
    <row r="223" spans="1:15">
      <c r="A223">
        <v>5222</v>
      </c>
      <c r="B223">
        <v>2</v>
      </c>
      <c r="C223">
        <v>54</v>
      </c>
      <c r="D223" t="s">
        <v>120</v>
      </c>
      <c r="E223" s="1">
        <v>46074</v>
      </c>
      <c r="F223" s="1">
        <v>46083</v>
      </c>
      <c r="G223" s="1">
        <v>46082</v>
      </c>
      <c r="H223">
        <v>369</v>
      </c>
      <c r="I223">
        <v>358</v>
      </c>
      <c r="J223">
        <v>195.1</v>
      </c>
      <c r="K223" t="s">
        <v>463</v>
      </c>
      <c r="L223">
        <f t="shared" si="9"/>
        <v>8</v>
      </c>
      <c r="M223" t="str">
        <f>_xlfn.XLOOKUP(B223,suppliers!A:A,suppliers!B:B)</f>
        <v>Global Goods</v>
      </c>
      <c r="N223" t="str">
        <f t="shared" si="10"/>
        <v>On time</v>
      </c>
      <c r="O223">
        <f t="shared" si="11"/>
        <v>0.97</v>
      </c>
    </row>
    <row r="224" spans="1:15">
      <c r="A224">
        <v>5223</v>
      </c>
      <c r="B224">
        <v>1</v>
      </c>
      <c r="C224">
        <v>119</v>
      </c>
      <c r="D224" t="s">
        <v>119</v>
      </c>
      <c r="E224" s="1">
        <v>46044</v>
      </c>
      <c r="F224" s="1">
        <v>46054</v>
      </c>
      <c r="G224" s="1">
        <v>46053</v>
      </c>
      <c r="H224">
        <v>989</v>
      </c>
      <c r="I224">
        <v>975</v>
      </c>
      <c r="J224">
        <v>26.25</v>
      </c>
      <c r="K224" t="s">
        <v>462</v>
      </c>
      <c r="L224">
        <f t="shared" si="9"/>
        <v>9</v>
      </c>
      <c r="M224" t="str">
        <f>_xlfn.XLOOKUP(B224,suppliers!A:A,suppliers!B:B)</f>
        <v>Acme Supply</v>
      </c>
      <c r="N224" t="str">
        <f t="shared" si="10"/>
        <v>On time</v>
      </c>
      <c r="O224">
        <f t="shared" si="11"/>
        <v>0.99</v>
      </c>
    </row>
    <row r="225" spans="1:15">
      <c r="A225">
        <v>5224</v>
      </c>
      <c r="B225">
        <v>5</v>
      </c>
      <c r="C225">
        <v>50</v>
      </c>
      <c r="D225" t="s">
        <v>121</v>
      </c>
      <c r="E225" s="1">
        <v>46078</v>
      </c>
      <c r="F225" s="1">
        <v>46113</v>
      </c>
      <c r="G225" s="1">
        <v>46122</v>
      </c>
      <c r="H225">
        <v>91</v>
      </c>
      <c r="I225">
        <v>73</v>
      </c>
      <c r="J225">
        <v>38.72</v>
      </c>
      <c r="K225" t="s">
        <v>464</v>
      </c>
      <c r="L225">
        <f t="shared" si="9"/>
        <v>44</v>
      </c>
      <c r="M225" t="str">
        <f>_xlfn.XLOOKUP(B225,suppliers!A:A,suppliers!B:B)</f>
        <v>Utah Wholesale</v>
      </c>
      <c r="N225" t="str">
        <f t="shared" si="10"/>
        <v>Late</v>
      </c>
      <c r="O225">
        <f t="shared" si="11"/>
        <v>0.8</v>
      </c>
    </row>
    <row r="226" spans="1:15">
      <c r="A226">
        <v>5225</v>
      </c>
      <c r="B226">
        <v>6</v>
      </c>
      <c r="C226">
        <v>42</v>
      </c>
      <c r="D226" t="s">
        <v>119</v>
      </c>
      <c r="E226" s="1">
        <v>46029</v>
      </c>
      <c r="F226" s="1">
        <v>46071</v>
      </c>
      <c r="G226" t="s">
        <v>145</v>
      </c>
      <c r="H226">
        <v>78</v>
      </c>
      <c r="I226">
        <v>0</v>
      </c>
      <c r="J226">
        <v>95.14</v>
      </c>
      <c r="K226" t="s">
        <v>462</v>
      </c>
      <c r="L226" t="str">
        <f t="shared" si="9"/>
        <v/>
      </c>
      <c r="M226" t="str">
        <f>_xlfn.XLOOKUP(B226,suppliers!A:A,suppliers!B:B)</f>
        <v>Evergreen Imports</v>
      </c>
      <c r="N226" t="str">
        <f t="shared" si="10"/>
        <v>Late</v>
      </c>
      <c r="O226">
        <f t="shared" si="11"/>
        <v>0</v>
      </c>
    </row>
    <row r="227" spans="1:15">
      <c r="A227">
        <v>5226</v>
      </c>
      <c r="B227">
        <v>5</v>
      </c>
      <c r="C227">
        <v>133</v>
      </c>
      <c r="D227" t="s">
        <v>122</v>
      </c>
      <c r="E227" s="1">
        <v>46129</v>
      </c>
      <c r="F227" s="1">
        <v>46137</v>
      </c>
      <c r="G227" s="1">
        <v>46137</v>
      </c>
      <c r="H227">
        <v>761</v>
      </c>
      <c r="I227">
        <v>759</v>
      </c>
      <c r="J227">
        <v>153.53</v>
      </c>
      <c r="K227" t="s">
        <v>462</v>
      </c>
      <c r="L227">
        <f t="shared" si="9"/>
        <v>8</v>
      </c>
      <c r="M227" t="str">
        <f>_xlfn.XLOOKUP(B227,suppliers!A:A,suppliers!B:B)</f>
        <v>Utah Wholesale</v>
      </c>
      <c r="N227" t="str">
        <f t="shared" si="10"/>
        <v>Late</v>
      </c>
      <c r="O227">
        <f t="shared" si="11"/>
        <v>1</v>
      </c>
    </row>
    <row r="228" spans="1:15">
      <c r="A228">
        <v>5227</v>
      </c>
      <c r="B228">
        <v>7</v>
      </c>
      <c r="C228">
        <v>27</v>
      </c>
      <c r="D228" t="s">
        <v>119</v>
      </c>
      <c r="E228" s="1">
        <v>46052</v>
      </c>
      <c r="F228" s="1">
        <v>46059</v>
      </c>
      <c r="G228" s="1">
        <v>46072</v>
      </c>
      <c r="H228">
        <v>79</v>
      </c>
      <c r="I228">
        <v>65</v>
      </c>
      <c r="J228">
        <v>39.85</v>
      </c>
      <c r="K228" t="s">
        <v>464</v>
      </c>
      <c r="L228">
        <f t="shared" si="9"/>
        <v>20</v>
      </c>
      <c r="M228" t="str">
        <f>_xlfn.XLOOKUP(B228,suppliers!A:A,suppliers!B:B)</f>
        <v>Summit Trading</v>
      </c>
      <c r="N228" t="str">
        <f t="shared" si="10"/>
        <v>Late</v>
      </c>
      <c r="O228">
        <f t="shared" si="11"/>
        <v>0.82</v>
      </c>
    </row>
    <row r="229" spans="1:15">
      <c r="A229">
        <v>5228</v>
      </c>
      <c r="B229">
        <v>2</v>
      </c>
      <c r="C229">
        <v>145</v>
      </c>
      <c r="D229" t="s">
        <v>117</v>
      </c>
      <c r="E229" s="1">
        <v>46132</v>
      </c>
      <c r="F229" s="1">
        <v>46143</v>
      </c>
      <c r="G229" s="1">
        <v>46153</v>
      </c>
      <c r="H229">
        <v>979</v>
      </c>
      <c r="I229">
        <v>961</v>
      </c>
      <c r="J229">
        <v>109.37</v>
      </c>
      <c r="K229" t="s">
        <v>464</v>
      </c>
      <c r="L229">
        <f t="shared" si="9"/>
        <v>21</v>
      </c>
      <c r="M229" t="str">
        <f>_xlfn.XLOOKUP(B229,suppliers!A:A,suppliers!B:B)</f>
        <v>Global Goods</v>
      </c>
      <c r="N229" t="str">
        <f t="shared" si="10"/>
        <v>Late</v>
      </c>
      <c r="O229">
        <f t="shared" si="11"/>
        <v>0.98</v>
      </c>
    </row>
    <row r="230" spans="1:15">
      <c r="A230">
        <v>5229</v>
      </c>
      <c r="B230">
        <v>3</v>
      </c>
      <c r="C230">
        <v>100</v>
      </c>
      <c r="D230" t="s">
        <v>117</v>
      </c>
      <c r="E230" s="1">
        <v>46108</v>
      </c>
      <c r="F230" s="1">
        <v>46130</v>
      </c>
      <c r="G230" s="1">
        <v>46144</v>
      </c>
      <c r="H230">
        <v>276</v>
      </c>
      <c r="I230">
        <v>246</v>
      </c>
      <c r="J230">
        <v>125.89</v>
      </c>
      <c r="K230" t="s">
        <v>462</v>
      </c>
      <c r="L230">
        <f t="shared" si="9"/>
        <v>36</v>
      </c>
      <c r="M230" t="str">
        <f>_xlfn.XLOOKUP(B230,suppliers!A:A,suppliers!B:B)</f>
        <v>PrimeSource</v>
      </c>
      <c r="N230" t="str">
        <f t="shared" si="10"/>
        <v>Late</v>
      </c>
      <c r="O230">
        <f t="shared" si="11"/>
        <v>0.89</v>
      </c>
    </row>
    <row r="231" spans="1:15">
      <c r="A231">
        <v>5230</v>
      </c>
      <c r="B231">
        <v>5</v>
      </c>
      <c r="C231">
        <v>117</v>
      </c>
      <c r="D231" t="s">
        <v>117</v>
      </c>
      <c r="E231" s="1">
        <v>46130</v>
      </c>
      <c r="F231" s="1">
        <v>46160</v>
      </c>
      <c r="G231" s="1">
        <v>46164</v>
      </c>
      <c r="H231">
        <v>672</v>
      </c>
      <c r="I231">
        <v>656</v>
      </c>
      <c r="J231">
        <v>150.57</v>
      </c>
      <c r="K231" t="s">
        <v>462</v>
      </c>
      <c r="L231">
        <f t="shared" si="9"/>
        <v>34</v>
      </c>
      <c r="M231" t="str">
        <f>_xlfn.XLOOKUP(B231,suppliers!A:A,suppliers!B:B)</f>
        <v>Utah Wholesale</v>
      </c>
      <c r="N231" t="str">
        <f t="shared" si="10"/>
        <v>Late</v>
      </c>
      <c r="O231">
        <f t="shared" si="11"/>
        <v>0.98</v>
      </c>
    </row>
    <row r="232" spans="1:15">
      <c r="A232">
        <v>5231</v>
      </c>
      <c r="B232">
        <v>6</v>
      </c>
      <c r="C232">
        <v>95</v>
      </c>
      <c r="D232" t="s">
        <v>121</v>
      </c>
      <c r="E232" s="1">
        <v>45998</v>
      </c>
      <c r="F232" s="1">
        <v>46032</v>
      </c>
      <c r="G232" s="1">
        <v>46031</v>
      </c>
      <c r="H232">
        <v>63</v>
      </c>
      <c r="I232">
        <v>49</v>
      </c>
      <c r="J232">
        <v>73.760000000000005</v>
      </c>
      <c r="K232" t="s">
        <v>462</v>
      </c>
      <c r="L232">
        <f t="shared" si="9"/>
        <v>33</v>
      </c>
      <c r="M232" t="str">
        <f>_xlfn.XLOOKUP(B232,suppliers!A:A,suppliers!B:B)</f>
        <v>Evergreen Imports</v>
      </c>
      <c r="N232" t="str">
        <f t="shared" si="10"/>
        <v>On time</v>
      </c>
      <c r="O232">
        <f t="shared" si="11"/>
        <v>0.78</v>
      </c>
    </row>
    <row r="233" spans="1:15">
      <c r="A233">
        <v>5232</v>
      </c>
      <c r="B233">
        <v>7</v>
      </c>
      <c r="C233">
        <v>33</v>
      </c>
      <c r="D233" t="s">
        <v>117</v>
      </c>
      <c r="E233" s="1">
        <v>46083</v>
      </c>
      <c r="F233" s="1">
        <v>46103</v>
      </c>
      <c r="G233" t="s">
        <v>145</v>
      </c>
      <c r="H233">
        <v>451</v>
      </c>
      <c r="I233">
        <v>0</v>
      </c>
      <c r="J233">
        <v>46.12</v>
      </c>
      <c r="K233" t="s">
        <v>462</v>
      </c>
      <c r="L233" t="str">
        <f t="shared" si="9"/>
        <v/>
      </c>
      <c r="M233" t="str">
        <f>_xlfn.XLOOKUP(B233,suppliers!A:A,suppliers!B:B)</f>
        <v>Summit Trading</v>
      </c>
      <c r="N233" t="str">
        <f t="shared" si="10"/>
        <v>Late</v>
      </c>
      <c r="O233">
        <f t="shared" si="11"/>
        <v>0</v>
      </c>
    </row>
    <row r="234" spans="1:15">
      <c r="A234">
        <v>5233</v>
      </c>
      <c r="B234">
        <v>6</v>
      </c>
      <c r="C234">
        <v>114</v>
      </c>
      <c r="D234" t="s">
        <v>121</v>
      </c>
      <c r="E234" s="1">
        <v>46092</v>
      </c>
      <c r="F234" s="1">
        <v>46128</v>
      </c>
      <c r="G234" s="1">
        <v>46133</v>
      </c>
      <c r="H234">
        <v>701</v>
      </c>
      <c r="I234">
        <v>688</v>
      </c>
      <c r="J234">
        <v>181.12</v>
      </c>
      <c r="K234" t="s">
        <v>462</v>
      </c>
      <c r="L234">
        <f t="shared" si="9"/>
        <v>41</v>
      </c>
      <c r="M234" t="str">
        <f>_xlfn.XLOOKUP(B234,suppliers!A:A,suppliers!B:B)</f>
        <v>Evergreen Imports</v>
      </c>
      <c r="N234" t="str">
        <f t="shared" si="10"/>
        <v>Late</v>
      </c>
      <c r="O234">
        <f t="shared" si="11"/>
        <v>0.98</v>
      </c>
    </row>
    <row r="235" spans="1:15">
      <c r="A235">
        <v>5234</v>
      </c>
      <c r="B235">
        <v>7</v>
      </c>
      <c r="C235">
        <v>56</v>
      </c>
      <c r="D235" t="s">
        <v>122</v>
      </c>
      <c r="E235" s="1">
        <v>46041</v>
      </c>
      <c r="F235" s="1">
        <v>46084</v>
      </c>
      <c r="G235" s="1">
        <v>46102</v>
      </c>
      <c r="H235">
        <v>695</v>
      </c>
      <c r="I235">
        <v>666</v>
      </c>
      <c r="J235">
        <v>156.77000000000001</v>
      </c>
      <c r="K235" t="s">
        <v>464</v>
      </c>
      <c r="L235">
        <f t="shared" si="9"/>
        <v>61</v>
      </c>
      <c r="M235" t="str">
        <f>_xlfn.XLOOKUP(B235,suppliers!A:A,suppliers!B:B)</f>
        <v>Summit Trading</v>
      </c>
      <c r="N235" t="str">
        <f t="shared" si="10"/>
        <v>Late</v>
      </c>
      <c r="O235">
        <f t="shared" si="11"/>
        <v>0.96</v>
      </c>
    </row>
    <row r="236" spans="1:15">
      <c r="A236">
        <v>5235</v>
      </c>
      <c r="B236">
        <v>8</v>
      </c>
      <c r="C236">
        <v>105</v>
      </c>
      <c r="D236" t="s">
        <v>117</v>
      </c>
      <c r="E236" s="1">
        <v>46088</v>
      </c>
      <c r="F236" s="1">
        <v>46114</v>
      </c>
      <c r="G236" s="1">
        <v>46113</v>
      </c>
      <c r="H236">
        <v>501</v>
      </c>
      <c r="I236">
        <v>482</v>
      </c>
      <c r="J236">
        <v>20.97</v>
      </c>
      <c r="K236" t="s">
        <v>464</v>
      </c>
      <c r="L236">
        <f t="shared" si="9"/>
        <v>25</v>
      </c>
      <c r="M236" t="str">
        <f>_xlfn.XLOOKUP(B236,suppliers!A:A,suppliers!B:B)</f>
        <v>Metro Logistics</v>
      </c>
      <c r="N236" t="str">
        <f t="shared" si="10"/>
        <v>On time</v>
      </c>
      <c r="O236">
        <f t="shared" si="11"/>
        <v>0.96</v>
      </c>
    </row>
    <row r="237" spans="1:15">
      <c r="A237">
        <v>5236</v>
      </c>
      <c r="B237">
        <v>5</v>
      </c>
      <c r="C237">
        <v>106</v>
      </c>
      <c r="D237" t="s">
        <v>121</v>
      </c>
      <c r="E237" s="1">
        <v>46006</v>
      </c>
      <c r="F237" s="1">
        <v>46025</v>
      </c>
      <c r="G237" s="1">
        <v>46037</v>
      </c>
      <c r="H237">
        <v>931</v>
      </c>
      <c r="I237">
        <v>904</v>
      </c>
      <c r="J237">
        <v>16.82</v>
      </c>
      <c r="K237" t="s">
        <v>462</v>
      </c>
      <c r="L237">
        <f t="shared" si="9"/>
        <v>31</v>
      </c>
      <c r="M237" t="str">
        <f>_xlfn.XLOOKUP(B237,suppliers!A:A,suppliers!B:B)</f>
        <v>Utah Wholesale</v>
      </c>
      <c r="N237" t="str">
        <f t="shared" si="10"/>
        <v>Late</v>
      </c>
      <c r="O237">
        <f t="shared" si="11"/>
        <v>0.97</v>
      </c>
    </row>
    <row r="238" spans="1:15">
      <c r="A238">
        <v>5237</v>
      </c>
      <c r="B238">
        <v>6</v>
      </c>
      <c r="C238">
        <v>114</v>
      </c>
      <c r="D238" t="s">
        <v>118</v>
      </c>
      <c r="E238" s="1">
        <v>45999</v>
      </c>
      <c r="F238" s="1">
        <v>46019</v>
      </c>
      <c r="G238" s="1">
        <v>46035</v>
      </c>
      <c r="H238">
        <v>196</v>
      </c>
      <c r="I238">
        <v>155</v>
      </c>
      <c r="J238">
        <v>172.11</v>
      </c>
      <c r="K238" t="s">
        <v>462</v>
      </c>
      <c r="L238">
        <f t="shared" si="9"/>
        <v>36</v>
      </c>
      <c r="M238" t="str">
        <f>_xlfn.XLOOKUP(B238,suppliers!A:A,suppliers!B:B)</f>
        <v>Evergreen Imports</v>
      </c>
      <c r="N238" t="str">
        <f t="shared" si="10"/>
        <v>Late</v>
      </c>
      <c r="O238">
        <f t="shared" si="11"/>
        <v>0.79</v>
      </c>
    </row>
    <row r="239" spans="1:15">
      <c r="A239">
        <v>5238</v>
      </c>
      <c r="B239">
        <v>3</v>
      </c>
      <c r="C239">
        <v>148</v>
      </c>
      <c r="D239" t="s">
        <v>118</v>
      </c>
      <c r="E239" s="1">
        <v>46043</v>
      </c>
      <c r="F239" s="1">
        <v>46059</v>
      </c>
      <c r="G239" s="1">
        <v>46068</v>
      </c>
      <c r="H239">
        <v>271</v>
      </c>
      <c r="I239">
        <v>223</v>
      </c>
      <c r="J239">
        <v>121.48</v>
      </c>
      <c r="K239" t="s">
        <v>462</v>
      </c>
      <c r="L239">
        <f t="shared" si="9"/>
        <v>25</v>
      </c>
      <c r="M239" t="str">
        <f>_xlfn.XLOOKUP(B239,suppliers!A:A,suppliers!B:B)</f>
        <v>PrimeSource</v>
      </c>
      <c r="N239" t="str">
        <f t="shared" si="10"/>
        <v>Late</v>
      </c>
      <c r="O239">
        <f t="shared" si="11"/>
        <v>0.82</v>
      </c>
    </row>
    <row r="240" spans="1:15">
      <c r="A240">
        <v>5239</v>
      </c>
      <c r="B240">
        <v>8</v>
      </c>
      <c r="C240">
        <v>81</v>
      </c>
      <c r="D240" t="s">
        <v>119</v>
      </c>
      <c r="E240" s="1">
        <v>46128</v>
      </c>
      <c r="F240" s="1">
        <v>46137</v>
      </c>
      <c r="G240" s="1">
        <v>46157</v>
      </c>
      <c r="H240">
        <v>86</v>
      </c>
      <c r="I240">
        <v>83</v>
      </c>
      <c r="J240">
        <v>38.29</v>
      </c>
      <c r="K240" t="s">
        <v>463</v>
      </c>
      <c r="L240">
        <f t="shared" si="9"/>
        <v>29</v>
      </c>
      <c r="M240" t="str">
        <f>_xlfn.XLOOKUP(B240,suppliers!A:A,suppliers!B:B)</f>
        <v>Metro Logistics</v>
      </c>
      <c r="N240" t="str">
        <f t="shared" si="10"/>
        <v>Late</v>
      </c>
      <c r="O240">
        <f t="shared" si="11"/>
        <v>0.97</v>
      </c>
    </row>
    <row r="241" spans="1:15">
      <c r="A241">
        <v>5240</v>
      </c>
      <c r="B241">
        <v>6</v>
      </c>
      <c r="C241">
        <v>24</v>
      </c>
      <c r="D241" t="s">
        <v>119</v>
      </c>
      <c r="E241" s="1">
        <v>46073</v>
      </c>
      <c r="F241" s="1">
        <v>46102</v>
      </c>
      <c r="G241" s="1">
        <v>46101</v>
      </c>
      <c r="H241">
        <v>1000</v>
      </c>
      <c r="I241">
        <v>977</v>
      </c>
      <c r="J241">
        <v>57.73</v>
      </c>
      <c r="K241" t="s">
        <v>464</v>
      </c>
      <c r="L241">
        <f t="shared" si="9"/>
        <v>28</v>
      </c>
      <c r="M241" t="str">
        <f>_xlfn.XLOOKUP(B241,suppliers!A:A,suppliers!B:B)</f>
        <v>Evergreen Imports</v>
      </c>
      <c r="N241" t="str">
        <f t="shared" si="10"/>
        <v>On time</v>
      </c>
      <c r="O241">
        <f t="shared" si="11"/>
        <v>0.98</v>
      </c>
    </row>
    <row r="242" spans="1:15">
      <c r="A242">
        <v>5241</v>
      </c>
      <c r="B242">
        <v>8</v>
      </c>
      <c r="C242">
        <v>81</v>
      </c>
      <c r="D242" t="s">
        <v>119</v>
      </c>
      <c r="E242" s="1">
        <v>46142</v>
      </c>
      <c r="F242" s="1">
        <v>46177</v>
      </c>
      <c r="G242" s="1">
        <v>46194</v>
      </c>
      <c r="H242">
        <v>199</v>
      </c>
      <c r="I242">
        <v>164</v>
      </c>
      <c r="J242">
        <v>41.82</v>
      </c>
      <c r="K242" t="s">
        <v>462</v>
      </c>
      <c r="L242">
        <f t="shared" si="9"/>
        <v>52</v>
      </c>
      <c r="M242" t="str">
        <f>_xlfn.XLOOKUP(B242,suppliers!A:A,suppliers!B:B)</f>
        <v>Metro Logistics</v>
      </c>
      <c r="N242" t="str">
        <f t="shared" si="10"/>
        <v>Late</v>
      </c>
      <c r="O242">
        <f t="shared" si="11"/>
        <v>0.82</v>
      </c>
    </row>
    <row r="243" spans="1:15">
      <c r="A243">
        <v>5242</v>
      </c>
      <c r="B243">
        <v>1</v>
      </c>
      <c r="C243">
        <v>39</v>
      </c>
      <c r="D243" t="s">
        <v>121</v>
      </c>
      <c r="E243" s="1">
        <v>46034</v>
      </c>
      <c r="F243" s="1">
        <v>46067</v>
      </c>
      <c r="G243" s="1">
        <v>46081</v>
      </c>
      <c r="H243">
        <v>439</v>
      </c>
      <c r="I243">
        <v>399</v>
      </c>
      <c r="J243">
        <v>38.729999999999997</v>
      </c>
      <c r="K243" t="s">
        <v>462</v>
      </c>
      <c r="L243">
        <f t="shared" si="9"/>
        <v>47</v>
      </c>
      <c r="M243" t="str">
        <f>_xlfn.XLOOKUP(B243,suppliers!A:A,suppliers!B:B)</f>
        <v>Acme Supply</v>
      </c>
      <c r="N243" t="str">
        <f t="shared" si="10"/>
        <v>Late</v>
      </c>
      <c r="O243">
        <f t="shared" si="11"/>
        <v>0.91</v>
      </c>
    </row>
    <row r="244" spans="1:15">
      <c r="A244">
        <v>5243</v>
      </c>
      <c r="B244">
        <v>6</v>
      </c>
      <c r="C244">
        <v>72</v>
      </c>
      <c r="D244" t="s">
        <v>119</v>
      </c>
      <c r="E244" s="1">
        <v>46056</v>
      </c>
      <c r="F244" s="1">
        <v>46070</v>
      </c>
      <c r="G244" s="1">
        <v>46069</v>
      </c>
      <c r="H244">
        <v>951</v>
      </c>
      <c r="I244">
        <v>943</v>
      </c>
      <c r="J244">
        <v>96.37</v>
      </c>
      <c r="K244" t="s">
        <v>462</v>
      </c>
      <c r="L244">
        <f t="shared" si="9"/>
        <v>13</v>
      </c>
      <c r="M244" t="str">
        <f>_xlfn.XLOOKUP(B244,suppliers!A:A,suppliers!B:B)</f>
        <v>Evergreen Imports</v>
      </c>
      <c r="N244" t="str">
        <f t="shared" si="10"/>
        <v>On time</v>
      </c>
      <c r="O244">
        <f t="shared" si="11"/>
        <v>0.99</v>
      </c>
    </row>
    <row r="245" spans="1:15">
      <c r="A245">
        <v>5244</v>
      </c>
      <c r="B245">
        <v>2</v>
      </c>
      <c r="C245">
        <v>122</v>
      </c>
      <c r="D245" t="s">
        <v>122</v>
      </c>
      <c r="E245" s="1">
        <v>46090</v>
      </c>
      <c r="F245" s="1">
        <v>46127</v>
      </c>
      <c r="G245" s="1">
        <v>46122</v>
      </c>
      <c r="H245">
        <v>620</v>
      </c>
      <c r="I245">
        <v>592</v>
      </c>
      <c r="J245">
        <v>190.94</v>
      </c>
      <c r="K245" t="s">
        <v>464</v>
      </c>
      <c r="L245">
        <f t="shared" si="9"/>
        <v>32</v>
      </c>
      <c r="M245" t="str">
        <f>_xlfn.XLOOKUP(B245,suppliers!A:A,suppliers!B:B)</f>
        <v>Global Goods</v>
      </c>
      <c r="N245" t="str">
        <f t="shared" si="10"/>
        <v>On time</v>
      </c>
      <c r="O245">
        <f t="shared" si="11"/>
        <v>0.95</v>
      </c>
    </row>
    <row r="246" spans="1:15">
      <c r="A246">
        <v>5245</v>
      </c>
      <c r="B246">
        <v>8</v>
      </c>
      <c r="C246">
        <v>147</v>
      </c>
      <c r="D246" t="s">
        <v>122</v>
      </c>
      <c r="E246" s="1">
        <v>46039</v>
      </c>
      <c r="F246" s="1">
        <v>46074</v>
      </c>
      <c r="G246" s="1">
        <v>46084</v>
      </c>
      <c r="H246">
        <v>989</v>
      </c>
      <c r="I246">
        <v>968</v>
      </c>
      <c r="J246">
        <v>143.69999999999999</v>
      </c>
      <c r="K246" t="s">
        <v>464</v>
      </c>
      <c r="L246">
        <f t="shared" si="9"/>
        <v>45</v>
      </c>
      <c r="M246" t="str">
        <f>_xlfn.XLOOKUP(B246,suppliers!A:A,suppliers!B:B)</f>
        <v>Metro Logistics</v>
      </c>
      <c r="N246" t="str">
        <f t="shared" si="10"/>
        <v>Late</v>
      </c>
      <c r="O246">
        <f t="shared" si="11"/>
        <v>0.98</v>
      </c>
    </row>
    <row r="247" spans="1:15">
      <c r="A247">
        <v>5246</v>
      </c>
      <c r="B247">
        <v>6</v>
      </c>
      <c r="C247">
        <v>95</v>
      </c>
      <c r="D247" t="s">
        <v>118</v>
      </c>
      <c r="E247" s="1">
        <v>46010</v>
      </c>
      <c r="F247" s="1">
        <v>46028</v>
      </c>
      <c r="G247" s="1">
        <v>46032</v>
      </c>
      <c r="H247">
        <v>713</v>
      </c>
      <c r="I247">
        <v>706</v>
      </c>
      <c r="J247">
        <v>71.87</v>
      </c>
      <c r="K247" t="s">
        <v>462</v>
      </c>
      <c r="L247">
        <f t="shared" si="9"/>
        <v>22</v>
      </c>
      <c r="M247" t="str">
        <f>_xlfn.XLOOKUP(B247,suppliers!A:A,suppliers!B:B)</f>
        <v>Evergreen Imports</v>
      </c>
      <c r="N247" t="str">
        <f t="shared" si="10"/>
        <v>Late</v>
      </c>
      <c r="O247">
        <f t="shared" si="11"/>
        <v>0.99</v>
      </c>
    </row>
    <row r="248" spans="1:15">
      <c r="A248">
        <v>5247</v>
      </c>
      <c r="B248">
        <v>7</v>
      </c>
      <c r="C248">
        <v>83</v>
      </c>
      <c r="D248" t="s">
        <v>117</v>
      </c>
      <c r="E248" s="1">
        <v>46067</v>
      </c>
      <c r="F248" s="1">
        <v>46079</v>
      </c>
      <c r="G248" s="1">
        <v>46099</v>
      </c>
      <c r="H248">
        <v>526</v>
      </c>
      <c r="I248">
        <v>516</v>
      </c>
      <c r="J248">
        <v>126.43</v>
      </c>
      <c r="K248" t="s">
        <v>463</v>
      </c>
      <c r="L248">
        <f t="shared" si="9"/>
        <v>32</v>
      </c>
      <c r="M248" t="str">
        <f>_xlfn.XLOOKUP(B248,suppliers!A:A,suppliers!B:B)</f>
        <v>Summit Trading</v>
      </c>
      <c r="N248" t="str">
        <f t="shared" si="10"/>
        <v>Late</v>
      </c>
      <c r="O248">
        <f t="shared" si="11"/>
        <v>0.98</v>
      </c>
    </row>
    <row r="249" spans="1:15">
      <c r="A249">
        <v>5248</v>
      </c>
      <c r="B249">
        <v>7</v>
      </c>
      <c r="C249">
        <v>65</v>
      </c>
      <c r="D249" t="s">
        <v>117</v>
      </c>
      <c r="E249" s="1">
        <v>46042</v>
      </c>
      <c r="F249" s="1">
        <v>46081</v>
      </c>
      <c r="G249" s="1">
        <v>46092</v>
      </c>
      <c r="H249">
        <v>945</v>
      </c>
      <c r="I249">
        <v>925</v>
      </c>
      <c r="J249">
        <v>53.53</v>
      </c>
      <c r="K249" t="s">
        <v>462</v>
      </c>
      <c r="L249">
        <f t="shared" si="9"/>
        <v>50</v>
      </c>
      <c r="M249" t="str">
        <f>_xlfn.XLOOKUP(B249,suppliers!A:A,suppliers!B:B)</f>
        <v>Summit Trading</v>
      </c>
      <c r="N249" t="str">
        <f t="shared" si="10"/>
        <v>Late</v>
      </c>
      <c r="O249">
        <f t="shared" si="11"/>
        <v>0.98</v>
      </c>
    </row>
    <row r="250" spans="1:15">
      <c r="A250">
        <v>5249</v>
      </c>
      <c r="B250">
        <v>6</v>
      </c>
      <c r="C250">
        <v>14</v>
      </c>
      <c r="D250" t="s">
        <v>117</v>
      </c>
      <c r="E250" s="1">
        <v>46054</v>
      </c>
      <c r="F250" s="1">
        <v>46080</v>
      </c>
      <c r="G250" s="1">
        <v>46088</v>
      </c>
      <c r="H250">
        <v>365</v>
      </c>
      <c r="I250">
        <v>323</v>
      </c>
      <c r="J250">
        <v>65.14</v>
      </c>
      <c r="K250" t="s">
        <v>464</v>
      </c>
      <c r="L250">
        <f t="shared" si="9"/>
        <v>34</v>
      </c>
      <c r="M250" t="str">
        <f>_xlfn.XLOOKUP(B250,suppliers!A:A,suppliers!B:B)</f>
        <v>Evergreen Imports</v>
      </c>
      <c r="N250" t="str">
        <f t="shared" si="10"/>
        <v>Late</v>
      </c>
      <c r="O250">
        <f t="shared" si="11"/>
        <v>0.88</v>
      </c>
    </row>
    <row r="251" spans="1:15">
      <c r="A251">
        <v>5250</v>
      </c>
      <c r="B251">
        <v>6</v>
      </c>
      <c r="C251">
        <v>86</v>
      </c>
      <c r="D251" t="s">
        <v>119</v>
      </c>
      <c r="E251" s="1">
        <v>46134</v>
      </c>
      <c r="F251" s="1">
        <v>46143</v>
      </c>
      <c r="G251" s="1">
        <v>46157</v>
      </c>
      <c r="H251">
        <v>30</v>
      </c>
      <c r="I251">
        <v>11</v>
      </c>
      <c r="J251">
        <v>148.55000000000001</v>
      </c>
      <c r="K251" t="s">
        <v>462</v>
      </c>
      <c r="L251">
        <f t="shared" si="9"/>
        <v>23</v>
      </c>
      <c r="M251" t="str">
        <f>_xlfn.XLOOKUP(B251,suppliers!A:A,suppliers!B:B)</f>
        <v>Evergreen Imports</v>
      </c>
      <c r="N251" t="str">
        <f t="shared" si="10"/>
        <v>Late</v>
      </c>
      <c r="O251">
        <f t="shared" si="11"/>
        <v>0.37</v>
      </c>
    </row>
    <row r="252" spans="1:15">
      <c r="A252">
        <v>5251</v>
      </c>
      <c r="B252">
        <v>5</v>
      </c>
      <c r="C252">
        <v>52</v>
      </c>
      <c r="D252" t="s">
        <v>117</v>
      </c>
      <c r="E252" s="1">
        <v>46113</v>
      </c>
      <c r="F252" s="1">
        <v>46144</v>
      </c>
      <c r="G252" s="1">
        <v>46161</v>
      </c>
      <c r="H252">
        <v>708</v>
      </c>
      <c r="I252">
        <v>687</v>
      </c>
      <c r="J252">
        <v>129.27000000000001</v>
      </c>
      <c r="K252" t="s">
        <v>463</v>
      </c>
      <c r="L252">
        <f t="shared" si="9"/>
        <v>48</v>
      </c>
      <c r="M252" t="str">
        <f>_xlfn.XLOOKUP(B252,suppliers!A:A,suppliers!B:B)</f>
        <v>Utah Wholesale</v>
      </c>
      <c r="N252" t="str">
        <f t="shared" si="10"/>
        <v>Late</v>
      </c>
      <c r="O252">
        <f t="shared" si="11"/>
        <v>0.97</v>
      </c>
    </row>
    <row r="253" spans="1:15">
      <c r="A253">
        <v>5252</v>
      </c>
      <c r="B253">
        <v>5</v>
      </c>
      <c r="C253">
        <v>132</v>
      </c>
      <c r="D253" t="s">
        <v>120</v>
      </c>
      <c r="E253" s="1">
        <v>46101</v>
      </c>
      <c r="F253" s="1">
        <v>46134</v>
      </c>
      <c r="G253" s="1">
        <v>46133</v>
      </c>
      <c r="H253">
        <v>985</v>
      </c>
      <c r="I253">
        <v>950</v>
      </c>
      <c r="J253">
        <v>15.26</v>
      </c>
      <c r="K253" t="s">
        <v>462</v>
      </c>
      <c r="L253">
        <f t="shared" si="9"/>
        <v>32</v>
      </c>
      <c r="M253" t="str">
        <f>_xlfn.XLOOKUP(B253,suppliers!A:A,suppliers!B:B)</f>
        <v>Utah Wholesale</v>
      </c>
      <c r="N253" t="str">
        <f t="shared" si="10"/>
        <v>On time</v>
      </c>
      <c r="O253">
        <f t="shared" si="11"/>
        <v>0.96</v>
      </c>
    </row>
    <row r="254" spans="1:15">
      <c r="A254">
        <v>5253</v>
      </c>
      <c r="B254">
        <v>2</v>
      </c>
      <c r="C254">
        <v>126</v>
      </c>
      <c r="D254" t="s">
        <v>122</v>
      </c>
      <c r="E254" s="1">
        <v>46065</v>
      </c>
      <c r="F254" s="1">
        <v>46089</v>
      </c>
      <c r="G254" s="1">
        <v>46098</v>
      </c>
      <c r="H254">
        <v>960</v>
      </c>
      <c r="I254">
        <v>928</v>
      </c>
      <c r="J254">
        <v>116.92</v>
      </c>
      <c r="K254" t="s">
        <v>464</v>
      </c>
      <c r="L254">
        <f t="shared" si="9"/>
        <v>33</v>
      </c>
      <c r="M254" t="str">
        <f>_xlfn.XLOOKUP(B254,suppliers!A:A,suppliers!B:B)</f>
        <v>Global Goods</v>
      </c>
      <c r="N254" t="str">
        <f t="shared" si="10"/>
        <v>Late</v>
      </c>
      <c r="O254">
        <f t="shared" si="11"/>
        <v>0.97</v>
      </c>
    </row>
    <row r="255" spans="1:15">
      <c r="A255">
        <v>5254</v>
      </c>
      <c r="B255">
        <v>5</v>
      </c>
      <c r="C255">
        <v>6</v>
      </c>
      <c r="D255" t="s">
        <v>118</v>
      </c>
      <c r="E255" s="1">
        <v>46025</v>
      </c>
      <c r="F255" s="1">
        <v>46038</v>
      </c>
      <c r="G255" s="1">
        <v>46038</v>
      </c>
      <c r="H255">
        <v>402</v>
      </c>
      <c r="I255">
        <v>353</v>
      </c>
      <c r="J255">
        <v>19.21</v>
      </c>
      <c r="K255" t="s">
        <v>464</v>
      </c>
      <c r="L255">
        <f t="shared" si="9"/>
        <v>13</v>
      </c>
      <c r="M255" t="str">
        <f>_xlfn.XLOOKUP(B255,suppliers!A:A,suppliers!B:B)</f>
        <v>Utah Wholesale</v>
      </c>
      <c r="N255" t="str">
        <f t="shared" si="10"/>
        <v>Late</v>
      </c>
      <c r="O255">
        <f t="shared" si="11"/>
        <v>0.88</v>
      </c>
    </row>
    <row r="256" spans="1:15">
      <c r="A256">
        <v>5255</v>
      </c>
      <c r="B256">
        <v>5</v>
      </c>
      <c r="C256">
        <v>20</v>
      </c>
      <c r="D256" t="s">
        <v>119</v>
      </c>
      <c r="E256" s="1">
        <v>45995</v>
      </c>
      <c r="F256" s="1">
        <v>46002</v>
      </c>
      <c r="G256" s="1">
        <v>46007</v>
      </c>
      <c r="H256">
        <v>911</v>
      </c>
      <c r="I256">
        <v>902</v>
      </c>
      <c r="J256">
        <v>150.85</v>
      </c>
      <c r="K256" t="s">
        <v>464</v>
      </c>
      <c r="L256">
        <f t="shared" si="9"/>
        <v>12</v>
      </c>
      <c r="M256" t="str">
        <f>_xlfn.XLOOKUP(B256,suppliers!A:A,suppliers!B:B)</f>
        <v>Utah Wholesale</v>
      </c>
      <c r="N256" t="str">
        <f t="shared" si="10"/>
        <v>Late</v>
      </c>
      <c r="O256">
        <f t="shared" si="11"/>
        <v>0.99</v>
      </c>
    </row>
    <row r="257" spans="1:15">
      <c r="A257">
        <v>5256</v>
      </c>
      <c r="B257">
        <v>3</v>
      </c>
      <c r="C257">
        <v>118</v>
      </c>
      <c r="D257" t="s">
        <v>119</v>
      </c>
      <c r="E257" s="1">
        <v>46077</v>
      </c>
      <c r="F257" s="1">
        <v>46090</v>
      </c>
      <c r="G257" s="1">
        <v>46086</v>
      </c>
      <c r="H257">
        <v>741</v>
      </c>
      <c r="I257">
        <v>730</v>
      </c>
      <c r="J257">
        <v>40.57</v>
      </c>
      <c r="K257" t="s">
        <v>464</v>
      </c>
      <c r="L257">
        <f t="shared" si="9"/>
        <v>9</v>
      </c>
      <c r="M257" t="str">
        <f>_xlfn.XLOOKUP(B257,suppliers!A:A,suppliers!B:B)</f>
        <v>PrimeSource</v>
      </c>
      <c r="N257" t="str">
        <f t="shared" si="10"/>
        <v>On time</v>
      </c>
      <c r="O257">
        <f t="shared" si="11"/>
        <v>0.99</v>
      </c>
    </row>
    <row r="258" spans="1:15">
      <c r="A258">
        <v>5257</v>
      </c>
      <c r="B258">
        <v>6</v>
      </c>
      <c r="C258">
        <v>24</v>
      </c>
      <c r="D258" t="s">
        <v>119</v>
      </c>
      <c r="E258" s="1">
        <v>45993</v>
      </c>
      <c r="F258" s="1">
        <v>46027</v>
      </c>
      <c r="G258" s="1">
        <v>46029</v>
      </c>
      <c r="H258">
        <v>235</v>
      </c>
      <c r="I258">
        <v>211</v>
      </c>
      <c r="J258">
        <v>53.71</v>
      </c>
      <c r="K258" t="s">
        <v>463</v>
      </c>
      <c r="L258">
        <f t="shared" si="9"/>
        <v>36</v>
      </c>
      <c r="M258" t="str">
        <f>_xlfn.XLOOKUP(B258,suppliers!A:A,suppliers!B:B)</f>
        <v>Evergreen Imports</v>
      </c>
      <c r="N258" t="str">
        <f t="shared" si="10"/>
        <v>Late</v>
      </c>
      <c r="O258">
        <f t="shared" si="11"/>
        <v>0.9</v>
      </c>
    </row>
    <row r="259" spans="1:15">
      <c r="A259">
        <v>5258</v>
      </c>
      <c r="B259">
        <v>8</v>
      </c>
      <c r="C259">
        <v>136</v>
      </c>
      <c r="D259" t="s">
        <v>118</v>
      </c>
      <c r="E259" s="1">
        <v>46042</v>
      </c>
      <c r="F259" s="1">
        <v>46079</v>
      </c>
      <c r="G259" s="1">
        <v>46096</v>
      </c>
      <c r="H259">
        <v>527</v>
      </c>
      <c r="I259">
        <v>497</v>
      </c>
      <c r="J259">
        <v>13.15</v>
      </c>
      <c r="K259" t="s">
        <v>463</v>
      </c>
      <c r="L259">
        <f t="shared" ref="L259:L322" si="12">IFERROR(G259-E259,"")</f>
        <v>54</v>
      </c>
      <c r="M259" t="str">
        <f>_xlfn.XLOOKUP(B259,suppliers!A:A,suppliers!B:B)</f>
        <v>Metro Logistics</v>
      </c>
      <c r="N259" t="str">
        <f t="shared" ref="N259:N322" si="13">IF(G259&lt;F259,"On time","Late")</f>
        <v>Late</v>
      </c>
      <c r="O259">
        <f t="shared" ref="O259:O322" si="14">ROUND(I259/H259,2)</f>
        <v>0.94</v>
      </c>
    </row>
    <row r="260" spans="1:15">
      <c r="A260">
        <v>5259</v>
      </c>
      <c r="B260">
        <v>7</v>
      </c>
      <c r="C260">
        <v>16</v>
      </c>
      <c r="D260" t="s">
        <v>120</v>
      </c>
      <c r="E260" s="1">
        <v>46106</v>
      </c>
      <c r="F260" s="1">
        <v>46124</v>
      </c>
      <c r="G260" s="1">
        <v>46121</v>
      </c>
      <c r="H260">
        <v>200</v>
      </c>
      <c r="I260">
        <v>191</v>
      </c>
      <c r="J260">
        <v>167.81</v>
      </c>
      <c r="K260" t="s">
        <v>464</v>
      </c>
      <c r="L260">
        <f t="shared" si="12"/>
        <v>15</v>
      </c>
      <c r="M260" t="str">
        <f>_xlfn.XLOOKUP(B260,suppliers!A:A,suppliers!B:B)</f>
        <v>Summit Trading</v>
      </c>
      <c r="N260" t="str">
        <f t="shared" si="13"/>
        <v>On time</v>
      </c>
      <c r="O260">
        <f t="shared" si="14"/>
        <v>0.96</v>
      </c>
    </row>
    <row r="261" spans="1:15">
      <c r="A261">
        <v>5260</v>
      </c>
      <c r="B261">
        <v>3</v>
      </c>
      <c r="C261">
        <v>148</v>
      </c>
      <c r="D261" t="s">
        <v>122</v>
      </c>
      <c r="E261" s="1">
        <v>46041</v>
      </c>
      <c r="F261" s="1">
        <v>46055</v>
      </c>
      <c r="G261" s="1">
        <v>46052</v>
      </c>
      <c r="H261">
        <v>212</v>
      </c>
      <c r="I261">
        <v>164</v>
      </c>
      <c r="J261">
        <v>93.84</v>
      </c>
      <c r="K261" t="s">
        <v>462</v>
      </c>
      <c r="L261">
        <f t="shared" si="12"/>
        <v>11</v>
      </c>
      <c r="M261" t="str">
        <f>_xlfn.XLOOKUP(B261,suppliers!A:A,suppliers!B:B)</f>
        <v>PrimeSource</v>
      </c>
      <c r="N261" t="str">
        <f t="shared" si="13"/>
        <v>On time</v>
      </c>
      <c r="O261">
        <f t="shared" si="14"/>
        <v>0.77</v>
      </c>
    </row>
    <row r="262" spans="1:15">
      <c r="A262">
        <v>5261</v>
      </c>
      <c r="B262">
        <v>6</v>
      </c>
      <c r="C262">
        <v>42</v>
      </c>
      <c r="D262" t="s">
        <v>118</v>
      </c>
      <c r="E262" s="1">
        <v>46094</v>
      </c>
      <c r="F262" s="1">
        <v>46138</v>
      </c>
      <c r="G262" s="1">
        <v>46146</v>
      </c>
      <c r="H262">
        <v>538</v>
      </c>
      <c r="I262">
        <v>511</v>
      </c>
      <c r="J262">
        <v>117.66</v>
      </c>
      <c r="K262" t="s">
        <v>463</v>
      </c>
      <c r="L262">
        <f t="shared" si="12"/>
        <v>52</v>
      </c>
      <c r="M262" t="str">
        <f>_xlfn.XLOOKUP(B262,suppliers!A:A,suppliers!B:B)</f>
        <v>Evergreen Imports</v>
      </c>
      <c r="N262" t="str">
        <f t="shared" si="13"/>
        <v>Late</v>
      </c>
      <c r="O262">
        <f t="shared" si="14"/>
        <v>0.95</v>
      </c>
    </row>
    <row r="263" spans="1:15">
      <c r="A263">
        <v>5262</v>
      </c>
      <c r="B263">
        <v>1</v>
      </c>
      <c r="C263">
        <v>89</v>
      </c>
      <c r="D263" t="s">
        <v>118</v>
      </c>
      <c r="E263" s="1">
        <v>46054</v>
      </c>
      <c r="F263" s="1">
        <v>46094</v>
      </c>
      <c r="G263" s="1">
        <v>46110</v>
      </c>
      <c r="H263">
        <v>277</v>
      </c>
      <c r="I263">
        <v>273</v>
      </c>
      <c r="J263">
        <v>145.12</v>
      </c>
      <c r="K263" t="s">
        <v>464</v>
      </c>
      <c r="L263">
        <f t="shared" si="12"/>
        <v>56</v>
      </c>
      <c r="M263" t="str">
        <f>_xlfn.XLOOKUP(B263,suppliers!A:A,suppliers!B:B)</f>
        <v>Acme Supply</v>
      </c>
      <c r="N263" t="str">
        <f t="shared" si="13"/>
        <v>Late</v>
      </c>
      <c r="O263">
        <f t="shared" si="14"/>
        <v>0.99</v>
      </c>
    </row>
    <row r="264" spans="1:15">
      <c r="A264">
        <v>5263</v>
      </c>
      <c r="B264">
        <v>8</v>
      </c>
      <c r="C264">
        <v>17</v>
      </c>
      <c r="D264" t="s">
        <v>117</v>
      </c>
      <c r="E264" s="1">
        <v>46119</v>
      </c>
      <c r="F264" s="1">
        <v>46148</v>
      </c>
      <c r="G264" t="s">
        <v>145</v>
      </c>
      <c r="H264">
        <v>81</v>
      </c>
      <c r="I264">
        <v>0</v>
      </c>
      <c r="J264">
        <v>47.63</v>
      </c>
      <c r="K264" t="s">
        <v>464</v>
      </c>
      <c r="L264" t="str">
        <f t="shared" si="12"/>
        <v/>
      </c>
      <c r="M264" t="str">
        <f>_xlfn.XLOOKUP(B264,suppliers!A:A,suppliers!B:B)</f>
        <v>Metro Logistics</v>
      </c>
      <c r="N264" t="str">
        <f t="shared" si="13"/>
        <v>Late</v>
      </c>
      <c r="O264">
        <f t="shared" si="14"/>
        <v>0</v>
      </c>
    </row>
    <row r="265" spans="1:15">
      <c r="A265">
        <v>5264</v>
      </c>
      <c r="B265">
        <v>4</v>
      </c>
      <c r="C265">
        <v>115</v>
      </c>
      <c r="D265" t="s">
        <v>119</v>
      </c>
      <c r="E265" s="1">
        <v>45996</v>
      </c>
      <c r="F265" s="1">
        <v>46008</v>
      </c>
      <c r="G265" s="1">
        <v>46027</v>
      </c>
      <c r="H265">
        <v>958</v>
      </c>
      <c r="I265">
        <v>922</v>
      </c>
      <c r="J265">
        <v>71.319999999999993</v>
      </c>
      <c r="K265" t="s">
        <v>463</v>
      </c>
      <c r="L265">
        <f t="shared" si="12"/>
        <v>31</v>
      </c>
      <c r="M265" t="str">
        <f>_xlfn.XLOOKUP(B265,suppliers!A:A,suppliers!B:B)</f>
        <v>Blue Ridge</v>
      </c>
      <c r="N265" t="str">
        <f t="shared" si="13"/>
        <v>Late</v>
      </c>
      <c r="O265">
        <f t="shared" si="14"/>
        <v>0.96</v>
      </c>
    </row>
    <row r="266" spans="1:15">
      <c r="A266">
        <v>5265</v>
      </c>
      <c r="B266">
        <v>6</v>
      </c>
      <c r="C266">
        <v>82</v>
      </c>
      <c r="D266" t="s">
        <v>117</v>
      </c>
      <c r="E266" s="1">
        <v>46108</v>
      </c>
      <c r="F266" s="1">
        <v>46137</v>
      </c>
      <c r="G266" s="1">
        <v>46147</v>
      </c>
      <c r="H266">
        <v>399</v>
      </c>
      <c r="I266">
        <v>379</v>
      </c>
      <c r="J266">
        <v>89.11</v>
      </c>
      <c r="K266" t="s">
        <v>464</v>
      </c>
      <c r="L266">
        <f t="shared" si="12"/>
        <v>39</v>
      </c>
      <c r="M266" t="str">
        <f>_xlfn.XLOOKUP(B266,suppliers!A:A,suppliers!B:B)</f>
        <v>Evergreen Imports</v>
      </c>
      <c r="N266" t="str">
        <f t="shared" si="13"/>
        <v>Late</v>
      </c>
      <c r="O266">
        <f t="shared" si="14"/>
        <v>0.95</v>
      </c>
    </row>
    <row r="267" spans="1:15">
      <c r="A267">
        <v>5266</v>
      </c>
      <c r="B267">
        <v>2</v>
      </c>
      <c r="C267">
        <v>49</v>
      </c>
      <c r="D267" t="s">
        <v>117</v>
      </c>
      <c r="E267" s="1">
        <v>46051</v>
      </c>
      <c r="F267" s="1">
        <v>46095</v>
      </c>
      <c r="G267" s="1">
        <v>46112</v>
      </c>
      <c r="H267">
        <v>381</v>
      </c>
      <c r="I267">
        <v>361</v>
      </c>
      <c r="J267">
        <v>52.12</v>
      </c>
      <c r="K267" t="s">
        <v>462</v>
      </c>
      <c r="L267">
        <f t="shared" si="12"/>
        <v>61</v>
      </c>
      <c r="M267" t="str">
        <f>_xlfn.XLOOKUP(B267,suppliers!A:A,suppliers!B:B)</f>
        <v>Global Goods</v>
      </c>
      <c r="N267" t="str">
        <f t="shared" si="13"/>
        <v>Late</v>
      </c>
      <c r="O267">
        <f t="shared" si="14"/>
        <v>0.95</v>
      </c>
    </row>
    <row r="268" spans="1:15">
      <c r="A268">
        <v>5267</v>
      </c>
      <c r="B268">
        <v>1</v>
      </c>
      <c r="C268">
        <v>119</v>
      </c>
      <c r="D268" t="s">
        <v>119</v>
      </c>
      <c r="E268" s="1">
        <v>46111</v>
      </c>
      <c r="F268" s="1">
        <v>46146</v>
      </c>
      <c r="G268" s="1">
        <v>46164</v>
      </c>
      <c r="H268">
        <v>788</v>
      </c>
      <c r="I268">
        <v>780</v>
      </c>
      <c r="J268">
        <v>27.26</v>
      </c>
      <c r="K268" t="s">
        <v>463</v>
      </c>
      <c r="L268">
        <f t="shared" si="12"/>
        <v>53</v>
      </c>
      <c r="M268" t="str">
        <f>_xlfn.XLOOKUP(B268,suppliers!A:A,suppliers!B:B)</f>
        <v>Acme Supply</v>
      </c>
      <c r="N268" t="str">
        <f t="shared" si="13"/>
        <v>Late</v>
      </c>
      <c r="O268">
        <f t="shared" si="14"/>
        <v>0.99</v>
      </c>
    </row>
    <row r="269" spans="1:15">
      <c r="A269">
        <v>5268</v>
      </c>
      <c r="B269">
        <v>4</v>
      </c>
      <c r="C269">
        <v>98</v>
      </c>
      <c r="D269" t="s">
        <v>118</v>
      </c>
      <c r="E269" s="1">
        <v>46031</v>
      </c>
      <c r="F269" s="1">
        <v>46063</v>
      </c>
      <c r="G269" s="1">
        <v>46071</v>
      </c>
      <c r="H269">
        <v>830</v>
      </c>
      <c r="I269">
        <v>821</v>
      </c>
      <c r="J269">
        <v>161.22999999999999</v>
      </c>
      <c r="K269" t="s">
        <v>464</v>
      </c>
      <c r="L269">
        <f t="shared" si="12"/>
        <v>40</v>
      </c>
      <c r="M269" t="str">
        <f>_xlfn.XLOOKUP(B269,suppliers!A:A,suppliers!B:B)</f>
        <v>Blue Ridge</v>
      </c>
      <c r="N269" t="str">
        <f t="shared" si="13"/>
        <v>Late</v>
      </c>
      <c r="O269">
        <f t="shared" si="14"/>
        <v>0.99</v>
      </c>
    </row>
    <row r="270" spans="1:15">
      <c r="A270">
        <v>5269</v>
      </c>
      <c r="B270">
        <v>2</v>
      </c>
      <c r="C270">
        <v>48</v>
      </c>
      <c r="D270" t="s">
        <v>118</v>
      </c>
      <c r="E270" s="1">
        <v>46048</v>
      </c>
      <c r="F270" s="1">
        <v>46061</v>
      </c>
      <c r="G270" s="1">
        <v>46071</v>
      </c>
      <c r="H270">
        <v>173</v>
      </c>
      <c r="I270">
        <v>172</v>
      </c>
      <c r="J270">
        <v>81.650000000000006</v>
      </c>
      <c r="K270" t="s">
        <v>462</v>
      </c>
      <c r="L270">
        <f t="shared" si="12"/>
        <v>23</v>
      </c>
      <c r="M270" t="str">
        <f>_xlfn.XLOOKUP(B270,suppliers!A:A,suppliers!B:B)</f>
        <v>Global Goods</v>
      </c>
      <c r="N270" t="str">
        <f t="shared" si="13"/>
        <v>Late</v>
      </c>
      <c r="O270">
        <f t="shared" si="14"/>
        <v>0.99</v>
      </c>
    </row>
    <row r="271" spans="1:15">
      <c r="A271">
        <v>5270</v>
      </c>
      <c r="B271">
        <v>1</v>
      </c>
      <c r="C271">
        <v>101</v>
      </c>
      <c r="D271" t="s">
        <v>117</v>
      </c>
      <c r="E271" s="1">
        <v>46033</v>
      </c>
      <c r="F271" s="1">
        <v>46059</v>
      </c>
      <c r="G271" s="1">
        <v>46071</v>
      </c>
      <c r="H271">
        <v>304</v>
      </c>
      <c r="I271">
        <v>266</v>
      </c>
      <c r="J271">
        <v>163.59</v>
      </c>
      <c r="K271" t="s">
        <v>462</v>
      </c>
      <c r="L271">
        <f t="shared" si="12"/>
        <v>38</v>
      </c>
      <c r="M271" t="str">
        <f>_xlfn.XLOOKUP(B271,suppliers!A:A,suppliers!B:B)</f>
        <v>Acme Supply</v>
      </c>
      <c r="N271" t="str">
        <f t="shared" si="13"/>
        <v>Late</v>
      </c>
      <c r="O271">
        <f t="shared" si="14"/>
        <v>0.88</v>
      </c>
    </row>
    <row r="272" spans="1:15">
      <c r="A272">
        <v>5271</v>
      </c>
      <c r="B272">
        <v>7</v>
      </c>
      <c r="C272">
        <v>111</v>
      </c>
      <c r="D272" t="s">
        <v>119</v>
      </c>
      <c r="E272" s="1">
        <v>46104</v>
      </c>
      <c r="F272" s="1">
        <v>46121</v>
      </c>
      <c r="G272" s="1">
        <v>46137</v>
      </c>
      <c r="H272">
        <v>81</v>
      </c>
      <c r="I272">
        <v>77</v>
      </c>
      <c r="J272">
        <v>169.43</v>
      </c>
      <c r="K272" t="s">
        <v>463</v>
      </c>
      <c r="L272">
        <f t="shared" si="12"/>
        <v>33</v>
      </c>
      <c r="M272" t="str">
        <f>_xlfn.XLOOKUP(B272,suppliers!A:A,suppliers!B:B)</f>
        <v>Summit Trading</v>
      </c>
      <c r="N272" t="str">
        <f t="shared" si="13"/>
        <v>Late</v>
      </c>
      <c r="O272">
        <f t="shared" si="14"/>
        <v>0.95</v>
      </c>
    </row>
    <row r="273" spans="1:15">
      <c r="A273">
        <v>5272</v>
      </c>
      <c r="B273">
        <v>3</v>
      </c>
      <c r="C273">
        <v>123</v>
      </c>
      <c r="D273" t="s">
        <v>117</v>
      </c>
      <c r="E273" s="1">
        <v>46067</v>
      </c>
      <c r="F273" s="1">
        <v>46083</v>
      </c>
      <c r="G273" s="1">
        <v>46093</v>
      </c>
      <c r="H273">
        <v>842</v>
      </c>
      <c r="I273">
        <v>842</v>
      </c>
      <c r="J273">
        <v>99.26</v>
      </c>
      <c r="K273" t="s">
        <v>463</v>
      </c>
      <c r="L273">
        <f t="shared" si="12"/>
        <v>26</v>
      </c>
      <c r="M273" t="str">
        <f>_xlfn.XLOOKUP(B273,suppliers!A:A,suppliers!B:B)</f>
        <v>PrimeSource</v>
      </c>
      <c r="N273" t="str">
        <f t="shared" si="13"/>
        <v>Late</v>
      </c>
      <c r="O273">
        <f t="shared" si="14"/>
        <v>1</v>
      </c>
    </row>
    <row r="274" spans="1:15">
      <c r="A274">
        <v>5273</v>
      </c>
      <c r="B274">
        <v>4</v>
      </c>
      <c r="C274">
        <v>41</v>
      </c>
      <c r="D274" t="s">
        <v>118</v>
      </c>
      <c r="E274" s="1">
        <v>46079</v>
      </c>
      <c r="F274" s="1">
        <v>46105</v>
      </c>
      <c r="G274" s="1">
        <v>46113</v>
      </c>
      <c r="H274">
        <v>646</v>
      </c>
      <c r="I274">
        <v>613</v>
      </c>
      <c r="J274">
        <v>108.59</v>
      </c>
      <c r="K274" t="s">
        <v>463</v>
      </c>
      <c r="L274">
        <f t="shared" si="12"/>
        <v>34</v>
      </c>
      <c r="M274" t="str">
        <f>_xlfn.XLOOKUP(B274,suppliers!A:A,suppliers!B:B)</f>
        <v>Blue Ridge</v>
      </c>
      <c r="N274" t="str">
        <f t="shared" si="13"/>
        <v>Late</v>
      </c>
      <c r="O274">
        <f t="shared" si="14"/>
        <v>0.95</v>
      </c>
    </row>
    <row r="275" spans="1:15">
      <c r="A275">
        <v>5274</v>
      </c>
      <c r="B275">
        <v>8</v>
      </c>
      <c r="C275">
        <v>88</v>
      </c>
      <c r="D275" t="s">
        <v>122</v>
      </c>
      <c r="E275" s="1">
        <v>46088</v>
      </c>
      <c r="F275" s="1">
        <v>46103</v>
      </c>
      <c r="G275" s="1">
        <v>46113</v>
      </c>
      <c r="H275">
        <v>84</v>
      </c>
      <c r="I275">
        <v>58</v>
      </c>
      <c r="J275">
        <v>66.510000000000005</v>
      </c>
      <c r="K275" t="s">
        <v>462</v>
      </c>
      <c r="L275">
        <f t="shared" si="12"/>
        <v>25</v>
      </c>
      <c r="M275" t="str">
        <f>_xlfn.XLOOKUP(B275,suppliers!A:A,suppliers!B:B)</f>
        <v>Metro Logistics</v>
      </c>
      <c r="N275" t="str">
        <f t="shared" si="13"/>
        <v>Late</v>
      </c>
      <c r="O275">
        <f t="shared" si="14"/>
        <v>0.69</v>
      </c>
    </row>
    <row r="276" spans="1:15">
      <c r="A276">
        <v>5275</v>
      </c>
      <c r="B276">
        <v>2</v>
      </c>
      <c r="C276">
        <v>54</v>
      </c>
      <c r="D276" t="s">
        <v>117</v>
      </c>
      <c r="E276" s="1">
        <v>46076</v>
      </c>
      <c r="F276" s="1">
        <v>46097</v>
      </c>
      <c r="G276" t="s">
        <v>145</v>
      </c>
      <c r="H276">
        <v>944</v>
      </c>
      <c r="I276">
        <v>0</v>
      </c>
      <c r="J276">
        <v>159.35</v>
      </c>
      <c r="K276" t="s">
        <v>463</v>
      </c>
      <c r="L276" t="str">
        <f t="shared" si="12"/>
        <v/>
      </c>
      <c r="M276" t="str">
        <f>_xlfn.XLOOKUP(B276,suppliers!A:A,suppliers!B:B)</f>
        <v>Global Goods</v>
      </c>
      <c r="N276" t="str">
        <f t="shared" si="13"/>
        <v>Late</v>
      </c>
      <c r="O276">
        <f t="shared" si="14"/>
        <v>0</v>
      </c>
    </row>
    <row r="277" spans="1:15">
      <c r="A277">
        <v>5276</v>
      </c>
      <c r="B277">
        <v>5</v>
      </c>
      <c r="C277">
        <v>143</v>
      </c>
      <c r="D277" t="s">
        <v>122</v>
      </c>
      <c r="E277" s="1">
        <v>46080</v>
      </c>
      <c r="F277" s="1">
        <v>46123</v>
      </c>
      <c r="G277" s="1">
        <v>46140</v>
      </c>
      <c r="H277">
        <v>219</v>
      </c>
      <c r="I277">
        <v>169</v>
      </c>
      <c r="J277">
        <v>49.18</v>
      </c>
      <c r="K277" t="s">
        <v>464</v>
      </c>
      <c r="L277">
        <f t="shared" si="12"/>
        <v>60</v>
      </c>
      <c r="M277" t="str">
        <f>_xlfn.XLOOKUP(B277,suppliers!A:A,suppliers!B:B)</f>
        <v>Utah Wholesale</v>
      </c>
      <c r="N277" t="str">
        <f t="shared" si="13"/>
        <v>Late</v>
      </c>
      <c r="O277">
        <f t="shared" si="14"/>
        <v>0.77</v>
      </c>
    </row>
    <row r="278" spans="1:15">
      <c r="A278">
        <v>5277</v>
      </c>
      <c r="B278">
        <v>1</v>
      </c>
      <c r="C278">
        <v>59</v>
      </c>
      <c r="D278" t="s">
        <v>121</v>
      </c>
      <c r="E278" s="1">
        <v>46053</v>
      </c>
      <c r="F278" s="1">
        <v>46075</v>
      </c>
      <c r="G278" s="1">
        <v>46085</v>
      </c>
      <c r="H278">
        <v>931</v>
      </c>
      <c r="I278">
        <v>925</v>
      </c>
      <c r="J278">
        <v>139.22999999999999</v>
      </c>
      <c r="K278" t="s">
        <v>462</v>
      </c>
      <c r="L278">
        <f t="shared" si="12"/>
        <v>32</v>
      </c>
      <c r="M278" t="str">
        <f>_xlfn.XLOOKUP(B278,suppliers!A:A,suppliers!B:B)</f>
        <v>Acme Supply</v>
      </c>
      <c r="N278" t="str">
        <f t="shared" si="13"/>
        <v>Late</v>
      </c>
      <c r="O278">
        <f t="shared" si="14"/>
        <v>0.99</v>
      </c>
    </row>
    <row r="279" spans="1:15">
      <c r="A279">
        <v>5278</v>
      </c>
      <c r="B279">
        <v>3</v>
      </c>
      <c r="C279">
        <v>38</v>
      </c>
      <c r="D279" t="s">
        <v>120</v>
      </c>
      <c r="E279" s="1">
        <v>46075</v>
      </c>
      <c r="F279" s="1">
        <v>46087</v>
      </c>
      <c r="G279" s="1">
        <v>46096</v>
      </c>
      <c r="H279">
        <v>637</v>
      </c>
      <c r="I279">
        <v>633</v>
      </c>
      <c r="J279">
        <v>202.23</v>
      </c>
      <c r="K279" t="s">
        <v>462</v>
      </c>
      <c r="L279">
        <f t="shared" si="12"/>
        <v>21</v>
      </c>
      <c r="M279" t="str">
        <f>_xlfn.XLOOKUP(B279,suppliers!A:A,suppliers!B:B)</f>
        <v>PrimeSource</v>
      </c>
      <c r="N279" t="str">
        <f t="shared" si="13"/>
        <v>Late</v>
      </c>
      <c r="O279">
        <f t="shared" si="14"/>
        <v>0.99</v>
      </c>
    </row>
    <row r="280" spans="1:15">
      <c r="A280">
        <v>5279</v>
      </c>
      <c r="B280">
        <v>3</v>
      </c>
      <c r="C280">
        <v>100</v>
      </c>
      <c r="D280" t="s">
        <v>117</v>
      </c>
      <c r="E280" s="1">
        <v>46042</v>
      </c>
      <c r="F280" s="1">
        <v>46066</v>
      </c>
      <c r="G280" s="1">
        <v>46072</v>
      </c>
      <c r="H280">
        <v>888</v>
      </c>
      <c r="I280">
        <v>873</v>
      </c>
      <c r="J280">
        <v>147.94</v>
      </c>
      <c r="K280" t="s">
        <v>462</v>
      </c>
      <c r="L280">
        <f t="shared" si="12"/>
        <v>30</v>
      </c>
      <c r="M280" t="str">
        <f>_xlfn.XLOOKUP(B280,suppliers!A:A,suppliers!B:B)</f>
        <v>PrimeSource</v>
      </c>
      <c r="N280" t="str">
        <f t="shared" si="13"/>
        <v>Late</v>
      </c>
      <c r="O280">
        <f t="shared" si="14"/>
        <v>0.98</v>
      </c>
    </row>
    <row r="281" spans="1:15">
      <c r="A281">
        <v>5280</v>
      </c>
      <c r="B281">
        <v>3</v>
      </c>
      <c r="C281">
        <v>1</v>
      </c>
      <c r="D281" t="s">
        <v>120</v>
      </c>
      <c r="E281" s="1">
        <v>46076</v>
      </c>
      <c r="F281" s="1">
        <v>46105</v>
      </c>
      <c r="G281" s="1">
        <v>46115</v>
      </c>
      <c r="H281">
        <v>595</v>
      </c>
      <c r="I281">
        <v>575</v>
      </c>
      <c r="J281">
        <v>122.43</v>
      </c>
      <c r="K281" t="s">
        <v>462</v>
      </c>
      <c r="L281">
        <f t="shared" si="12"/>
        <v>39</v>
      </c>
      <c r="M281" t="str">
        <f>_xlfn.XLOOKUP(B281,suppliers!A:A,suppliers!B:B)</f>
        <v>PrimeSource</v>
      </c>
      <c r="N281" t="str">
        <f t="shared" si="13"/>
        <v>Late</v>
      </c>
      <c r="O281">
        <f t="shared" si="14"/>
        <v>0.97</v>
      </c>
    </row>
    <row r="282" spans="1:15">
      <c r="A282">
        <v>5281</v>
      </c>
      <c r="B282">
        <v>8</v>
      </c>
      <c r="C282">
        <v>81</v>
      </c>
      <c r="D282" t="s">
        <v>119</v>
      </c>
      <c r="E282" s="1">
        <v>46130</v>
      </c>
      <c r="F282" s="1">
        <v>46149</v>
      </c>
      <c r="G282" s="1">
        <v>46164</v>
      </c>
      <c r="H282">
        <v>212</v>
      </c>
      <c r="I282">
        <v>194</v>
      </c>
      <c r="J282">
        <v>53.39</v>
      </c>
      <c r="K282" t="s">
        <v>464</v>
      </c>
      <c r="L282">
        <f t="shared" si="12"/>
        <v>34</v>
      </c>
      <c r="M282" t="str">
        <f>_xlfn.XLOOKUP(B282,suppliers!A:A,suppliers!B:B)</f>
        <v>Metro Logistics</v>
      </c>
      <c r="N282" t="str">
        <f t="shared" si="13"/>
        <v>Late</v>
      </c>
      <c r="O282">
        <f t="shared" si="14"/>
        <v>0.92</v>
      </c>
    </row>
    <row r="283" spans="1:15">
      <c r="A283">
        <v>5282</v>
      </c>
      <c r="B283">
        <v>5</v>
      </c>
      <c r="C283">
        <v>50</v>
      </c>
      <c r="D283" t="s">
        <v>119</v>
      </c>
      <c r="E283" s="1">
        <v>46127</v>
      </c>
      <c r="F283" s="1">
        <v>46166</v>
      </c>
      <c r="G283" s="1">
        <v>46186</v>
      </c>
      <c r="H283">
        <v>405</v>
      </c>
      <c r="I283">
        <v>386</v>
      </c>
      <c r="J283">
        <v>33.24</v>
      </c>
      <c r="K283" t="s">
        <v>463</v>
      </c>
      <c r="L283">
        <f t="shared" si="12"/>
        <v>59</v>
      </c>
      <c r="M283" t="str">
        <f>_xlfn.XLOOKUP(B283,suppliers!A:A,suppliers!B:B)</f>
        <v>Utah Wholesale</v>
      </c>
      <c r="N283" t="str">
        <f t="shared" si="13"/>
        <v>Late</v>
      </c>
      <c r="O283">
        <f t="shared" si="14"/>
        <v>0.95</v>
      </c>
    </row>
    <row r="284" spans="1:15">
      <c r="A284">
        <v>5283</v>
      </c>
      <c r="B284">
        <v>5</v>
      </c>
      <c r="C284">
        <v>53</v>
      </c>
      <c r="D284" t="s">
        <v>117</v>
      </c>
      <c r="E284" s="1">
        <v>46029</v>
      </c>
      <c r="F284" s="1">
        <v>46054</v>
      </c>
      <c r="G284" s="1">
        <v>46069</v>
      </c>
      <c r="H284">
        <v>679</v>
      </c>
      <c r="I284">
        <v>630</v>
      </c>
      <c r="J284">
        <v>54.81</v>
      </c>
      <c r="K284" t="s">
        <v>462</v>
      </c>
      <c r="L284">
        <f t="shared" si="12"/>
        <v>40</v>
      </c>
      <c r="M284" t="str">
        <f>_xlfn.XLOOKUP(B284,suppliers!A:A,suppliers!B:B)</f>
        <v>Utah Wholesale</v>
      </c>
      <c r="N284" t="str">
        <f t="shared" si="13"/>
        <v>Late</v>
      </c>
      <c r="O284">
        <f t="shared" si="14"/>
        <v>0.93</v>
      </c>
    </row>
    <row r="285" spans="1:15">
      <c r="A285">
        <v>5284</v>
      </c>
      <c r="B285">
        <v>4</v>
      </c>
      <c r="C285">
        <v>115</v>
      </c>
      <c r="D285" t="s">
        <v>120</v>
      </c>
      <c r="E285" s="1">
        <v>46090</v>
      </c>
      <c r="F285" s="1">
        <v>46132</v>
      </c>
      <c r="G285" s="1">
        <v>46141</v>
      </c>
      <c r="H285">
        <v>796</v>
      </c>
      <c r="I285">
        <v>767</v>
      </c>
      <c r="J285">
        <v>57.23</v>
      </c>
      <c r="K285" t="s">
        <v>463</v>
      </c>
      <c r="L285">
        <f t="shared" si="12"/>
        <v>51</v>
      </c>
      <c r="M285" t="str">
        <f>_xlfn.XLOOKUP(B285,suppliers!A:A,suppliers!B:B)</f>
        <v>Blue Ridge</v>
      </c>
      <c r="N285" t="str">
        <f t="shared" si="13"/>
        <v>Late</v>
      </c>
      <c r="O285">
        <f t="shared" si="14"/>
        <v>0.96</v>
      </c>
    </row>
    <row r="286" spans="1:15">
      <c r="A286">
        <v>5285</v>
      </c>
      <c r="B286">
        <v>3</v>
      </c>
      <c r="C286">
        <v>51</v>
      </c>
      <c r="D286" t="s">
        <v>119</v>
      </c>
      <c r="E286" s="1">
        <v>46109</v>
      </c>
      <c r="F286" s="1">
        <v>46134</v>
      </c>
      <c r="G286" s="1">
        <v>46133</v>
      </c>
      <c r="H286">
        <v>350</v>
      </c>
      <c r="I286">
        <v>347</v>
      </c>
      <c r="J286">
        <v>70.73</v>
      </c>
      <c r="K286" t="s">
        <v>463</v>
      </c>
      <c r="L286">
        <f t="shared" si="12"/>
        <v>24</v>
      </c>
      <c r="M286" t="str">
        <f>_xlfn.XLOOKUP(B286,suppliers!A:A,suppliers!B:B)</f>
        <v>PrimeSource</v>
      </c>
      <c r="N286" t="str">
        <f t="shared" si="13"/>
        <v>On time</v>
      </c>
      <c r="O286">
        <f t="shared" si="14"/>
        <v>0.99</v>
      </c>
    </row>
    <row r="287" spans="1:15">
      <c r="A287">
        <v>5286</v>
      </c>
      <c r="B287">
        <v>8</v>
      </c>
      <c r="C287">
        <v>142</v>
      </c>
      <c r="D287" t="s">
        <v>117</v>
      </c>
      <c r="E287" s="1">
        <v>46115</v>
      </c>
      <c r="F287" s="1">
        <v>46145</v>
      </c>
      <c r="G287" s="1">
        <v>46163</v>
      </c>
      <c r="H287">
        <v>404</v>
      </c>
      <c r="I287">
        <v>363</v>
      </c>
      <c r="J287">
        <v>102.44</v>
      </c>
      <c r="K287" t="s">
        <v>463</v>
      </c>
      <c r="L287">
        <f t="shared" si="12"/>
        <v>48</v>
      </c>
      <c r="M287" t="str">
        <f>_xlfn.XLOOKUP(B287,suppliers!A:A,suppliers!B:B)</f>
        <v>Metro Logistics</v>
      </c>
      <c r="N287" t="str">
        <f t="shared" si="13"/>
        <v>Late</v>
      </c>
      <c r="O287">
        <f t="shared" si="14"/>
        <v>0.9</v>
      </c>
    </row>
    <row r="288" spans="1:15">
      <c r="A288">
        <v>5287</v>
      </c>
      <c r="B288">
        <v>4</v>
      </c>
      <c r="C288">
        <v>102</v>
      </c>
      <c r="D288" t="s">
        <v>122</v>
      </c>
      <c r="E288" s="1">
        <v>46038</v>
      </c>
      <c r="F288" s="1">
        <v>46065</v>
      </c>
      <c r="G288" s="1">
        <v>46084</v>
      </c>
      <c r="H288">
        <v>55</v>
      </c>
      <c r="I288">
        <v>19</v>
      </c>
      <c r="J288">
        <v>188</v>
      </c>
      <c r="K288" t="s">
        <v>464</v>
      </c>
      <c r="L288">
        <f t="shared" si="12"/>
        <v>46</v>
      </c>
      <c r="M288" t="str">
        <f>_xlfn.XLOOKUP(B288,suppliers!A:A,suppliers!B:B)</f>
        <v>Blue Ridge</v>
      </c>
      <c r="N288" t="str">
        <f t="shared" si="13"/>
        <v>Late</v>
      </c>
      <c r="O288">
        <f t="shared" si="14"/>
        <v>0.35</v>
      </c>
    </row>
    <row r="289" spans="1:15">
      <c r="A289">
        <v>5288</v>
      </c>
      <c r="B289">
        <v>2</v>
      </c>
      <c r="C289">
        <v>11</v>
      </c>
      <c r="D289" t="s">
        <v>119</v>
      </c>
      <c r="E289" s="1">
        <v>46123</v>
      </c>
      <c r="F289" s="1">
        <v>46133</v>
      </c>
      <c r="G289" s="1">
        <v>46150</v>
      </c>
      <c r="H289">
        <v>155</v>
      </c>
      <c r="I289">
        <v>147</v>
      </c>
      <c r="J289">
        <v>43.69</v>
      </c>
      <c r="K289" t="s">
        <v>462</v>
      </c>
      <c r="L289">
        <f t="shared" si="12"/>
        <v>27</v>
      </c>
      <c r="M289" t="str">
        <f>_xlfn.XLOOKUP(B289,suppliers!A:A,suppliers!B:B)</f>
        <v>Global Goods</v>
      </c>
      <c r="N289" t="str">
        <f t="shared" si="13"/>
        <v>Late</v>
      </c>
      <c r="O289">
        <f t="shared" si="14"/>
        <v>0.95</v>
      </c>
    </row>
    <row r="290" spans="1:15">
      <c r="A290">
        <v>5289</v>
      </c>
      <c r="B290">
        <v>7</v>
      </c>
      <c r="C290">
        <v>27</v>
      </c>
      <c r="D290" t="s">
        <v>122</v>
      </c>
      <c r="E290" s="1">
        <v>46126</v>
      </c>
      <c r="F290" s="1">
        <v>46143</v>
      </c>
      <c r="G290" t="s">
        <v>145</v>
      </c>
      <c r="H290">
        <v>260</v>
      </c>
      <c r="I290">
        <v>0</v>
      </c>
      <c r="J290">
        <v>30.06</v>
      </c>
      <c r="K290" t="s">
        <v>463</v>
      </c>
      <c r="L290" t="str">
        <f t="shared" si="12"/>
        <v/>
      </c>
      <c r="M290" t="str">
        <f>_xlfn.XLOOKUP(B290,suppliers!A:A,suppliers!B:B)</f>
        <v>Summit Trading</v>
      </c>
      <c r="N290" t="str">
        <f t="shared" si="13"/>
        <v>Late</v>
      </c>
      <c r="O290">
        <f t="shared" si="14"/>
        <v>0</v>
      </c>
    </row>
    <row r="291" spans="1:15">
      <c r="A291">
        <v>5290</v>
      </c>
      <c r="B291">
        <v>3</v>
      </c>
      <c r="C291">
        <v>87</v>
      </c>
      <c r="D291" t="s">
        <v>119</v>
      </c>
      <c r="E291" s="1">
        <v>46013</v>
      </c>
      <c r="F291" s="1">
        <v>46046</v>
      </c>
      <c r="G291" s="1">
        <v>46043</v>
      </c>
      <c r="H291">
        <v>524</v>
      </c>
      <c r="I291">
        <v>491</v>
      </c>
      <c r="J291">
        <v>31.72</v>
      </c>
      <c r="K291" t="s">
        <v>462</v>
      </c>
      <c r="L291">
        <f t="shared" si="12"/>
        <v>30</v>
      </c>
      <c r="M291" t="str">
        <f>_xlfn.XLOOKUP(B291,suppliers!A:A,suppliers!B:B)</f>
        <v>PrimeSource</v>
      </c>
      <c r="N291" t="str">
        <f t="shared" si="13"/>
        <v>On time</v>
      </c>
      <c r="O291">
        <f t="shared" si="14"/>
        <v>0.94</v>
      </c>
    </row>
    <row r="292" spans="1:15">
      <c r="A292">
        <v>5291</v>
      </c>
      <c r="B292">
        <v>4</v>
      </c>
      <c r="C292">
        <v>102</v>
      </c>
      <c r="D292" t="s">
        <v>120</v>
      </c>
      <c r="E292" s="1">
        <v>46032</v>
      </c>
      <c r="F292" s="1">
        <v>46074</v>
      </c>
      <c r="G292" s="1">
        <v>46075</v>
      </c>
      <c r="H292">
        <v>479</v>
      </c>
      <c r="I292">
        <v>465</v>
      </c>
      <c r="J292">
        <v>155.1</v>
      </c>
      <c r="K292" t="s">
        <v>462</v>
      </c>
      <c r="L292">
        <f t="shared" si="12"/>
        <v>43</v>
      </c>
      <c r="M292" t="str">
        <f>_xlfn.XLOOKUP(B292,suppliers!A:A,suppliers!B:B)</f>
        <v>Blue Ridge</v>
      </c>
      <c r="N292" t="str">
        <f t="shared" si="13"/>
        <v>Late</v>
      </c>
      <c r="O292">
        <f t="shared" si="14"/>
        <v>0.97</v>
      </c>
    </row>
    <row r="293" spans="1:15">
      <c r="A293">
        <v>5292</v>
      </c>
      <c r="B293">
        <v>3</v>
      </c>
      <c r="C293">
        <v>15</v>
      </c>
      <c r="D293" t="s">
        <v>119</v>
      </c>
      <c r="E293" s="1">
        <v>46135</v>
      </c>
      <c r="F293" s="1">
        <v>46143</v>
      </c>
      <c r="G293" s="1">
        <v>46160</v>
      </c>
      <c r="H293">
        <v>250</v>
      </c>
      <c r="I293">
        <v>236</v>
      </c>
      <c r="J293">
        <v>166.45</v>
      </c>
      <c r="K293" t="s">
        <v>462</v>
      </c>
      <c r="L293">
        <f t="shared" si="12"/>
        <v>25</v>
      </c>
      <c r="M293" t="str">
        <f>_xlfn.XLOOKUP(B293,suppliers!A:A,suppliers!B:B)</f>
        <v>PrimeSource</v>
      </c>
      <c r="N293" t="str">
        <f t="shared" si="13"/>
        <v>Late</v>
      </c>
      <c r="O293">
        <f t="shared" si="14"/>
        <v>0.94</v>
      </c>
    </row>
    <row r="294" spans="1:15">
      <c r="A294">
        <v>5293</v>
      </c>
      <c r="B294">
        <v>8</v>
      </c>
      <c r="C294">
        <v>40</v>
      </c>
      <c r="D294" t="s">
        <v>117</v>
      </c>
      <c r="E294" s="1">
        <v>46028</v>
      </c>
      <c r="F294" s="1">
        <v>46067</v>
      </c>
      <c r="G294" s="1">
        <v>46074</v>
      </c>
      <c r="H294">
        <v>794</v>
      </c>
      <c r="I294">
        <v>793</v>
      </c>
      <c r="J294">
        <v>195.84</v>
      </c>
      <c r="K294" t="s">
        <v>464</v>
      </c>
      <c r="L294">
        <f t="shared" si="12"/>
        <v>46</v>
      </c>
      <c r="M294" t="str">
        <f>_xlfn.XLOOKUP(B294,suppliers!A:A,suppliers!B:B)</f>
        <v>Metro Logistics</v>
      </c>
      <c r="N294" t="str">
        <f t="shared" si="13"/>
        <v>Late</v>
      </c>
      <c r="O294">
        <f t="shared" si="14"/>
        <v>1</v>
      </c>
    </row>
    <row r="295" spans="1:15">
      <c r="A295">
        <v>5294</v>
      </c>
      <c r="B295">
        <v>6</v>
      </c>
      <c r="C295">
        <v>75</v>
      </c>
      <c r="D295" t="s">
        <v>119</v>
      </c>
      <c r="E295" s="1">
        <v>46119</v>
      </c>
      <c r="F295" s="1">
        <v>46127</v>
      </c>
      <c r="G295" s="1">
        <v>46144</v>
      </c>
      <c r="H295">
        <v>444</v>
      </c>
      <c r="I295">
        <v>432</v>
      </c>
      <c r="J295">
        <v>85.85</v>
      </c>
      <c r="K295" t="s">
        <v>464</v>
      </c>
      <c r="L295">
        <f t="shared" si="12"/>
        <v>25</v>
      </c>
      <c r="M295" t="str">
        <f>_xlfn.XLOOKUP(B295,suppliers!A:A,suppliers!B:B)</f>
        <v>Evergreen Imports</v>
      </c>
      <c r="N295" t="str">
        <f t="shared" si="13"/>
        <v>Late</v>
      </c>
      <c r="O295">
        <f t="shared" si="14"/>
        <v>0.97</v>
      </c>
    </row>
    <row r="296" spans="1:15">
      <c r="A296">
        <v>5295</v>
      </c>
      <c r="B296">
        <v>6</v>
      </c>
      <c r="C296">
        <v>10</v>
      </c>
      <c r="D296" t="s">
        <v>122</v>
      </c>
      <c r="E296" s="1">
        <v>46046</v>
      </c>
      <c r="F296" s="1">
        <v>46067</v>
      </c>
      <c r="G296" s="1">
        <v>46062</v>
      </c>
      <c r="H296">
        <v>377</v>
      </c>
      <c r="I296">
        <v>345</v>
      </c>
      <c r="J296">
        <v>80.87</v>
      </c>
      <c r="K296" t="s">
        <v>462</v>
      </c>
      <c r="L296">
        <f t="shared" si="12"/>
        <v>16</v>
      </c>
      <c r="M296" t="str">
        <f>_xlfn.XLOOKUP(B296,suppliers!A:A,suppliers!B:B)</f>
        <v>Evergreen Imports</v>
      </c>
      <c r="N296" t="str">
        <f t="shared" si="13"/>
        <v>On time</v>
      </c>
      <c r="O296">
        <f t="shared" si="14"/>
        <v>0.92</v>
      </c>
    </row>
    <row r="297" spans="1:15">
      <c r="A297">
        <v>5296</v>
      </c>
      <c r="B297">
        <v>4</v>
      </c>
      <c r="C297">
        <v>102</v>
      </c>
      <c r="D297" t="s">
        <v>120</v>
      </c>
      <c r="E297" s="1">
        <v>46047</v>
      </c>
      <c r="F297" s="1">
        <v>46063</v>
      </c>
      <c r="G297" s="1">
        <v>46078</v>
      </c>
      <c r="H297">
        <v>782</v>
      </c>
      <c r="I297">
        <v>747</v>
      </c>
      <c r="J297">
        <v>186.59</v>
      </c>
      <c r="K297" t="s">
        <v>463</v>
      </c>
      <c r="L297">
        <f t="shared" si="12"/>
        <v>31</v>
      </c>
      <c r="M297" t="str">
        <f>_xlfn.XLOOKUP(B297,suppliers!A:A,suppliers!B:B)</f>
        <v>Blue Ridge</v>
      </c>
      <c r="N297" t="str">
        <f t="shared" si="13"/>
        <v>Late</v>
      </c>
      <c r="O297">
        <f t="shared" si="14"/>
        <v>0.96</v>
      </c>
    </row>
    <row r="298" spans="1:15">
      <c r="A298">
        <v>5297</v>
      </c>
      <c r="B298">
        <v>5</v>
      </c>
      <c r="C298">
        <v>131</v>
      </c>
      <c r="D298" t="s">
        <v>118</v>
      </c>
      <c r="E298" s="1">
        <v>46092</v>
      </c>
      <c r="F298" s="1">
        <v>46109</v>
      </c>
      <c r="G298" s="1">
        <v>46128</v>
      </c>
      <c r="H298">
        <v>642</v>
      </c>
      <c r="I298">
        <v>622</v>
      </c>
      <c r="J298">
        <v>42.23</v>
      </c>
      <c r="K298" t="s">
        <v>463</v>
      </c>
      <c r="L298">
        <f t="shared" si="12"/>
        <v>36</v>
      </c>
      <c r="M298" t="str">
        <f>_xlfn.XLOOKUP(B298,suppliers!A:A,suppliers!B:B)</f>
        <v>Utah Wholesale</v>
      </c>
      <c r="N298" t="str">
        <f t="shared" si="13"/>
        <v>Late</v>
      </c>
      <c r="O298">
        <f t="shared" si="14"/>
        <v>0.97</v>
      </c>
    </row>
    <row r="299" spans="1:15">
      <c r="A299">
        <v>5298</v>
      </c>
      <c r="B299">
        <v>1</v>
      </c>
      <c r="C299">
        <v>101</v>
      </c>
      <c r="D299" t="s">
        <v>121</v>
      </c>
      <c r="E299" s="1">
        <v>46023</v>
      </c>
      <c r="F299" s="1">
        <v>46048</v>
      </c>
      <c r="G299" s="1">
        <v>46057</v>
      </c>
      <c r="H299">
        <v>637</v>
      </c>
      <c r="I299">
        <v>588</v>
      </c>
      <c r="J299">
        <v>215.04</v>
      </c>
      <c r="K299" t="s">
        <v>462</v>
      </c>
      <c r="L299">
        <f t="shared" si="12"/>
        <v>34</v>
      </c>
      <c r="M299" t="str">
        <f>_xlfn.XLOOKUP(B299,suppliers!A:A,suppliers!B:B)</f>
        <v>Acme Supply</v>
      </c>
      <c r="N299" t="str">
        <f t="shared" si="13"/>
        <v>Late</v>
      </c>
      <c r="O299">
        <f t="shared" si="14"/>
        <v>0.92</v>
      </c>
    </row>
    <row r="300" spans="1:15">
      <c r="A300">
        <v>5299</v>
      </c>
      <c r="B300">
        <v>5</v>
      </c>
      <c r="C300">
        <v>53</v>
      </c>
      <c r="D300" t="s">
        <v>118</v>
      </c>
      <c r="E300" s="1">
        <v>46040</v>
      </c>
      <c r="F300" s="1">
        <v>46054</v>
      </c>
      <c r="G300" s="1">
        <v>46074</v>
      </c>
      <c r="H300">
        <v>129</v>
      </c>
      <c r="I300">
        <v>81</v>
      </c>
      <c r="J300">
        <v>72.83</v>
      </c>
      <c r="K300" t="s">
        <v>464</v>
      </c>
      <c r="L300">
        <f t="shared" si="12"/>
        <v>34</v>
      </c>
      <c r="M300" t="str">
        <f>_xlfn.XLOOKUP(B300,suppliers!A:A,suppliers!B:B)</f>
        <v>Utah Wholesale</v>
      </c>
      <c r="N300" t="str">
        <f t="shared" si="13"/>
        <v>Late</v>
      </c>
      <c r="O300">
        <f t="shared" si="14"/>
        <v>0.63</v>
      </c>
    </row>
    <row r="301" spans="1:15">
      <c r="A301">
        <v>5300</v>
      </c>
      <c r="B301">
        <v>6</v>
      </c>
      <c r="C301">
        <v>77</v>
      </c>
      <c r="D301" t="s">
        <v>118</v>
      </c>
      <c r="E301" s="1">
        <v>46047</v>
      </c>
      <c r="F301" s="1">
        <v>46091</v>
      </c>
      <c r="G301" s="1">
        <v>46097</v>
      </c>
      <c r="H301">
        <v>494</v>
      </c>
      <c r="I301">
        <v>458</v>
      </c>
      <c r="J301">
        <v>82.99</v>
      </c>
      <c r="K301" t="s">
        <v>463</v>
      </c>
      <c r="L301">
        <f t="shared" si="12"/>
        <v>50</v>
      </c>
      <c r="M301" t="str">
        <f>_xlfn.XLOOKUP(B301,suppliers!A:A,suppliers!B:B)</f>
        <v>Evergreen Imports</v>
      </c>
      <c r="N301" t="str">
        <f t="shared" si="13"/>
        <v>Late</v>
      </c>
      <c r="O301">
        <f t="shared" si="14"/>
        <v>0.93</v>
      </c>
    </row>
    <row r="302" spans="1:15">
      <c r="A302">
        <v>5301</v>
      </c>
      <c r="B302">
        <v>7</v>
      </c>
      <c r="C302">
        <v>56</v>
      </c>
      <c r="D302" t="s">
        <v>122</v>
      </c>
      <c r="E302" s="1">
        <v>46123</v>
      </c>
      <c r="F302" s="1">
        <v>46131</v>
      </c>
      <c r="G302" s="1">
        <v>46132</v>
      </c>
      <c r="H302">
        <v>869</v>
      </c>
      <c r="I302">
        <v>856</v>
      </c>
      <c r="J302">
        <v>124.26</v>
      </c>
      <c r="K302" t="s">
        <v>462</v>
      </c>
      <c r="L302">
        <f t="shared" si="12"/>
        <v>9</v>
      </c>
      <c r="M302" t="str">
        <f>_xlfn.XLOOKUP(B302,suppliers!A:A,suppliers!B:B)</f>
        <v>Summit Trading</v>
      </c>
      <c r="N302" t="str">
        <f t="shared" si="13"/>
        <v>Late</v>
      </c>
      <c r="O302">
        <f t="shared" si="14"/>
        <v>0.99</v>
      </c>
    </row>
    <row r="303" spans="1:15">
      <c r="A303">
        <v>5302</v>
      </c>
      <c r="B303">
        <v>3</v>
      </c>
      <c r="C303">
        <v>100</v>
      </c>
      <c r="D303" t="s">
        <v>117</v>
      </c>
      <c r="E303" s="1">
        <v>46076</v>
      </c>
      <c r="F303" s="1">
        <v>46112</v>
      </c>
      <c r="G303" t="s">
        <v>145</v>
      </c>
      <c r="H303">
        <v>636</v>
      </c>
      <c r="I303">
        <v>0</v>
      </c>
      <c r="J303">
        <v>146.72</v>
      </c>
      <c r="K303" t="s">
        <v>462</v>
      </c>
      <c r="L303" t="str">
        <f t="shared" si="12"/>
        <v/>
      </c>
      <c r="M303" t="str">
        <f>_xlfn.XLOOKUP(B303,suppliers!A:A,suppliers!B:B)</f>
        <v>PrimeSource</v>
      </c>
      <c r="N303" t="str">
        <f t="shared" si="13"/>
        <v>Late</v>
      </c>
      <c r="O303">
        <f t="shared" si="14"/>
        <v>0</v>
      </c>
    </row>
    <row r="304" spans="1:15">
      <c r="A304">
        <v>5303</v>
      </c>
      <c r="B304">
        <v>4</v>
      </c>
      <c r="C304">
        <v>144</v>
      </c>
      <c r="D304" t="s">
        <v>119</v>
      </c>
      <c r="E304" s="1">
        <v>46066</v>
      </c>
      <c r="F304" s="1">
        <v>46088</v>
      </c>
      <c r="G304" s="1">
        <v>46086</v>
      </c>
      <c r="H304">
        <v>925</v>
      </c>
      <c r="I304">
        <v>886</v>
      </c>
      <c r="J304">
        <v>8.5399999999999991</v>
      </c>
      <c r="K304" t="s">
        <v>464</v>
      </c>
      <c r="L304">
        <f t="shared" si="12"/>
        <v>20</v>
      </c>
      <c r="M304" t="str">
        <f>_xlfn.XLOOKUP(B304,suppliers!A:A,suppliers!B:B)</f>
        <v>Blue Ridge</v>
      </c>
      <c r="N304" t="str">
        <f t="shared" si="13"/>
        <v>On time</v>
      </c>
      <c r="O304">
        <f t="shared" si="14"/>
        <v>0.96</v>
      </c>
    </row>
    <row r="305" spans="1:15">
      <c r="A305">
        <v>5304</v>
      </c>
      <c r="B305">
        <v>4</v>
      </c>
      <c r="C305">
        <v>3</v>
      </c>
      <c r="D305" t="s">
        <v>118</v>
      </c>
      <c r="E305" s="1">
        <v>46063</v>
      </c>
      <c r="F305" s="1">
        <v>46070</v>
      </c>
      <c r="G305" s="1">
        <v>46077</v>
      </c>
      <c r="H305">
        <v>766</v>
      </c>
      <c r="I305">
        <v>760</v>
      </c>
      <c r="J305">
        <v>100.66</v>
      </c>
      <c r="K305" t="s">
        <v>464</v>
      </c>
      <c r="L305">
        <f t="shared" si="12"/>
        <v>14</v>
      </c>
      <c r="M305" t="str">
        <f>_xlfn.XLOOKUP(B305,suppliers!A:A,suppliers!B:B)</f>
        <v>Blue Ridge</v>
      </c>
      <c r="N305" t="str">
        <f t="shared" si="13"/>
        <v>Late</v>
      </c>
      <c r="O305">
        <f t="shared" si="14"/>
        <v>0.99</v>
      </c>
    </row>
    <row r="306" spans="1:15">
      <c r="A306">
        <v>5305</v>
      </c>
      <c r="B306">
        <v>6</v>
      </c>
      <c r="C306">
        <v>95</v>
      </c>
      <c r="D306" t="s">
        <v>119</v>
      </c>
      <c r="E306" s="1">
        <v>46048</v>
      </c>
      <c r="F306" s="1">
        <v>46067</v>
      </c>
      <c r="G306" t="s">
        <v>145</v>
      </c>
      <c r="H306">
        <v>779</v>
      </c>
      <c r="I306">
        <v>0</v>
      </c>
      <c r="J306">
        <v>85.65</v>
      </c>
      <c r="K306" t="s">
        <v>463</v>
      </c>
      <c r="L306" t="str">
        <f t="shared" si="12"/>
        <v/>
      </c>
      <c r="M306" t="str">
        <f>_xlfn.XLOOKUP(B306,suppliers!A:A,suppliers!B:B)</f>
        <v>Evergreen Imports</v>
      </c>
      <c r="N306" t="str">
        <f t="shared" si="13"/>
        <v>Late</v>
      </c>
      <c r="O306">
        <f t="shared" si="14"/>
        <v>0</v>
      </c>
    </row>
    <row r="307" spans="1:15">
      <c r="A307">
        <v>5306</v>
      </c>
      <c r="B307">
        <v>5</v>
      </c>
      <c r="C307">
        <v>107</v>
      </c>
      <c r="D307" t="s">
        <v>117</v>
      </c>
      <c r="E307" s="1">
        <v>45998</v>
      </c>
      <c r="F307" s="1">
        <v>46024</v>
      </c>
      <c r="G307" s="1">
        <v>46022</v>
      </c>
      <c r="H307">
        <v>329</v>
      </c>
      <c r="I307">
        <v>316</v>
      </c>
      <c r="J307">
        <v>73.650000000000006</v>
      </c>
      <c r="K307" t="s">
        <v>464</v>
      </c>
      <c r="L307">
        <f t="shared" si="12"/>
        <v>24</v>
      </c>
      <c r="M307" t="str">
        <f>_xlfn.XLOOKUP(B307,suppliers!A:A,suppliers!B:B)</f>
        <v>Utah Wholesale</v>
      </c>
      <c r="N307" t="str">
        <f t="shared" si="13"/>
        <v>On time</v>
      </c>
      <c r="O307">
        <f t="shared" si="14"/>
        <v>0.96</v>
      </c>
    </row>
    <row r="308" spans="1:15">
      <c r="A308">
        <v>5307</v>
      </c>
      <c r="B308">
        <v>4</v>
      </c>
      <c r="C308">
        <v>8</v>
      </c>
      <c r="D308" t="s">
        <v>121</v>
      </c>
      <c r="E308" s="1">
        <v>46114</v>
      </c>
      <c r="F308" s="1">
        <v>46132</v>
      </c>
      <c r="G308" s="1">
        <v>46129</v>
      </c>
      <c r="H308">
        <v>762</v>
      </c>
      <c r="I308">
        <v>745</v>
      </c>
      <c r="J308">
        <v>150.97999999999999</v>
      </c>
      <c r="K308" t="s">
        <v>463</v>
      </c>
      <c r="L308">
        <f t="shared" si="12"/>
        <v>15</v>
      </c>
      <c r="M308" t="str">
        <f>_xlfn.XLOOKUP(B308,suppliers!A:A,suppliers!B:B)</f>
        <v>Blue Ridge</v>
      </c>
      <c r="N308" t="str">
        <f t="shared" si="13"/>
        <v>On time</v>
      </c>
      <c r="O308">
        <f t="shared" si="14"/>
        <v>0.98</v>
      </c>
    </row>
    <row r="309" spans="1:15">
      <c r="A309">
        <v>5308</v>
      </c>
      <c r="B309">
        <v>5</v>
      </c>
      <c r="C309">
        <v>6</v>
      </c>
      <c r="D309" t="s">
        <v>117</v>
      </c>
      <c r="E309" s="1">
        <v>46137</v>
      </c>
      <c r="F309" s="1">
        <v>46174</v>
      </c>
      <c r="G309" s="1">
        <v>46191</v>
      </c>
      <c r="H309">
        <v>176</v>
      </c>
      <c r="I309">
        <v>133</v>
      </c>
      <c r="J309">
        <v>20.53</v>
      </c>
      <c r="K309" t="s">
        <v>462</v>
      </c>
      <c r="L309">
        <f t="shared" si="12"/>
        <v>54</v>
      </c>
      <c r="M309" t="str">
        <f>_xlfn.XLOOKUP(B309,suppliers!A:A,suppliers!B:B)</f>
        <v>Utah Wholesale</v>
      </c>
      <c r="N309" t="str">
        <f t="shared" si="13"/>
        <v>Late</v>
      </c>
      <c r="O309">
        <f t="shared" si="14"/>
        <v>0.76</v>
      </c>
    </row>
    <row r="310" spans="1:15">
      <c r="A310">
        <v>5309</v>
      </c>
      <c r="B310">
        <v>4</v>
      </c>
      <c r="C310">
        <v>8</v>
      </c>
      <c r="D310" t="s">
        <v>119</v>
      </c>
      <c r="E310" s="1">
        <v>46002</v>
      </c>
      <c r="F310" s="1">
        <v>46040</v>
      </c>
      <c r="G310" s="1">
        <v>46049</v>
      </c>
      <c r="H310">
        <v>442</v>
      </c>
      <c r="I310">
        <v>406</v>
      </c>
      <c r="J310">
        <v>147.16</v>
      </c>
      <c r="K310" t="s">
        <v>464</v>
      </c>
      <c r="L310">
        <f t="shared" si="12"/>
        <v>47</v>
      </c>
      <c r="M310" t="str">
        <f>_xlfn.XLOOKUP(B310,suppliers!A:A,suppliers!B:B)</f>
        <v>Blue Ridge</v>
      </c>
      <c r="N310" t="str">
        <f t="shared" si="13"/>
        <v>Late</v>
      </c>
      <c r="O310">
        <f t="shared" si="14"/>
        <v>0.92</v>
      </c>
    </row>
    <row r="311" spans="1:15">
      <c r="A311">
        <v>5310</v>
      </c>
      <c r="B311">
        <v>8</v>
      </c>
      <c r="C311">
        <v>17</v>
      </c>
      <c r="D311" t="s">
        <v>120</v>
      </c>
      <c r="E311" s="1">
        <v>46064</v>
      </c>
      <c r="F311" s="1">
        <v>46089</v>
      </c>
      <c r="G311" s="1">
        <v>46090</v>
      </c>
      <c r="H311">
        <v>841</v>
      </c>
      <c r="I311">
        <v>829</v>
      </c>
      <c r="J311">
        <v>41.51</v>
      </c>
      <c r="K311" t="s">
        <v>462</v>
      </c>
      <c r="L311">
        <f t="shared" si="12"/>
        <v>26</v>
      </c>
      <c r="M311" t="str">
        <f>_xlfn.XLOOKUP(B311,suppliers!A:A,suppliers!B:B)</f>
        <v>Metro Logistics</v>
      </c>
      <c r="N311" t="str">
        <f t="shared" si="13"/>
        <v>Late</v>
      </c>
      <c r="O311">
        <f t="shared" si="14"/>
        <v>0.99</v>
      </c>
    </row>
    <row r="312" spans="1:15">
      <c r="A312">
        <v>5311</v>
      </c>
      <c r="B312">
        <v>4</v>
      </c>
      <c r="C312">
        <v>115</v>
      </c>
      <c r="D312" t="s">
        <v>117</v>
      </c>
      <c r="E312" s="1">
        <v>45993</v>
      </c>
      <c r="F312" s="1">
        <v>46002</v>
      </c>
      <c r="G312" s="1">
        <v>46010</v>
      </c>
      <c r="H312">
        <v>592</v>
      </c>
      <c r="I312">
        <v>542</v>
      </c>
      <c r="J312">
        <v>72.2</v>
      </c>
      <c r="K312" t="s">
        <v>462</v>
      </c>
      <c r="L312">
        <f t="shared" si="12"/>
        <v>17</v>
      </c>
      <c r="M312" t="str">
        <f>_xlfn.XLOOKUP(B312,suppliers!A:A,suppliers!B:B)</f>
        <v>Blue Ridge</v>
      </c>
      <c r="N312" t="str">
        <f t="shared" si="13"/>
        <v>Late</v>
      </c>
      <c r="O312">
        <f t="shared" si="14"/>
        <v>0.92</v>
      </c>
    </row>
    <row r="313" spans="1:15">
      <c r="A313">
        <v>5312</v>
      </c>
      <c r="B313">
        <v>4</v>
      </c>
      <c r="C313">
        <v>13</v>
      </c>
      <c r="D313" t="s">
        <v>121</v>
      </c>
      <c r="E313" s="1">
        <v>46066</v>
      </c>
      <c r="F313" s="1">
        <v>46096</v>
      </c>
      <c r="G313" s="1">
        <v>46102</v>
      </c>
      <c r="H313">
        <v>487</v>
      </c>
      <c r="I313">
        <v>477</v>
      </c>
      <c r="J313">
        <v>179.69</v>
      </c>
      <c r="K313" t="s">
        <v>463</v>
      </c>
      <c r="L313">
        <f t="shared" si="12"/>
        <v>36</v>
      </c>
      <c r="M313" t="str">
        <f>_xlfn.XLOOKUP(B313,suppliers!A:A,suppliers!B:B)</f>
        <v>Blue Ridge</v>
      </c>
      <c r="N313" t="str">
        <f t="shared" si="13"/>
        <v>Late</v>
      </c>
      <c r="O313">
        <f t="shared" si="14"/>
        <v>0.98</v>
      </c>
    </row>
    <row r="314" spans="1:15">
      <c r="A314">
        <v>5313</v>
      </c>
      <c r="B314">
        <v>5</v>
      </c>
      <c r="C314">
        <v>96</v>
      </c>
      <c r="D314" t="s">
        <v>118</v>
      </c>
      <c r="E314" s="1">
        <v>46134</v>
      </c>
      <c r="F314" s="1">
        <v>46175</v>
      </c>
      <c r="G314" s="1">
        <v>46193</v>
      </c>
      <c r="H314">
        <v>674</v>
      </c>
      <c r="I314">
        <v>637</v>
      </c>
      <c r="J314">
        <v>135.06</v>
      </c>
      <c r="K314" t="s">
        <v>462</v>
      </c>
      <c r="L314">
        <f t="shared" si="12"/>
        <v>59</v>
      </c>
      <c r="M314" t="str">
        <f>_xlfn.XLOOKUP(B314,suppliers!A:A,suppliers!B:B)</f>
        <v>Utah Wholesale</v>
      </c>
      <c r="N314" t="str">
        <f t="shared" si="13"/>
        <v>Late</v>
      </c>
      <c r="O314">
        <f t="shared" si="14"/>
        <v>0.95</v>
      </c>
    </row>
    <row r="315" spans="1:15">
      <c r="A315">
        <v>5314</v>
      </c>
      <c r="B315">
        <v>5</v>
      </c>
      <c r="C315">
        <v>96</v>
      </c>
      <c r="D315" t="s">
        <v>117</v>
      </c>
      <c r="E315" s="1">
        <v>46112</v>
      </c>
      <c r="F315" s="1">
        <v>46141</v>
      </c>
      <c r="G315" s="1">
        <v>46140</v>
      </c>
      <c r="H315">
        <v>853</v>
      </c>
      <c r="I315">
        <v>810</v>
      </c>
      <c r="J315">
        <v>152.86000000000001</v>
      </c>
      <c r="K315" t="s">
        <v>464</v>
      </c>
      <c r="L315">
        <f t="shared" si="12"/>
        <v>28</v>
      </c>
      <c r="M315" t="str">
        <f>_xlfn.XLOOKUP(B315,suppliers!A:A,suppliers!B:B)</f>
        <v>Utah Wholesale</v>
      </c>
      <c r="N315" t="str">
        <f t="shared" si="13"/>
        <v>On time</v>
      </c>
      <c r="O315">
        <f t="shared" si="14"/>
        <v>0.95</v>
      </c>
    </row>
    <row r="316" spans="1:15">
      <c r="A316">
        <v>5315</v>
      </c>
      <c r="B316">
        <v>8</v>
      </c>
      <c r="C316">
        <v>105</v>
      </c>
      <c r="D316" t="s">
        <v>122</v>
      </c>
      <c r="E316" s="1">
        <v>46085</v>
      </c>
      <c r="F316" s="1">
        <v>46119</v>
      </c>
      <c r="G316" s="1">
        <v>46122</v>
      </c>
      <c r="H316">
        <v>926</v>
      </c>
      <c r="I316">
        <v>885</v>
      </c>
      <c r="J316">
        <v>21.24</v>
      </c>
      <c r="K316" t="s">
        <v>462</v>
      </c>
      <c r="L316">
        <f t="shared" si="12"/>
        <v>37</v>
      </c>
      <c r="M316" t="str">
        <f>_xlfn.XLOOKUP(B316,suppliers!A:A,suppliers!B:B)</f>
        <v>Metro Logistics</v>
      </c>
      <c r="N316" t="str">
        <f t="shared" si="13"/>
        <v>Late</v>
      </c>
      <c r="O316">
        <f t="shared" si="14"/>
        <v>0.96</v>
      </c>
    </row>
    <row r="317" spans="1:15">
      <c r="A317">
        <v>5316</v>
      </c>
      <c r="B317">
        <v>4</v>
      </c>
      <c r="C317">
        <v>116</v>
      </c>
      <c r="D317" t="s">
        <v>118</v>
      </c>
      <c r="E317" s="1">
        <v>46131</v>
      </c>
      <c r="F317" s="1">
        <v>46148</v>
      </c>
      <c r="G317" s="1">
        <v>46153</v>
      </c>
      <c r="H317">
        <v>538</v>
      </c>
      <c r="I317">
        <v>500</v>
      </c>
      <c r="J317">
        <v>208.65</v>
      </c>
      <c r="K317" t="s">
        <v>463</v>
      </c>
      <c r="L317">
        <f t="shared" si="12"/>
        <v>22</v>
      </c>
      <c r="M317" t="str">
        <f>_xlfn.XLOOKUP(B317,suppliers!A:A,suppliers!B:B)</f>
        <v>Blue Ridge</v>
      </c>
      <c r="N317" t="str">
        <f t="shared" si="13"/>
        <v>Late</v>
      </c>
      <c r="O317">
        <f t="shared" si="14"/>
        <v>0.93</v>
      </c>
    </row>
    <row r="318" spans="1:15">
      <c r="A318">
        <v>5317</v>
      </c>
      <c r="B318">
        <v>7</v>
      </c>
      <c r="C318">
        <v>139</v>
      </c>
      <c r="D318" t="s">
        <v>117</v>
      </c>
      <c r="E318" s="1">
        <v>46033</v>
      </c>
      <c r="F318" s="1">
        <v>46076</v>
      </c>
      <c r="G318" s="1">
        <v>46096</v>
      </c>
      <c r="H318">
        <v>230</v>
      </c>
      <c r="I318">
        <v>225</v>
      </c>
      <c r="J318">
        <v>90.9</v>
      </c>
      <c r="K318" t="s">
        <v>462</v>
      </c>
      <c r="L318">
        <f t="shared" si="12"/>
        <v>63</v>
      </c>
      <c r="M318" t="str">
        <f>_xlfn.XLOOKUP(B318,suppliers!A:A,suppliers!B:B)</f>
        <v>Summit Trading</v>
      </c>
      <c r="N318" t="str">
        <f t="shared" si="13"/>
        <v>Late</v>
      </c>
      <c r="O318">
        <f t="shared" si="14"/>
        <v>0.98</v>
      </c>
    </row>
    <row r="319" spans="1:15">
      <c r="A319">
        <v>5318</v>
      </c>
      <c r="B319">
        <v>1</v>
      </c>
      <c r="C319">
        <v>29</v>
      </c>
      <c r="D319" t="s">
        <v>121</v>
      </c>
      <c r="E319" s="1">
        <v>46121</v>
      </c>
      <c r="F319" s="1">
        <v>46162</v>
      </c>
      <c r="G319" s="1">
        <v>46160</v>
      </c>
      <c r="H319">
        <v>609</v>
      </c>
      <c r="I319">
        <v>567</v>
      </c>
      <c r="J319">
        <v>41.2</v>
      </c>
      <c r="K319" t="s">
        <v>462</v>
      </c>
      <c r="L319">
        <f t="shared" si="12"/>
        <v>39</v>
      </c>
      <c r="M319" t="str">
        <f>_xlfn.XLOOKUP(B319,suppliers!A:A,suppliers!B:B)</f>
        <v>Acme Supply</v>
      </c>
      <c r="N319" t="str">
        <f t="shared" si="13"/>
        <v>On time</v>
      </c>
      <c r="O319">
        <f t="shared" si="14"/>
        <v>0.93</v>
      </c>
    </row>
    <row r="320" spans="1:15">
      <c r="A320">
        <v>5319</v>
      </c>
      <c r="B320">
        <v>1</v>
      </c>
      <c r="C320">
        <v>59</v>
      </c>
      <c r="D320" t="s">
        <v>121</v>
      </c>
      <c r="E320" s="1">
        <v>46078</v>
      </c>
      <c r="F320" s="1">
        <v>46116</v>
      </c>
      <c r="G320" s="1">
        <v>46134</v>
      </c>
      <c r="H320">
        <v>876</v>
      </c>
      <c r="I320">
        <v>851</v>
      </c>
      <c r="J320">
        <v>189.71</v>
      </c>
      <c r="K320" t="s">
        <v>464</v>
      </c>
      <c r="L320">
        <f t="shared" si="12"/>
        <v>56</v>
      </c>
      <c r="M320" t="str">
        <f>_xlfn.XLOOKUP(B320,suppliers!A:A,suppliers!B:B)</f>
        <v>Acme Supply</v>
      </c>
      <c r="N320" t="str">
        <f t="shared" si="13"/>
        <v>Late</v>
      </c>
      <c r="O320">
        <f t="shared" si="14"/>
        <v>0.97</v>
      </c>
    </row>
    <row r="321" spans="1:15">
      <c r="A321">
        <v>5320</v>
      </c>
      <c r="B321">
        <v>1</v>
      </c>
      <c r="C321">
        <v>101</v>
      </c>
      <c r="D321" t="s">
        <v>119</v>
      </c>
      <c r="E321" s="1">
        <v>46049</v>
      </c>
      <c r="F321" s="1">
        <v>46092</v>
      </c>
      <c r="G321" s="1">
        <v>46100</v>
      </c>
      <c r="H321">
        <v>724</v>
      </c>
      <c r="I321">
        <v>710</v>
      </c>
      <c r="J321">
        <v>200.01</v>
      </c>
      <c r="K321" t="s">
        <v>462</v>
      </c>
      <c r="L321">
        <f t="shared" si="12"/>
        <v>51</v>
      </c>
      <c r="M321" t="str">
        <f>_xlfn.XLOOKUP(B321,suppliers!A:A,suppliers!B:B)</f>
        <v>Acme Supply</v>
      </c>
      <c r="N321" t="str">
        <f t="shared" si="13"/>
        <v>Late</v>
      </c>
      <c r="O321">
        <f t="shared" si="14"/>
        <v>0.98</v>
      </c>
    </row>
    <row r="322" spans="1:15">
      <c r="A322">
        <v>5321</v>
      </c>
      <c r="B322">
        <v>8</v>
      </c>
      <c r="C322">
        <v>40</v>
      </c>
      <c r="D322" t="s">
        <v>118</v>
      </c>
      <c r="E322" s="1">
        <v>46041</v>
      </c>
      <c r="F322" s="1">
        <v>46048</v>
      </c>
      <c r="G322" s="1">
        <v>46059</v>
      </c>
      <c r="H322">
        <v>839</v>
      </c>
      <c r="I322">
        <v>835</v>
      </c>
      <c r="J322">
        <v>158.47</v>
      </c>
      <c r="K322" t="s">
        <v>463</v>
      </c>
      <c r="L322">
        <f t="shared" si="12"/>
        <v>18</v>
      </c>
      <c r="M322" t="str">
        <f>_xlfn.XLOOKUP(B322,suppliers!A:A,suppliers!B:B)</f>
        <v>Metro Logistics</v>
      </c>
      <c r="N322" t="str">
        <f t="shared" si="13"/>
        <v>Late</v>
      </c>
      <c r="O322">
        <f t="shared" si="14"/>
        <v>1</v>
      </c>
    </row>
    <row r="323" spans="1:15">
      <c r="A323">
        <v>5322</v>
      </c>
      <c r="B323">
        <v>7</v>
      </c>
      <c r="C323">
        <v>62</v>
      </c>
      <c r="D323" t="s">
        <v>118</v>
      </c>
      <c r="E323" s="1">
        <v>46096</v>
      </c>
      <c r="F323" s="1">
        <v>46122</v>
      </c>
      <c r="G323" s="1">
        <v>46134</v>
      </c>
      <c r="H323">
        <v>673</v>
      </c>
      <c r="I323">
        <v>672</v>
      </c>
      <c r="J323">
        <v>118.99</v>
      </c>
      <c r="K323" t="s">
        <v>464</v>
      </c>
      <c r="L323">
        <f t="shared" ref="L323:L386" si="15">IFERROR(G323-E323,"")</f>
        <v>38</v>
      </c>
      <c r="M323" t="str">
        <f>_xlfn.XLOOKUP(B323,suppliers!A:A,suppliers!B:B)</f>
        <v>Summit Trading</v>
      </c>
      <c r="N323" t="str">
        <f t="shared" ref="N323:N386" si="16">IF(G323&lt;F323,"On time","Late")</f>
        <v>Late</v>
      </c>
      <c r="O323">
        <f t="shared" ref="O323:O386" si="17">ROUND(I323/H323,2)</f>
        <v>1</v>
      </c>
    </row>
    <row r="324" spans="1:15">
      <c r="A324">
        <v>5323</v>
      </c>
      <c r="B324">
        <v>4</v>
      </c>
      <c r="C324">
        <v>8</v>
      </c>
      <c r="D324" t="s">
        <v>120</v>
      </c>
      <c r="E324" s="1">
        <v>46068</v>
      </c>
      <c r="F324" s="1">
        <v>46082</v>
      </c>
      <c r="G324" s="1">
        <v>46101</v>
      </c>
      <c r="H324">
        <v>716</v>
      </c>
      <c r="I324">
        <v>688</v>
      </c>
      <c r="J324">
        <v>140.52000000000001</v>
      </c>
      <c r="K324" t="s">
        <v>464</v>
      </c>
      <c r="L324">
        <f t="shared" si="15"/>
        <v>33</v>
      </c>
      <c r="M324" t="str">
        <f>_xlfn.XLOOKUP(B324,suppliers!A:A,suppliers!B:B)</f>
        <v>Blue Ridge</v>
      </c>
      <c r="N324" t="str">
        <f t="shared" si="16"/>
        <v>Late</v>
      </c>
      <c r="O324">
        <f t="shared" si="17"/>
        <v>0.96</v>
      </c>
    </row>
    <row r="325" spans="1:15">
      <c r="A325">
        <v>5324</v>
      </c>
      <c r="B325">
        <v>3</v>
      </c>
      <c r="C325">
        <v>109</v>
      </c>
      <c r="D325" t="s">
        <v>122</v>
      </c>
      <c r="E325" s="1">
        <v>46084</v>
      </c>
      <c r="F325" s="1">
        <v>46116</v>
      </c>
      <c r="G325" s="1">
        <v>46130</v>
      </c>
      <c r="H325">
        <v>327</v>
      </c>
      <c r="I325">
        <v>314</v>
      </c>
      <c r="J325">
        <v>9.89</v>
      </c>
      <c r="K325" t="s">
        <v>463</v>
      </c>
      <c r="L325">
        <f t="shared" si="15"/>
        <v>46</v>
      </c>
      <c r="M325" t="str">
        <f>_xlfn.XLOOKUP(B325,suppliers!A:A,suppliers!B:B)</f>
        <v>PrimeSource</v>
      </c>
      <c r="N325" t="str">
        <f t="shared" si="16"/>
        <v>Late</v>
      </c>
      <c r="O325">
        <f t="shared" si="17"/>
        <v>0.96</v>
      </c>
    </row>
    <row r="326" spans="1:15">
      <c r="A326">
        <v>5325</v>
      </c>
      <c r="B326">
        <v>5</v>
      </c>
      <c r="C326">
        <v>110</v>
      </c>
      <c r="D326" t="s">
        <v>119</v>
      </c>
      <c r="E326" s="1">
        <v>46143</v>
      </c>
      <c r="F326" s="1">
        <v>46180</v>
      </c>
      <c r="G326" s="1">
        <v>46193</v>
      </c>
      <c r="H326">
        <v>62</v>
      </c>
      <c r="I326">
        <v>31</v>
      </c>
      <c r="J326">
        <v>162.21</v>
      </c>
      <c r="K326" t="s">
        <v>463</v>
      </c>
      <c r="L326">
        <f t="shared" si="15"/>
        <v>50</v>
      </c>
      <c r="M326" t="str">
        <f>_xlfn.XLOOKUP(B326,suppliers!A:A,suppliers!B:B)</f>
        <v>Utah Wholesale</v>
      </c>
      <c r="N326" t="str">
        <f t="shared" si="16"/>
        <v>Late</v>
      </c>
      <c r="O326">
        <f t="shared" si="17"/>
        <v>0.5</v>
      </c>
    </row>
    <row r="327" spans="1:15">
      <c r="A327">
        <v>5326</v>
      </c>
      <c r="B327">
        <v>7</v>
      </c>
      <c r="C327">
        <v>90</v>
      </c>
      <c r="D327" t="s">
        <v>119</v>
      </c>
      <c r="E327" s="1">
        <v>46000</v>
      </c>
      <c r="F327" s="1">
        <v>46023</v>
      </c>
      <c r="G327" s="1">
        <v>46043</v>
      </c>
      <c r="H327">
        <v>412</v>
      </c>
      <c r="I327">
        <v>385</v>
      </c>
      <c r="J327">
        <v>6.94</v>
      </c>
      <c r="K327" t="s">
        <v>464</v>
      </c>
      <c r="L327">
        <f t="shared" si="15"/>
        <v>43</v>
      </c>
      <c r="M327" t="str">
        <f>_xlfn.XLOOKUP(B327,suppliers!A:A,suppliers!B:B)</f>
        <v>Summit Trading</v>
      </c>
      <c r="N327" t="str">
        <f t="shared" si="16"/>
        <v>Late</v>
      </c>
      <c r="O327">
        <f t="shared" si="17"/>
        <v>0.93</v>
      </c>
    </row>
    <row r="328" spans="1:15">
      <c r="A328">
        <v>5327</v>
      </c>
      <c r="B328">
        <v>7</v>
      </c>
      <c r="C328">
        <v>90</v>
      </c>
      <c r="D328" t="s">
        <v>117</v>
      </c>
      <c r="E328" s="1">
        <v>46118</v>
      </c>
      <c r="F328" s="1">
        <v>46126</v>
      </c>
      <c r="G328" s="1">
        <v>46136</v>
      </c>
      <c r="H328">
        <v>797</v>
      </c>
      <c r="I328">
        <v>781</v>
      </c>
      <c r="J328">
        <v>7.31</v>
      </c>
      <c r="K328" t="s">
        <v>464</v>
      </c>
      <c r="L328">
        <f t="shared" si="15"/>
        <v>18</v>
      </c>
      <c r="M328" t="str">
        <f>_xlfn.XLOOKUP(B328,suppliers!A:A,suppliers!B:B)</f>
        <v>Summit Trading</v>
      </c>
      <c r="N328" t="str">
        <f t="shared" si="16"/>
        <v>Late</v>
      </c>
      <c r="O328">
        <f t="shared" si="17"/>
        <v>0.98</v>
      </c>
    </row>
    <row r="329" spans="1:15">
      <c r="A329">
        <v>5328</v>
      </c>
      <c r="B329">
        <v>6</v>
      </c>
      <c r="C329">
        <v>24</v>
      </c>
      <c r="D329" t="s">
        <v>117</v>
      </c>
      <c r="E329" s="1">
        <v>46014</v>
      </c>
      <c r="F329" s="1">
        <v>46036</v>
      </c>
      <c r="G329" s="1">
        <v>46053</v>
      </c>
      <c r="H329">
        <v>666</v>
      </c>
      <c r="I329">
        <v>642</v>
      </c>
      <c r="J329">
        <v>75.239999999999995</v>
      </c>
      <c r="K329" t="s">
        <v>463</v>
      </c>
      <c r="L329">
        <f t="shared" si="15"/>
        <v>39</v>
      </c>
      <c r="M329" t="str">
        <f>_xlfn.XLOOKUP(B329,suppliers!A:A,suppliers!B:B)</f>
        <v>Evergreen Imports</v>
      </c>
      <c r="N329" t="str">
        <f t="shared" si="16"/>
        <v>Late</v>
      </c>
      <c r="O329">
        <f t="shared" si="17"/>
        <v>0.96</v>
      </c>
    </row>
    <row r="330" spans="1:15">
      <c r="A330">
        <v>5329</v>
      </c>
      <c r="B330">
        <v>7</v>
      </c>
      <c r="C330">
        <v>62</v>
      </c>
      <c r="D330" t="s">
        <v>117</v>
      </c>
      <c r="E330" s="1">
        <v>46113</v>
      </c>
      <c r="F330" s="1">
        <v>46122</v>
      </c>
      <c r="G330" s="1">
        <v>46134</v>
      </c>
      <c r="H330">
        <v>815</v>
      </c>
      <c r="I330">
        <v>802</v>
      </c>
      <c r="J330">
        <v>151.52000000000001</v>
      </c>
      <c r="K330" t="s">
        <v>464</v>
      </c>
      <c r="L330">
        <f t="shared" si="15"/>
        <v>21</v>
      </c>
      <c r="M330" t="str">
        <f>_xlfn.XLOOKUP(B330,suppliers!A:A,suppliers!B:B)</f>
        <v>Summit Trading</v>
      </c>
      <c r="N330" t="str">
        <f t="shared" si="16"/>
        <v>Late</v>
      </c>
      <c r="O330">
        <f t="shared" si="17"/>
        <v>0.98</v>
      </c>
    </row>
    <row r="331" spans="1:15">
      <c r="A331">
        <v>5330</v>
      </c>
      <c r="B331">
        <v>5</v>
      </c>
      <c r="C331">
        <v>106</v>
      </c>
      <c r="D331" t="s">
        <v>121</v>
      </c>
      <c r="E331" s="1">
        <v>46017</v>
      </c>
      <c r="F331" s="1">
        <v>46024</v>
      </c>
      <c r="G331" s="1">
        <v>46037</v>
      </c>
      <c r="H331">
        <v>903</v>
      </c>
      <c r="I331">
        <v>875</v>
      </c>
      <c r="J331">
        <v>47.93</v>
      </c>
      <c r="K331" t="s">
        <v>464</v>
      </c>
      <c r="L331">
        <f t="shared" si="15"/>
        <v>20</v>
      </c>
      <c r="M331" t="str">
        <f>_xlfn.XLOOKUP(B331,suppliers!A:A,suppliers!B:B)</f>
        <v>Utah Wholesale</v>
      </c>
      <c r="N331" t="str">
        <f t="shared" si="16"/>
        <v>Late</v>
      </c>
      <c r="O331">
        <f t="shared" si="17"/>
        <v>0.97</v>
      </c>
    </row>
    <row r="332" spans="1:15">
      <c r="A332">
        <v>5331</v>
      </c>
      <c r="B332">
        <v>8</v>
      </c>
      <c r="C332">
        <v>129</v>
      </c>
      <c r="D332" t="s">
        <v>121</v>
      </c>
      <c r="E332" s="1">
        <v>46039</v>
      </c>
      <c r="F332" s="1">
        <v>46075</v>
      </c>
      <c r="G332" s="1">
        <v>46088</v>
      </c>
      <c r="H332">
        <v>417</v>
      </c>
      <c r="I332">
        <v>376</v>
      </c>
      <c r="J332">
        <v>64.87</v>
      </c>
      <c r="K332" t="s">
        <v>464</v>
      </c>
      <c r="L332">
        <f t="shared" si="15"/>
        <v>49</v>
      </c>
      <c r="M332" t="str">
        <f>_xlfn.XLOOKUP(B332,suppliers!A:A,suppliers!B:B)</f>
        <v>Metro Logistics</v>
      </c>
      <c r="N332" t="str">
        <f t="shared" si="16"/>
        <v>Late</v>
      </c>
      <c r="O332">
        <f t="shared" si="17"/>
        <v>0.9</v>
      </c>
    </row>
    <row r="333" spans="1:15">
      <c r="A333">
        <v>5332</v>
      </c>
      <c r="B333">
        <v>7</v>
      </c>
      <c r="C333">
        <v>65</v>
      </c>
      <c r="D333" t="s">
        <v>120</v>
      </c>
      <c r="E333" s="1">
        <v>46142</v>
      </c>
      <c r="F333" s="1">
        <v>46156</v>
      </c>
      <c r="G333" s="1">
        <v>46166</v>
      </c>
      <c r="H333">
        <v>198</v>
      </c>
      <c r="I333">
        <v>188</v>
      </c>
      <c r="J333">
        <v>53.29</v>
      </c>
      <c r="K333" t="s">
        <v>464</v>
      </c>
      <c r="L333">
        <f t="shared" si="15"/>
        <v>24</v>
      </c>
      <c r="M333" t="str">
        <f>_xlfn.XLOOKUP(B333,suppliers!A:A,suppliers!B:B)</f>
        <v>Summit Trading</v>
      </c>
      <c r="N333" t="str">
        <f t="shared" si="16"/>
        <v>Late</v>
      </c>
      <c r="O333">
        <f t="shared" si="17"/>
        <v>0.95</v>
      </c>
    </row>
    <row r="334" spans="1:15">
      <c r="A334">
        <v>5333</v>
      </c>
      <c r="B334">
        <v>6</v>
      </c>
      <c r="C334">
        <v>75</v>
      </c>
      <c r="D334" t="s">
        <v>117</v>
      </c>
      <c r="E334" s="1">
        <v>46077</v>
      </c>
      <c r="F334" s="1">
        <v>46111</v>
      </c>
      <c r="G334" s="1">
        <v>46110</v>
      </c>
      <c r="H334">
        <v>877</v>
      </c>
      <c r="I334">
        <v>846</v>
      </c>
      <c r="J334">
        <v>70.66</v>
      </c>
      <c r="K334" t="s">
        <v>462</v>
      </c>
      <c r="L334">
        <f t="shared" si="15"/>
        <v>33</v>
      </c>
      <c r="M334" t="str">
        <f>_xlfn.XLOOKUP(B334,suppliers!A:A,suppliers!B:B)</f>
        <v>Evergreen Imports</v>
      </c>
      <c r="N334" t="str">
        <f t="shared" si="16"/>
        <v>On time</v>
      </c>
      <c r="O334">
        <f t="shared" si="17"/>
        <v>0.96</v>
      </c>
    </row>
    <row r="335" spans="1:15">
      <c r="A335">
        <v>5334</v>
      </c>
      <c r="B335">
        <v>1</v>
      </c>
      <c r="C335">
        <v>2</v>
      </c>
      <c r="D335" t="s">
        <v>122</v>
      </c>
      <c r="E335" s="1">
        <v>46092</v>
      </c>
      <c r="F335" s="1">
        <v>46110</v>
      </c>
      <c r="G335" s="1">
        <v>46106</v>
      </c>
      <c r="H335">
        <v>329</v>
      </c>
      <c r="I335">
        <v>286</v>
      </c>
      <c r="J335">
        <v>18.66</v>
      </c>
      <c r="K335" t="s">
        <v>464</v>
      </c>
      <c r="L335">
        <f t="shared" si="15"/>
        <v>14</v>
      </c>
      <c r="M335" t="str">
        <f>_xlfn.XLOOKUP(B335,suppliers!A:A,suppliers!B:B)</f>
        <v>Acme Supply</v>
      </c>
      <c r="N335" t="str">
        <f t="shared" si="16"/>
        <v>On time</v>
      </c>
      <c r="O335">
        <f t="shared" si="17"/>
        <v>0.87</v>
      </c>
    </row>
    <row r="336" spans="1:15">
      <c r="A336">
        <v>5335</v>
      </c>
      <c r="B336">
        <v>4</v>
      </c>
      <c r="C336">
        <v>127</v>
      </c>
      <c r="D336" t="s">
        <v>118</v>
      </c>
      <c r="E336" s="1">
        <v>46051</v>
      </c>
      <c r="F336" s="1">
        <v>46086</v>
      </c>
      <c r="G336" s="1">
        <v>46084</v>
      </c>
      <c r="H336">
        <v>123</v>
      </c>
      <c r="I336">
        <v>76</v>
      </c>
      <c r="J336">
        <v>46.99</v>
      </c>
      <c r="K336" t="s">
        <v>464</v>
      </c>
      <c r="L336">
        <f t="shared" si="15"/>
        <v>33</v>
      </c>
      <c r="M336" t="str">
        <f>_xlfn.XLOOKUP(B336,suppliers!A:A,suppliers!B:B)</f>
        <v>Blue Ridge</v>
      </c>
      <c r="N336" t="str">
        <f t="shared" si="16"/>
        <v>On time</v>
      </c>
      <c r="O336">
        <f t="shared" si="17"/>
        <v>0.62</v>
      </c>
    </row>
    <row r="337" spans="1:15">
      <c r="A337">
        <v>5336</v>
      </c>
      <c r="B337">
        <v>2</v>
      </c>
      <c r="C337">
        <v>145</v>
      </c>
      <c r="D337" t="s">
        <v>121</v>
      </c>
      <c r="E337" s="1">
        <v>45999</v>
      </c>
      <c r="F337" s="1">
        <v>46034</v>
      </c>
      <c r="G337" s="1">
        <v>46054</v>
      </c>
      <c r="H337">
        <v>735</v>
      </c>
      <c r="I337">
        <v>691</v>
      </c>
      <c r="J337">
        <v>103.63</v>
      </c>
      <c r="K337" t="s">
        <v>463</v>
      </c>
      <c r="L337">
        <f t="shared" si="15"/>
        <v>55</v>
      </c>
      <c r="M337" t="str">
        <f>_xlfn.XLOOKUP(B337,suppliers!A:A,suppliers!B:B)</f>
        <v>Global Goods</v>
      </c>
      <c r="N337" t="str">
        <f t="shared" si="16"/>
        <v>Late</v>
      </c>
      <c r="O337">
        <f t="shared" si="17"/>
        <v>0.94</v>
      </c>
    </row>
    <row r="338" spans="1:15">
      <c r="A338">
        <v>5337</v>
      </c>
      <c r="B338">
        <v>2</v>
      </c>
      <c r="C338">
        <v>140</v>
      </c>
      <c r="D338" t="s">
        <v>117</v>
      </c>
      <c r="E338" s="1">
        <v>46020</v>
      </c>
      <c r="F338" s="1">
        <v>46053</v>
      </c>
      <c r="G338" s="1">
        <v>46056</v>
      </c>
      <c r="H338">
        <v>466</v>
      </c>
      <c r="I338">
        <v>462</v>
      </c>
      <c r="J338">
        <v>21.9</v>
      </c>
      <c r="K338" t="s">
        <v>464</v>
      </c>
      <c r="L338">
        <f t="shared" si="15"/>
        <v>36</v>
      </c>
      <c r="M338" t="str">
        <f>_xlfn.XLOOKUP(B338,suppliers!A:A,suppliers!B:B)</f>
        <v>Global Goods</v>
      </c>
      <c r="N338" t="str">
        <f t="shared" si="16"/>
        <v>Late</v>
      </c>
      <c r="O338">
        <f t="shared" si="17"/>
        <v>0.99</v>
      </c>
    </row>
    <row r="339" spans="1:15">
      <c r="A339">
        <v>5338</v>
      </c>
      <c r="B339">
        <v>3</v>
      </c>
      <c r="C339">
        <v>23</v>
      </c>
      <c r="D339" t="s">
        <v>118</v>
      </c>
      <c r="E339" s="1">
        <v>46060</v>
      </c>
      <c r="F339" s="1">
        <v>46089</v>
      </c>
      <c r="G339" s="1">
        <v>46100</v>
      </c>
      <c r="H339">
        <v>961</v>
      </c>
      <c r="I339">
        <v>954</v>
      </c>
      <c r="J339">
        <v>105.69</v>
      </c>
      <c r="K339" t="s">
        <v>464</v>
      </c>
      <c r="L339">
        <f t="shared" si="15"/>
        <v>40</v>
      </c>
      <c r="M339" t="str">
        <f>_xlfn.XLOOKUP(B339,suppliers!A:A,suppliers!B:B)</f>
        <v>PrimeSource</v>
      </c>
      <c r="N339" t="str">
        <f t="shared" si="16"/>
        <v>Late</v>
      </c>
      <c r="O339">
        <f t="shared" si="17"/>
        <v>0.99</v>
      </c>
    </row>
    <row r="340" spans="1:15">
      <c r="A340">
        <v>5339</v>
      </c>
      <c r="B340">
        <v>6</v>
      </c>
      <c r="C340">
        <v>42</v>
      </c>
      <c r="D340" t="s">
        <v>121</v>
      </c>
      <c r="E340" s="1">
        <v>46015</v>
      </c>
      <c r="F340" s="1">
        <v>46058</v>
      </c>
      <c r="G340" s="1">
        <v>46059</v>
      </c>
      <c r="H340">
        <v>476</v>
      </c>
      <c r="I340">
        <v>453</v>
      </c>
      <c r="J340">
        <v>118.48</v>
      </c>
      <c r="K340" t="s">
        <v>464</v>
      </c>
      <c r="L340">
        <f t="shared" si="15"/>
        <v>44</v>
      </c>
      <c r="M340" t="str">
        <f>_xlfn.XLOOKUP(B340,suppliers!A:A,suppliers!B:B)</f>
        <v>Evergreen Imports</v>
      </c>
      <c r="N340" t="str">
        <f t="shared" si="16"/>
        <v>Late</v>
      </c>
      <c r="O340">
        <f t="shared" si="17"/>
        <v>0.95</v>
      </c>
    </row>
    <row r="341" spans="1:15">
      <c r="A341">
        <v>5340</v>
      </c>
      <c r="B341">
        <v>6</v>
      </c>
      <c r="C341">
        <v>68</v>
      </c>
      <c r="D341" t="s">
        <v>117</v>
      </c>
      <c r="E341" s="1">
        <v>46115</v>
      </c>
      <c r="F341" s="1">
        <v>46126</v>
      </c>
      <c r="G341" t="s">
        <v>145</v>
      </c>
      <c r="H341">
        <v>692</v>
      </c>
      <c r="I341">
        <v>0</v>
      </c>
      <c r="J341">
        <v>22.15</v>
      </c>
      <c r="K341" t="s">
        <v>464</v>
      </c>
      <c r="L341" t="str">
        <f t="shared" si="15"/>
        <v/>
      </c>
      <c r="M341" t="str">
        <f>_xlfn.XLOOKUP(B341,suppliers!A:A,suppliers!B:B)</f>
        <v>Evergreen Imports</v>
      </c>
      <c r="N341" t="str">
        <f t="shared" si="16"/>
        <v>Late</v>
      </c>
      <c r="O341">
        <f t="shared" si="17"/>
        <v>0</v>
      </c>
    </row>
    <row r="342" spans="1:15">
      <c r="A342">
        <v>5341</v>
      </c>
      <c r="B342">
        <v>4</v>
      </c>
      <c r="C342">
        <v>144</v>
      </c>
      <c r="D342" t="s">
        <v>117</v>
      </c>
      <c r="E342" s="1">
        <v>46003</v>
      </c>
      <c r="F342" s="1">
        <v>46024</v>
      </c>
      <c r="G342" s="1">
        <v>46028</v>
      </c>
      <c r="H342">
        <v>156</v>
      </c>
      <c r="I342">
        <v>156</v>
      </c>
      <c r="J342">
        <v>11.54</v>
      </c>
      <c r="K342" t="s">
        <v>463</v>
      </c>
      <c r="L342">
        <f t="shared" si="15"/>
        <v>25</v>
      </c>
      <c r="M342" t="str">
        <f>_xlfn.XLOOKUP(B342,suppliers!A:A,suppliers!B:B)</f>
        <v>Blue Ridge</v>
      </c>
      <c r="N342" t="str">
        <f t="shared" si="16"/>
        <v>Late</v>
      </c>
      <c r="O342">
        <f t="shared" si="17"/>
        <v>1</v>
      </c>
    </row>
    <row r="343" spans="1:15">
      <c r="A343">
        <v>5342</v>
      </c>
      <c r="B343">
        <v>7</v>
      </c>
      <c r="C343">
        <v>16</v>
      </c>
      <c r="D343" t="s">
        <v>119</v>
      </c>
      <c r="E343" s="1">
        <v>46123</v>
      </c>
      <c r="F343" s="1">
        <v>46130</v>
      </c>
      <c r="G343" s="1">
        <v>46146</v>
      </c>
      <c r="H343">
        <v>292</v>
      </c>
      <c r="I343">
        <v>273</v>
      </c>
      <c r="J343">
        <v>146.77000000000001</v>
      </c>
      <c r="K343" t="s">
        <v>462</v>
      </c>
      <c r="L343">
        <f t="shared" si="15"/>
        <v>23</v>
      </c>
      <c r="M343" t="str">
        <f>_xlfn.XLOOKUP(B343,suppliers!A:A,suppliers!B:B)</f>
        <v>Summit Trading</v>
      </c>
      <c r="N343" t="str">
        <f t="shared" si="16"/>
        <v>Late</v>
      </c>
      <c r="O343">
        <f t="shared" si="17"/>
        <v>0.93</v>
      </c>
    </row>
    <row r="344" spans="1:15">
      <c r="A344">
        <v>5343</v>
      </c>
      <c r="B344">
        <v>6</v>
      </c>
      <c r="C344">
        <v>82</v>
      </c>
      <c r="D344" t="s">
        <v>117</v>
      </c>
      <c r="E344" s="1">
        <v>46055</v>
      </c>
      <c r="F344" s="1">
        <v>46092</v>
      </c>
      <c r="G344" s="1">
        <v>46093</v>
      </c>
      <c r="H344">
        <v>699</v>
      </c>
      <c r="I344">
        <v>686</v>
      </c>
      <c r="J344">
        <v>88.27</v>
      </c>
      <c r="K344" t="s">
        <v>464</v>
      </c>
      <c r="L344">
        <f t="shared" si="15"/>
        <v>38</v>
      </c>
      <c r="M344" t="str">
        <f>_xlfn.XLOOKUP(B344,suppliers!A:A,suppliers!B:B)</f>
        <v>Evergreen Imports</v>
      </c>
      <c r="N344" t="str">
        <f t="shared" si="16"/>
        <v>Late</v>
      </c>
      <c r="O344">
        <f t="shared" si="17"/>
        <v>0.98</v>
      </c>
    </row>
    <row r="345" spans="1:15">
      <c r="A345">
        <v>5344</v>
      </c>
      <c r="B345">
        <v>2</v>
      </c>
      <c r="C345">
        <v>45</v>
      </c>
      <c r="D345" t="s">
        <v>118</v>
      </c>
      <c r="E345" s="1">
        <v>46092</v>
      </c>
      <c r="F345" s="1">
        <v>46134</v>
      </c>
      <c r="G345" s="1">
        <v>46146</v>
      </c>
      <c r="H345">
        <v>899</v>
      </c>
      <c r="I345">
        <v>857</v>
      </c>
      <c r="J345">
        <v>56.34</v>
      </c>
      <c r="K345" t="s">
        <v>462</v>
      </c>
      <c r="L345">
        <f t="shared" si="15"/>
        <v>54</v>
      </c>
      <c r="M345" t="str">
        <f>_xlfn.XLOOKUP(B345,suppliers!A:A,suppliers!B:B)</f>
        <v>Global Goods</v>
      </c>
      <c r="N345" t="str">
        <f t="shared" si="16"/>
        <v>Late</v>
      </c>
      <c r="O345">
        <f t="shared" si="17"/>
        <v>0.95</v>
      </c>
    </row>
    <row r="346" spans="1:15">
      <c r="A346">
        <v>5345</v>
      </c>
      <c r="B346">
        <v>5</v>
      </c>
      <c r="C346">
        <v>131</v>
      </c>
      <c r="D346" t="s">
        <v>117</v>
      </c>
      <c r="E346" s="1">
        <v>46030</v>
      </c>
      <c r="F346" s="1">
        <v>46041</v>
      </c>
      <c r="G346" s="1">
        <v>46038</v>
      </c>
      <c r="H346">
        <v>599</v>
      </c>
      <c r="I346">
        <v>559</v>
      </c>
      <c r="J346">
        <v>40.61</v>
      </c>
      <c r="K346" t="s">
        <v>463</v>
      </c>
      <c r="L346">
        <f t="shared" si="15"/>
        <v>8</v>
      </c>
      <c r="M346" t="str">
        <f>_xlfn.XLOOKUP(B346,suppliers!A:A,suppliers!B:B)</f>
        <v>Utah Wholesale</v>
      </c>
      <c r="N346" t="str">
        <f t="shared" si="16"/>
        <v>On time</v>
      </c>
      <c r="O346">
        <f t="shared" si="17"/>
        <v>0.93</v>
      </c>
    </row>
    <row r="347" spans="1:15">
      <c r="A347">
        <v>5346</v>
      </c>
      <c r="B347">
        <v>3</v>
      </c>
      <c r="C347">
        <v>58</v>
      </c>
      <c r="D347" t="s">
        <v>117</v>
      </c>
      <c r="E347" s="1">
        <v>46060</v>
      </c>
      <c r="F347" s="1">
        <v>46093</v>
      </c>
      <c r="G347" s="1">
        <v>46101</v>
      </c>
      <c r="H347">
        <v>63</v>
      </c>
      <c r="I347">
        <v>62</v>
      </c>
      <c r="J347">
        <v>128.13999999999999</v>
      </c>
      <c r="K347" t="s">
        <v>462</v>
      </c>
      <c r="L347">
        <f t="shared" si="15"/>
        <v>41</v>
      </c>
      <c r="M347" t="str">
        <f>_xlfn.XLOOKUP(B347,suppliers!A:A,suppliers!B:B)</f>
        <v>PrimeSource</v>
      </c>
      <c r="N347" t="str">
        <f t="shared" si="16"/>
        <v>Late</v>
      </c>
      <c r="O347">
        <f t="shared" si="17"/>
        <v>0.98</v>
      </c>
    </row>
    <row r="348" spans="1:15">
      <c r="A348">
        <v>5347</v>
      </c>
      <c r="B348">
        <v>5</v>
      </c>
      <c r="C348">
        <v>96</v>
      </c>
      <c r="D348" t="s">
        <v>117</v>
      </c>
      <c r="E348" s="1">
        <v>46093</v>
      </c>
      <c r="F348" s="1">
        <v>46128</v>
      </c>
      <c r="G348" s="1">
        <v>46130</v>
      </c>
      <c r="H348">
        <v>786</v>
      </c>
      <c r="I348">
        <v>747</v>
      </c>
      <c r="J348">
        <v>165.7</v>
      </c>
      <c r="K348" t="s">
        <v>464</v>
      </c>
      <c r="L348">
        <f t="shared" si="15"/>
        <v>37</v>
      </c>
      <c r="M348" t="str">
        <f>_xlfn.XLOOKUP(B348,suppliers!A:A,suppliers!B:B)</f>
        <v>Utah Wholesale</v>
      </c>
      <c r="N348" t="str">
        <f t="shared" si="16"/>
        <v>Late</v>
      </c>
      <c r="O348">
        <f t="shared" si="17"/>
        <v>0.95</v>
      </c>
    </row>
    <row r="349" spans="1:15">
      <c r="A349">
        <v>5348</v>
      </c>
      <c r="B349">
        <v>8</v>
      </c>
      <c r="C349">
        <v>105</v>
      </c>
      <c r="D349" t="s">
        <v>117</v>
      </c>
      <c r="E349" s="1">
        <v>46033</v>
      </c>
      <c r="F349" s="1">
        <v>46055</v>
      </c>
      <c r="G349" s="1">
        <v>46059</v>
      </c>
      <c r="H349">
        <v>529</v>
      </c>
      <c r="I349">
        <v>491</v>
      </c>
      <c r="J349">
        <v>27.21</v>
      </c>
      <c r="K349" t="s">
        <v>464</v>
      </c>
      <c r="L349">
        <f t="shared" si="15"/>
        <v>26</v>
      </c>
      <c r="M349" t="str">
        <f>_xlfn.XLOOKUP(B349,suppliers!A:A,suppliers!B:B)</f>
        <v>Metro Logistics</v>
      </c>
      <c r="N349" t="str">
        <f t="shared" si="16"/>
        <v>Late</v>
      </c>
      <c r="O349">
        <f t="shared" si="17"/>
        <v>0.93</v>
      </c>
    </row>
    <row r="350" spans="1:15">
      <c r="A350">
        <v>5349</v>
      </c>
      <c r="B350">
        <v>5</v>
      </c>
      <c r="C350">
        <v>107</v>
      </c>
      <c r="D350" t="s">
        <v>119</v>
      </c>
      <c r="E350" s="1">
        <v>46009</v>
      </c>
      <c r="F350" s="1">
        <v>46051</v>
      </c>
      <c r="G350" s="1">
        <v>46070</v>
      </c>
      <c r="H350">
        <v>169</v>
      </c>
      <c r="I350">
        <v>146</v>
      </c>
      <c r="J350">
        <v>94.16</v>
      </c>
      <c r="K350" t="s">
        <v>463</v>
      </c>
      <c r="L350">
        <f t="shared" si="15"/>
        <v>61</v>
      </c>
      <c r="M350" t="str">
        <f>_xlfn.XLOOKUP(B350,suppliers!A:A,suppliers!B:B)</f>
        <v>Utah Wholesale</v>
      </c>
      <c r="N350" t="str">
        <f t="shared" si="16"/>
        <v>Late</v>
      </c>
      <c r="O350">
        <f t="shared" si="17"/>
        <v>0.86</v>
      </c>
    </row>
    <row r="351" spans="1:15">
      <c r="A351">
        <v>5350</v>
      </c>
      <c r="B351">
        <v>1</v>
      </c>
      <c r="C351">
        <v>101</v>
      </c>
      <c r="D351" t="s">
        <v>122</v>
      </c>
      <c r="E351" s="1">
        <v>46064</v>
      </c>
      <c r="F351" s="1">
        <v>46100</v>
      </c>
      <c r="G351" s="1">
        <v>46105</v>
      </c>
      <c r="H351">
        <v>330</v>
      </c>
      <c r="I351">
        <v>311</v>
      </c>
      <c r="J351">
        <v>205.91</v>
      </c>
      <c r="K351" t="s">
        <v>462</v>
      </c>
      <c r="L351">
        <f t="shared" si="15"/>
        <v>41</v>
      </c>
      <c r="M351" t="str">
        <f>_xlfn.XLOOKUP(B351,suppliers!A:A,suppliers!B:B)</f>
        <v>Acme Supply</v>
      </c>
      <c r="N351" t="str">
        <f t="shared" si="16"/>
        <v>Late</v>
      </c>
      <c r="O351">
        <f t="shared" si="17"/>
        <v>0.94</v>
      </c>
    </row>
    <row r="352" spans="1:15">
      <c r="A352">
        <v>5351</v>
      </c>
      <c r="B352">
        <v>5</v>
      </c>
      <c r="C352">
        <v>131</v>
      </c>
      <c r="D352" t="s">
        <v>118</v>
      </c>
      <c r="E352" s="1">
        <v>46117</v>
      </c>
      <c r="F352" s="1">
        <v>46148</v>
      </c>
      <c r="G352" s="1">
        <v>46165</v>
      </c>
      <c r="H352">
        <v>623</v>
      </c>
      <c r="I352">
        <v>593</v>
      </c>
      <c r="J352">
        <v>50.02</v>
      </c>
      <c r="K352" t="s">
        <v>463</v>
      </c>
      <c r="L352">
        <f t="shared" si="15"/>
        <v>48</v>
      </c>
      <c r="M352" t="str">
        <f>_xlfn.XLOOKUP(B352,suppliers!A:A,suppliers!B:B)</f>
        <v>Utah Wholesale</v>
      </c>
      <c r="N352" t="str">
        <f t="shared" si="16"/>
        <v>Late</v>
      </c>
      <c r="O352">
        <f t="shared" si="17"/>
        <v>0.95</v>
      </c>
    </row>
    <row r="353" spans="1:15">
      <c r="A353">
        <v>5352</v>
      </c>
      <c r="B353">
        <v>6</v>
      </c>
      <c r="C353">
        <v>24</v>
      </c>
      <c r="D353" t="s">
        <v>120</v>
      </c>
      <c r="E353" s="1">
        <v>46118</v>
      </c>
      <c r="F353" s="1">
        <v>46146</v>
      </c>
      <c r="G353" s="1">
        <v>46160</v>
      </c>
      <c r="H353">
        <v>666</v>
      </c>
      <c r="I353">
        <v>649</v>
      </c>
      <c r="J353">
        <v>54.02</v>
      </c>
      <c r="K353" t="s">
        <v>463</v>
      </c>
      <c r="L353">
        <f t="shared" si="15"/>
        <v>42</v>
      </c>
      <c r="M353" t="str">
        <f>_xlfn.XLOOKUP(B353,suppliers!A:A,suppliers!B:B)</f>
        <v>Evergreen Imports</v>
      </c>
      <c r="N353" t="str">
        <f t="shared" si="16"/>
        <v>Late</v>
      </c>
      <c r="O353">
        <f t="shared" si="17"/>
        <v>0.97</v>
      </c>
    </row>
    <row r="354" spans="1:15">
      <c r="A354">
        <v>5353</v>
      </c>
      <c r="B354">
        <v>5</v>
      </c>
      <c r="C354">
        <v>132</v>
      </c>
      <c r="D354" t="s">
        <v>118</v>
      </c>
      <c r="E354" s="1">
        <v>46051</v>
      </c>
      <c r="F354" s="1">
        <v>46078</v>
      </c>
      <c r="G354" t="s">
        <v>145</v>
      </c>
      <c r="H354">
        <v>351</v>
      </c>
      <c r="I354">
        <v>0</v>
      </c>
      <c r="J354">
        <v>18.73</v>
      </c>
      <c r="K354" t="s">
        <v>463</v>
      </c>
      <c r="L354" t="str">
        <f t="shared" si="15"/>
        <v/>
      </c>
      <c r="M354" t="str">
        <f>_xlfn.XLOOKUP(B354,suppliers!A:A,suppliers!B:B)</f>
        <v>Utah Wholesale</v>
      </c>
      <c r="N354" t="str">
        <f t="shared" si="16"/>
        <v>Late</v>
      </c>
      <c r="O354">
        <f t="shared" si="17"/>
        <v>0</v>
      </c>
    </row>
    <row r="355" spans="1:15">
      <c r="A355">
        <v>5354</v>
      </c>
      <c r="B355">
        <v>8</v>
      </c>
      <c r="C355">
        <v>79</v>
      </c>
      <c r="D355" t="s">
        <v>117</v>
      </c>
      <c r="E355" s="1">
        <v>46042</v>
      </c>
      <c r="F355" s="1">
        <v>46070</v>
      </c>
      <c r="G355" s="1">
        <v>46078</v>
      </c>
      <c r="H355">
        <v>305</v>
      </c>
      <c r="I355">
        <v>263</v>
      </c>
      <c r="J355">
        <v>106.99</v>
      </c>
      <c r="K355" t="s">
        <v>462</v>
      </c>
      <c r="L355">
        <f t="shared" si="15"/>
        <v>36</v>
      </c>
      <c r="M355" t="str">
        <f>_xlfn.XLOOKUP(B355,suppliers!A:A,suppliers!B:B)</f>
        <v>Metro Logistics</v>
      </c>
      <c r="N355" t="str">
        <f t="shared" si="16"/>
        <v>Late</v>
      </c>
      <c r="O355">
        <f t="shared" si="17"/>
        <v>0.86</v>
      </c>
    </row>
    <row r="356" spans="1:15">
      <c r="A356">
        <v>5355</v>
      </c>
      <c r="B356">
        <v>4</v>
      </c>
      <c r="C356">
        <v>36</v>
      </c>
      <c r="D356" t="s">
        <v>122</v>
      </c>
      <c r="E356" s="1">
        <v>46068</v>
      </c>
      <c r="F356" s="1">
        <v>46087</v>
      </c>
      <c r="G356" s="1">
        <v>46093</v>
      </c>
      <c r="H356">
        <v>749</v>
      </c>
      <c r="I356">
        <v>736</v>
      </c>
      <c r="J356">
        <v>84.12</v>
      </c>
      <c r="K356" t="s">
        <v>462</v>
      </c>
      <c r="L356">
        <f t="shared" si="15"/>
        <v>25</v>
      </c>
      <c r="M356" t="str">
        <f>_xlfn.XLOOKUP(B356,suppliers!A:A,suppliers!B:B)</f>
        <v>Blue Ridge</v>
      </c>
      <c r="N356" t="str">
        <f t="shared" si="16"/>
        <v>Late</v>
      </c>
      <c r="O356">
        <f t="shared" si="17"/>
        <v>0.98</v>
      </c>
    </row>
    <row r="357" spans="1:15">
      <c r="A357">
        <v>5356</v>
      </c>
      <c r="B357">
        <v>6</v>
      </c>
      <c r="C357">
        <v>149</v>
      </c>
      <c r="D357" t="s">
        <v>118</v>
      </c>
      <c r="E357" s="1">
        <v>46126</v>
      </c>
      <c r="F357" s="1">
        <v>46144</v>
      </c>
      <c r="G357" s="1">
        <v>46162</v>
      </c>
      <c r="H357">
        <v>917</v>
      </c>
      <c r="I357">
        <v>904</v>
      </c>
      <c r="J357">
        <v>135.53</v>
      </c>
      <c r="K357" t="s">
        <v>464</v>
      </c>
      <c r="L357">
        <f t="shared" si="15"/>
        <v>36</v>
      </c>
      <c r="M357" t="str">
        <f>_xlfn.XLOOKUP(B357,suppliers!A:A,suppliers!B:B)</f>
        <v>Evergreen Imports</v>
      </c>
      <c r="N357" t="str">
        <f t="shared" si="16"/>
        <v>Late</v>
      </c>
      <c r="O357">
        <f t="shared" si="17"/>
        <v>0.99</v>
      </c>
    </row>
    <row r="358" spans="1:15">
      <c r="A358">
        <v>5357</v>
      </c>
      <c r="B358">
        <v>3</v>
      </c>
      <c r="C358">
        <v>87</v>
      </c>
      <c r="D358" t="s">
        <v>117</v>
      </c>
      <c r="E358" s="1">
        <v>46039</v>
      </c>
      <c r="F358" s="1">
        <v>46077</v>
      </c>
      <c r="G358" s="1">
        <v>46084</v>
      </c>
      <c r="H358">
        <v>515</v>
      </c>
      <c r="I358">
        <v>481</v>
      </c>
      <c r="J358">
        <v>35.700000000000003</v>
      </c>
      <c r="K358" t="s">
        <v>463</v>
      </c>
      <c r="L358">
        <f t="shared" si="15"/>
        <v>45</v>
      </c>
      <c r="M358" t="str">
        <f>_xlfn.XLOOKUP(B358,suppliers!A:A,suppliers!B:B)</f>
        <v>PrimeSource</v>
      </c>
      <c r="N358" t="str">
        <f t="shared" si="16"/>
        <v>Late</v>
      </c>
      <c r="O358">
        <f t="shared" si="17"/>
        <v>0.93</v>
      </c>
    </row>
    <row r="359" spans="1:15">
      <c r="A359">
        <v>5358</v>
      </c>
      <c r="B359">
        <v>3</v>
      </c>
      <c r="C359">
        <v>38</v>
      </c>
      <c r="D359" t="s">
        <v>117</v>
      </c>
      <c r="E359" s="1">
        <v>46058</v>
      </c>
      <c r="F359" s="1">
        <v>46103</v>
      </c>
      <c r="G359" s="1">
        <v>46101</v>
      </c>
      <c r="H359">
        <v>405</v>
      </c>
      <c r="I359">
        <v>405</v>
      </c>
      <c r="J359">
        <v>196.4</v>
      </c>
      <c r="K359" t="s">
        <v>464</v>
      </c>
      <c r="L359">
        <f t="shared" si="15"/>
        <v>43</v>
      </c>
      <c r="M359" t="str">
        <f>_xlfn.XLOOKUP(B359,suppliers!A:A,suppliers!B:B)</f>
        <v>PrimeSource</v>
      </c>
      <c r="N359" t="str">
        <f t="shared" si="16"/>
        <v>On time</v>
      </c>
      <c r="O359">
        <f t="shared" si="17"/>
        <v>1</v>
      </c>
    </row>
    <row r="360" spans="1:15">
      <c r="A360">
        <v>5359</v>
      </c>
      <c r="B360">
        <v>2</v>
      </c>
      <c r="C360">
        <v>49</v>
      </c>
      <c r="D360" t="s">
        <v>121</v>
      </c>
      <c r="E360" s="1">
        <v>46058</v>
      </c>
      <c r="F360" s="1">
        <v>46096</v>
      </c>
      <c r="G360" s="1">
        <v>46108</v>
      </c>
      <c r="H360">
        <v>617</v>
      </c>
      <c r="I360">
        <v>581</v>
      </c>
      <c r="J360">
        <v>60.58</v>
      </c>
      <c r="K360" t="s">
        <v>462</v>
      </c>
      <c r="L360">
        <f t="shared" si="15"/>
        <v>50</v>
      </c>
      <c r="M360" t="str">
        <f>_xlfn.XLOOKUP(B360,suppliers!A:A,suppliers!B:B)</f>
        <v>Global Goods</v>
      </c>
      <c r="N360" t="str">
        <f t="shared" si="16"/>
        <v>Late</v>
      </c>
      <c r="O360">
        <f t="shared" si="17"/>
        <v>0.94</v>
      </c>
    </row>
    <row r="361" spans="1:15">
      <c r="A361">
        <v>5360</v>
      </c>
      <c r="B361">
        <v>3</v>
      </c>
      <c r="C361">
        <v>51</v>
      </c>
      <c r="D361" t="s">
        <v>119</v>
      </c>
      <c r="E361" s="1">
        <v>46061</v>
      </c>
      <c r="F361" s="1">
        <v>46071</v>
      </c>
      <c r="G361" t="s">
        <v>145</v>
      </c>
      <c r="H361">
        <v>663</v>
      </c>
      <c r="I361">
        <v>0</v>
      </c>
      <c r="J361">
        <v>71.319999999999993</v>
      </c>
      <c r="K361" t="s">
        <v>462</v>
      </c>
      <c r="L361" t="str">
        <f t="shared" si="15"/>
        <v/>
      </c>
      <c r="M361" t="str">
        <f>_xlfn.XLOOKUP(B361,suppliers!A:A,suppliers!B:B)</f>
        <v>PrimeSource</v>
      </c>
      <c r="N361" t="str">
        <f t="shared" si="16"/>
        <v>Late</v>
      </c>
      <c r="O361">
        <f t="shared" si="17"/>
        <v>0</v>
      </c>
    </row>
    <row r="362" spans="1:15">
      <c r="A362">
        <v>5361</v>
      </c>
      <c r="B362">
        <v>1</v>
      </c>
      <c r="C362">
        <v>112</v>
      </c>
      <c r="D362" t="s">
        <v>119</v>
      </c>
      <c r="E362" s="1">
        <v>46092</v>
      </c>
      <c r="F362" s="1">
        <v>46119</v>
      </c>
      <c r="G362" s="1">
        <v>46119</v>
      </c>
      <c r="H362">
        <v>145</v>
      </c>
      <c r="I362">
        <v>143</v>
      </c>
      <c r="J362">
        <v>117.38</v>
      </c>
      <c r="K362" t="s">
        <v>464</v>
      </c>
      <c r="L362">
        <f t="shared" si="15"/>
        <v>27</v>
      </c>
      <c r="M362" t="str">
        <f>_xlfn.XLOOKUP(B362,suppliers!A:A,suppliers!B:B)</f>
        <v>Acme Supply</v>
      </c>
      <c r="N362" t="str">
        <f t="shared" si="16"/>
        <v>Late</v>
      </c>
      <c r="O362">
        <f t="shared" si="17"/>
        <v>0.99</v>
      </c>
    </row>
    <row r="363" spans="1:15">
      <c r="A363">
        <v>5362</v>
      </c>
      <c r="B363">
        <v>6</v>
      </c>
      <c r="C363">
        <v>72</v>
      </c>
      <c r="D363" t="s">
        <v>117</v>
      </c>
      <c r="E363" s="1">
        <v>46020</v>
      </c>
      <c r="F363" s="1">
        <v>46062</v>
      </c>
      <c r="G363" s="1">
        <v>46061</v>
      </c>
      <c r="H363">
        <v>822</v>
      </c>
      <c r="I363">
        <v>809</v>
      </c>
      <c r="J363">
        <v>83.28</v>
      </c>
      <c r="K363" t="s">
        <v>464</v>
      </c>
      <c r="L363">
        <f t="shared" si="15"/>
        <v>41</v>
      </c>
      <c r="M363" t="str">
        <f>_xlfn.XLOOKUP(B363,suppliers!A:A,suppliers!B:B)</f>
        <v>Evergreen Imports</v>
      </c>
      <c r="N363" t="str">
        <f t="shared" si="16"/>
        <v>On time</v>
      </c>
      <c r="O363">
        <f t="shared" si="17"/>
        <v>0.98</v>
      </c>
    </row>
    <row r="364" spans="1:15">
      <c r="A364">
        <v>5363</v>
      </c>
      <c r="B364">
        <v>3</v>
      </c>
      <c r="C364">
        <v>146</v>
      </c>
      <c r="D364" t="s">
        <v>117</v>
      </c>
      <c r="E364" s="1">
        <v>46008</v>
      </c>
      <c r="F364" s="1">
        <v>46015</v>
      </c>
      <c r="G364" s="1">
        <v>46029</v>
      </c>
      <c r="H364">
        <v>756</v>
      </c>
      <c r="I364">
        <v>741</v>
      </c>
      <c r="J364">
        <v>164.06</v>
      </c>
      <c r="K364" t="s">
        <v>462</v>
      </c>
      <c r="L364">
        <f t="shared" si="15"/>
        <v>21</v>
      </c>
      <c r="M364" t="str">
        <f>_xlfn.XLOOKUP(B364,suppliers!A:A,suppliers!B:B)</f>
        <v>PrimeSource</v>
      </c>
      <c r="N364" t="str">
        <f t="shared" si="16"/>
        <v>Late</v>
      </c>
      <c r="O364">
        <f t="shared" si="17"/>
        <v>0.98</v>
      </c>
    </row>
    <row r="365" spans="1:15">
      <c r="A365">
        <v>5364</v>
      </c>
      <c r="B365">
        <v>3</v>
      </c>
      <c r="C365">
        <v>57</v>
      </c>
      <c r="D365" t="s">
        <v>118</v>
      </c>
      <c r="E365" s="1">
        <v>46139</v>
      </c>
      <c r="F365" s="1">
        <v>46163</v>
      </c>
      <c r="G365" t="s">
        <v>145</v>
      </c>
      <c r="H365">
        <v>382</v>
      </c>
      <c r="I365">
        <v>0</v>
      </c>
      <c r="J365">
        <v>21.56</v>
      </c>
      <c r="K365" t="s">
        <v>464</v>
      </c>
      <c r="L365" t="str">
        <f t="shared" si="15"/>
        <v/>
      </c>
      <c r="M365" t="str">
        <f>_xlfn.XLOOKUP(B365,suppliers!A:A,suppliers!B:B)</f>
        <v>PrimeSource</v>
      </c>
      <c r="N365" t="str">
        <f t="shared" si="16"/>
        <v>Late</v>
      </c>
      <c r="O365">
        <f t="shared" si="17"/>
        <v>0</v>
      </c>
    </row>
    <row r="366" spans="1:15">
      <c r="A366">
        <v>5365</v>
      </c>
      <c r="B366">
        <v>8</v>
      </c>
      <c r="C366">
        <v>142</v>
      </c>
      <c r="D366" t="s">
        <v>117</v>
      </c>
      <c r="E366" s="1">
        <v>46142</v>
      </c>
      <c r="F366" s="1">
        <v>46169</v>
      </c>
      <c r="G366" s="1">
        <v>46169</v>
      </c>
      <c r="H366">
        <v>845</v>
      </c>
      <c r="I366">
        <v>832</v>
      </c>
      <c r="J366">
        <v>118.38</v>
      </c>
      <c r="K366" t="s">
        <v>464</v>
      </c>
      <c r="L366">
        <f t="shared" si="15"/>
        <v>27</v>
      </c>
      <c r="M366" t="str">
        <f>_xlfn.XLOOKUP(B366,suppliers!A:A,suppliers!B:B)</f>
        <v>Metro Logistics</v>
      </c>
      <c r="N366" t="str">
        <f t="shared" si="16"/>
        <v>Late</v>
      </c>
      <c r="O366">
        <f t="shared" si="17"/>
        <v>0.98</v>
      </c>
    </row>
    <row r="367" spans="1:15">
      <c r="A367">
        <v>5366</v>
      </c>
      <c r="B367">
        <v>6</v>
      </c>
      <c r="C367">
        <v>5</v>
      </c>
      <c r="D367" t="s">
        <v>119</v>
      </c>
      <c r="E367" s="1">
        <v>46034</v>
      </c>
      <c r="F367" s="1">
        <v>46046</v>
      </c>
      <c r="G367" s="1">
        <v>46060</v>
      </c>
      <c r="H367">
        <v>296</v>
      </c>
      <c r="I367">
        <v>290</v>
      </c>
      <c r="J367">
        <v>75.760000000000005</v>
      </c>
      <c r="K367" t="s">
        <v>462</v>
      </c>
      <c r="L367">
        <f t="shared" si="15"/>
        <v>26</v>
      </c>
      <c r="M367" t="str">
        <f>_xlfn.XLOOKUP(B367,suppliers!A:A,suppliers!B:B)</f>
        <v>Evergreen Imports</v>
      </c>
      <c r="N367" t="str">
        <f t="shared" si="16"/>
        <v>Late</v>
      </c>
      <c r="O367">
        <f t="shared" si="17"/>
        <v>0.98</v>
      </c>
    </row>
    <row r="368" spans="1:15">
      <c r="A368">
        <v>5367</v>
      </c>
      <c r="B368">
        <v>8</v>
      </c>
      <c r="C368">
        <v>105</v>
      </c>
      <c r="D368" t="s">
        <v>118</v>
      </c>
      <c r="E368" s="1">
        <v>46049</v>
      </c>
      <c r="F368" s="1">
        <v>46071</v>
      </c>
      <c r="G368" s="1">
        <v>46071</v>
      </c>
      <c r="H368">
        <v>933</v>
      </c>
      <c r="I368">
        <v>916</v>
      </c>
      <c r="J368">
        <v>21.58</v>
      </c>
      <c r="K368" t="s">
        <v>464</v>
      </c>
      <c r="L368">
        <f t="shared" si="15"/>
        <v>22</v>
      </c>
      <c r="M368" t="str">
        <f>_xlfn.XLOOKUP(B368,suppliers!A:A,suppliers!B:B)</f>
        <v>Metro Logistics</v>
      </c>
      <c r="N368" t="str">
        <f t="shared" si="16"/>
        <v>Late</v>
      </c>
      <c r="O368">
        <f t="shared" si="17"/>
        <v>0.98</v>
      </c>
    </row>
    <row r="369" spans="1:15">
      <c r="A369">
        <v>5368</v>
      </c>
      <c r="B369">
        <v>3</v>
      </c>
      <c r="C369">
        <v>1</v>
      </c>
      <c r="D369" t="s">
        <v>118</v>
      </c>
      <c r="E369" s="1">
        <v>46054</v>
      </c>
      <c r="F369" s="1">
        <v>46080</v>
      </c>
      <c r="G369" s="1">
        <v>46094</v>
      </c>
      <c r="H369">
        <v>889</v>
      </c>
      <c r="I369">
        <v>875</v>
      </c>
      <c r="J369">
        <v>135.4</v>
      </c>
      <c r="K369" t="s">
        <v>464</v>
      </c>
      <c r="L369">
        <f t="shared" si="15"/>
        <v>40</v>
      </c>
      <c r="M369" t="str">
        <f>_xlfn.XLOOKUP(B369,suppliers!A:A,suppliers!B:B)</f>
        <v>PrimeSource</v>
      </c>
      <c r="N369" t="str">
        <f t="shared" si="16"/>
        <v>Late</v>
      </c>
      <c r="O369">
        <f t="shared" si="17"/>
        <v>0.98</v>
      </c>
    </row>
    <row r="370" spans="1:15">
      <c r="A370">
        <v>5369</v>
      </c>
      <c r="B370">
        <v>1</v>
      </c>
      <c r="C370">
        <v>21</v>
      </c>
      <c r="D370" t="s">
        <v>117</v>
      </c>
      <c r="E370" s="1">
        <v>46097</v>
      </c>
      <c r="F370" s="1">
        <v>46132</v>
      </c>
      <c r="G370" s="1">
        <v>46150</v>
      </c>
      <c r="H370">
        <v>929</v>
      </c>
      <c r="I370">
        <v>928</v>
      </c>
      <c r="J370">
        <v>56.57</v>
      </c>
      <c r="K370" t="s">
        <v>464</v>
      </c>
      <c r="L370">
        <f t="shared" si="15"/>
        <v>53</v>
      </c>
      <c r="M370" t="str">
        <f>_xlfn.XLOOKUP(B370,suppliers!A:A,suppliers!B:B)</f>
        <v>Acme Supply</v>
      </c>
      <c r="N370" t="str">
        <f t="shared" si="16"/>
        <v>Late</v>
      </c>
      <c r="O370">
        <f t="shared" si="17"/>
        <v>1</v>
      </c>
    </row>
    <row r="371" spans="1:15">
      <c r="A371">
        <v>5370</v>
      </c>
      <c r="B371">
        <v>4</v>
      </c>
      <c r="C371">
        <v>70</v>
      </c>
      <c r="D371" t="s">
        <v>117</v>
      </c>
      <c r="E371" s="1">
        <v>46045</v>
      </c>
      <c r="F371" s="1">
        <v>46083</v>
      </c>
      <c r="G371" s="1">
        <v>46094</v>
      </c>
      <c r="H371">
        <v>370</v>
      </c>
      <c r="I371">
        <v>338</v>
      </c>
      <c r="J371">
        <v>93.96</v>
      </c>
      <c r="K371" t="s">
        <v>464</v>
      </c>
      <c r="L371">
        <f t="shared" si="15"/>
        <v>49</v>
      </c>
      <c r="M371" t="str">
        <f>_xlfn.XLOOKUP(B371,suppliers!A:A,suppliers!B:B)</f>
        <v>Blue Ridge</v>
      </c>
      <c r="N371" t="str">
        <f t="shared" si="16"/>
        <v>Late</v>
      </c>
      <c r="O371">
        <f t="shared" si="17"/>
        <v>0.91</v>
      </c>
    </row>
    <row r="372" spans="1:15">
      <c r="A372">
        <v>5371</v>
      </c>
      <c r="B372">
        <v>3</v>
      </c>
      <c r="C372">
        <v>100</v>
      </c>
      <c r="D372" t="s">
        <v>117</v>
      </c>
      <c r="E372" s="1">
        <v>46106</v>
      </c>
      <c r="F372" s="1">
        <v>46151</v>
      </c>
      <c r="G372" s="1">
        <v>46150</v>
      </c>
      <c r="H372">
        <v>740</v>
      </c>
      <c r="I372">
        <v>730</v>
      </c>
      <c r="J372">
        <v>112.24</v>
      </c>
      <c r="K372" t="s">
        <v>462</v>
      </c>
      <c r="L372">
        <f t="shared" si="15"/>
        <v>44</v>
      </c>
      <c r="M372" t="str">
        <f>_xlfn.XLOOKUP(B372,suppliers!A:A,suppliers!B:B)</f>
        <v>PrimeSource</v>
      </c>
      <c r="N372" t="str">
        <f t="shared" si="16"/>
        <v>On time</v>
      </c>
      <c r="O372">
        <f t="shared" si="17"/>
        <v>0.99</v>
      </c>
    </row>
    <row r="373" spans="1:15">
      <c r="A373">
        <v>5372</v>
      </c>
      <c r="B373">
        <v>2</v>
      </c>
      <c r="C373">
        <v>54</v>
      </c>
      <c r="D373" t="s">
        <v>118</v>
      </c>
      <c r="E373" s="1">
        <v>46048</v>
      </c>
      <c r="F373" s="1">
        <v>46075</v>
      </c>
      <c r="G373" s="1">
        <v>46078</v>
      </c>
      <c r="H373">
        <v>274</v>
      </c>
      <c r="I373">
        <v>250</v>
      </c>
      <c r="J373">
        <v>185.65</v>
      </c>
      <c r="K373" t="s">
        <v>464</v>
      </c>
      <c r="L373">
        <f t="shared" si="15"/>
        <v>30</v>
      </c>
      <c r="M373" t="str">
        <f>_xlfn.XLOOKUP(B373,suppliers!A:A,suppliers!B:B)</f>
        <v>Global Goods</v>
      </c>
      <c r="N373" t="str">
        <f t="shared" si="16"/>
        <v>Late</v>
      </c>
      <c r="O373">
        <f t="shared" si="17"/>
        <v>0.91</v>
      </c>
    </row>
    <row r="374" spans="1:15">
      <c r="A374">
        <v>5373</v>
      </c>
      <c r="B374">
        <v>6</v>
      </c>
      <c r="C374">
        <v>121</v>
      </c>
      <c r="D374" t="s">
        <v>119</v>
      </c>
      <c r="E374" s="1">
        <v>45999</v>
      </c>
      <c r="F374" s="1">
        <v>46042</v>
      </c>
      <c r="G374" s="1">
        <v>46059</v>
      </c>
      <c r="H374">
        <v>86</v>
      </c>
      <c r="I374">
        <v>62</v>
      </c>
      <c r="J374">
        <v>56.45</v>
      </c>
      <c r="K374" t="s">
        <v>464</v>
      </c>
      <c r="L374">
        <f t="shared" si="15"/>
        <v>60</v>
      </c>
      <c r="M374" t="str">
        <f>_xlfn.XLOOKUP(B374,suppliers!A:A,suppliers!B:B)</f>
        <v>Evergreen Imports</v>
      </c>
      <c r="N374" t="str">
        <f t="shared" si="16"/>
        <v>Late</v>
      </c>
      <c r="O374">
        <f t="shared" si="17"/>
        <v>0.72</v>
      </c>
    </row>
    <row r="375" spans="1:15">
      <c r="A375">
        <v>5374</v>
      </c>
      <c r="B375">
        <v>1</v>
      </c>
      <c r="C375">
        <v>89</v>
      </c>
      <c r="D375" t="s">
        <v>117</v>
      </c>
      <c r="E375" s="1">
        <v>46085</v>
      </c>
      <c r="F375" s="1">
        <v>46116</v>
      </c>
      <c r="G375" s="1">
        <v>46124</v>
      </c>
      <c r="H375">
        <v>761</v>
      </c>
      <c r="I375">
        <v>756</v>
      </c>
      <c r="J375">
        <v>155</v>
      </c>
      <c r="K375" t="s">
        <v>462</v>
      </c>
      <c r="L375">
        <f t="shared" si="15"/>
        <v>39</v>
      </c>
      <c r="M375" t="str">
        <f>_xlfn.XLOOKUP(B375,suppliers!A:A,suppliers!B:B)</f>
        <v>Acme Supply</v>
      </c>
      <c r="N375" t="str">
        <f t="shared" si="16"/>
        <v>Late</v>
      </c>
      <c r="O375">
        <f t="shared" si="17"/>
        <v>0.99</v>
      </c>
    </row>
    <row r="376" spans="1:15">
      <c r="A376">
        <v>5375</v>
      </c>
      <c r="B376">
        <v>7</v>
      </c>
      <c r="C376">
        <v>66</v>
      </c>
      <c r="D376" t="s">
        <v>118</v>
      </c>
      <c r="E376" s="1">
        <v>46082</v>
      </c>
      <c r="F376" s="1">
        <v>46103</v>
      </c>
      <c r="G376" s="1">
        <v>46106</v>
      </c>
      <c r="H376">
        <v>510</v>
      </c>
      <c r="I376">
        <v>473</v>
      </c>
      <c r="J376">
        <v>159.1</v>
      </c>
      <c r="K376" t="s">
        <v>464</v>
      </c>
      <c r="L376">
        <f t="shared" si="15"/>
        <v>24</v>
      </c>
      <c r="M376" t="str">
        <f>_xlfn.XLOOKUP(B376,suppliers!A:A,suppliers!B:B)</f>
        <v>Summit Trading</v>
      </c>
      <c r="N376" t="str">
        <f t="shared" si="16"/>
        <v>Late</v>
      </c>
      <c r="O376">
        <f t="shared" si="17"/>
        <v>0.93</v>
      </c>
    </row>
    <row r="377" spans="1:15">
      <c r="A377">
        <v>5376</v>
      </c>
      <c r="B377">
        <v>8</v>
      </c>
      <c r="C377">
        <v>136</v>
      </c>
      <c r="D377" t="s">
        <v>118</v>
      </c>
      <c r="E377" s="1">
        <v>46043</v>
      </c>
      <c r="F377" s="1">
        <v>46052</v>
      </c>
      <c r="G377" t="s">
        <v>145</v>
      </c>
      <c r="H377">
        <v>393</v>
      </c>
      <c r="I377">
        <v>0</v>
      </c>
      <c r="J377">
        <v>10.47</v>
      </c>
      <c r="K377" t="s">
        <v>464</v>
      </c>
      <c r="L377" t="str">
        <f t="shared" si="15"/>
        <v/>
      </c>
      <c r="M377" t="str">
        <f>_xlfn.XLOOKUP(B377,suppliers!A:A,suppliers!B:B)</f>
        <v>Metro Logistics</v>
      </c>
      <c r="N377" t="str">
        <f t="shared" si="16"/>
        <v>Late</v>
      </c>
      <c r="O377">
        <f t="shared" si="17"/>
        <v>0</v>
      </c>
    </row>
    <row r="378" spans="1:15">
      <c r="A378">
        <v>5377</v>
      </c>
      <c r="B378">
        <v>4</v>
      </c>
      <c r="C378">
        <v>41</v>
      </c>
      <c r="D378" t="s">
        <v>117</v>
      </c>
      <c r="E378" s="1">
        <v>46016</v>
      </c>
      <c r="F378" s="1">
        <v>46058</v>
      </c>
      <c r="G378" s="1">
        <v>46055</v>
      </c>
      <c r="H378">
        <v>557</v>
      </c>
      <c r="I378">
        <v>548</v>
      </c>
      <c r="J378">
        <v>147.75</v>
      </c>
      <c r="K378" t="s">
        <v>463</v>
      </c>
      <c r="L378">
        <f t="shared" si="15"/>
        <v>39</v>
      </c>
      <c r="M378" t="str">
        <f>_xlfn.XLOOKUP(B378,suppliers!A:A,suppliers!B:B)</f>
        <v>Blue Ridge</v>
      </c>
      <c r="N378" t="str">
        <f t="shared" si="16"/>
        <v>On time</v>
      </c>
      <c r="O378">
        <f t="shared" si="17"/>
        <v>0.98</v>
      </c>
    </row>
    <row r="379" spans="1:15">
      <c r="A379">
        <v>5378</v>
      </c>
      <c r="B379">
        <v>2</v>
      </c>
      <c r="C379">
        <v>37</v>
      </c>
      <c r="D379" t="s">
        <v>118</v>
      </c>
      <c r="E379" s="1">
        <v>46104</v>
      </c>
      <c r="F379" s="1">
        <v>46128</v>
      </c>
      <c r="G379" s="1">
        <v>46128</v>
      </c>
      <c r="H379">
        <v>254</v>
      </c>
      <c r="I379">
        <v>221</v>
      </c>
      <c r="J379">
        <v>148.41999999999999</v>
      </c>
      <c r="K379" t="s">
        <v>464</v>
      </c>
      <c r="L379">
        <f t="shared" si="15"/>
        <v>24</v>
      </c>
      <c r="M379" t="str">
        <f>_xlfn.XLOOKUP(B379,suppliers!A:A,suppliers!B:B)</f>
        <v>Global Goods</v>
      </c>
      <c r="N379" t="str">
        <f t="shared" si="16"/>
        <v>Late</v>
      </c>
      <c r="O379">
        <f t="shared" si="17"/>
        <v>0.87</v>
      </c>
    </row>
    <row r="380" spans="1:15">
      <c r="A380">
        <v>5379</v>
      </c>
      <c r="B380">
        <v>7</v>
      </c>
      <c r="C380">
        <v>60</v>
      </c>
      <c r="D380" t="s">
        <v>118</v>
      </c>
      <c r="E380" s="1">
        <v>46016</v>
      </c>
      <c r="F380" s="1">
        <v>46026</v>
      </c>
      <c r="G380" s="1">
        <v>46046</v>
      </c>
      <c r="H380">
        <v>823</v>
      </c>
      <c r="I380">
        <v>805</v>
      </c>
      <c r="J380">
        <v>145.9</v>
      </c>
      <c r="K380" t="s">
        <v>464</v>
      </c>
      <c r="L380">
        <f t="shared" si="15"/>
        <v>30</v>
      </c>
      <c r="M380" t="str">
        <f>_xlfn.XLOOKUP(B380,suppliers!A:A,suppliers!B:B)</f>
        <v>Summit Trading</v>
      </c>
      <c r="N380" t="str">
        <f t="shared" si="16"/>
        <v>Late</v>
      </c>
      <c r="O380">
        <f t="shared" si="17"/>
        <v>0.98</v>
      </c>
    </row>
    <row r="381" spans="1:15">
      <c r="A381">
        <v>5380</v>
      </c>
      <c r="B381">
        <v>6</v>
      </c>
      <c r="C381">
        <v>121</v>
      </c>
      <c r="D381" t="s">
        <v>119</v>
      </c>
      <c r="E381" s="1">
        <v>46101</v>
      </c>
      <c r="F381" s="1">
        <v>46118</v>
      </c>
      <c r="G381" s="1">
        <v>46138</v>
      </c>
      <c r="H381">
        <v>220</v>
      </c>
      <c r="I381">
        <v>216</v>
      </c>
      <c r="J381">
        <v>59.75</v>
      </c>
      <c r="K381" t="s">
        <v>464</v>
      </c>
      <c r="L381">
        <f t="shared" si="15"/>
        <v>37</v>
      </c>
      <c r="M381" t="str">
        <f>_xlfn.XLOOKUP(B381,suppliers!A:A,suppliers!B:B)</f>
        <v>Evergreen Imports</v>
      </c>
      <c r="N381" t="str">
        <f t="shared" si="16"/>
        <v>Late</v>
      </c>
      <c r="O381">
        <f t="shared" si="17"/>
        <v>0.98</v>
      </c>
    </row>
    <row r="382" spans="1:15">
      <c r="A382">
        <v>5381</v>
      </c>
      <c r="B382">
        <v>1</v>
      </c>
      <c r="C382">
        <v>69</v>
      </c>
      <c r="D382" t="s">
        <v>118</v>
      </c>
      <c r="E382" s="1">
        <v>46038</v>
      </c>
      <c r="F382" s="1">
        <v>46079</v>
      </c>
      <c r="G382" s="1">
        <v>46088</v>
      </c>
      <c r="H382">
        <v>586</v>
      </c>
      <c r="I382">
        <v>577</v>
      </c>
      <c r="J382">
        <v>187.48</v>
      </c>
      <c r="K382" t="s">
        <v>464</v>
      </c>
      <c r="L382">
        <f t="shared" si="15"/>
        <v>50</v>
      </c>
      <c r="M382" t="str">
        <f>_xlfn.XLOOKUP(B382,suppliers!A:A,suppliers!B:B)</f>
        <v>Acme Supply</v>
      </c>
      <c r="N382" t="str">
        <f t="shared" si="16"/>
        <v>Late</v>
      </c>
      <c r="O382">
        <f t="shared" si="17"/>
        <v>0.98</v>
      </c>
    </row>
    <row r="383" spans="1:15">
      <c r="A383">
        <v>5382</v>
      </c>
      <c r="B383">
        <v>2</v>
      </c>
      <c r="C383">
        <v>48</v>
      </c>
      <c r="D383" t="s">
        <v>119</v>
      </c>
      <c r="E383" s="1">
        <v>46055</v>
      </c>
      <c r="F383" s="1">
        <v>46062</v>
      </c>
      <c r="G383" s="1">
        <v>46062</v>
      </c>
      <c r="H383">
        <v>804</v>
      </c>
      <c r="I383">
        <v>772</v>
      </c>
      <c r="J383">
        <v>81.7</v>
      </c>
      <c r="K383" t="s">
        <v>464</v>
      </c>
      <c r="L383">
        <f t="shared" si="15"/>
        <v>7</v>
      </c>
      <c r="M383" t="str">
        <f>_xlfn.XLOOKUP(B383,suppliers!A:A,suppliers!B:B)</f>
        <v>Global Goods</v>
      </c>
      <c r="N383" t="str">
        <f t="shared" si="16"/>
        <v>Late</v>
      </c>
      <c r="O383">
        <f t="shared" si="17"/>
        <v>0.96</v>
      </c>
    </row>
    <row r="384" spans="1:15">
      <c r="A384">
        <v>5383</v>
      </c>
      <c r="B384">
        <v>3</v>
      </c>
      <c r="C384">
        <v>15</v>
      </c>
      <c r="D384" t="s">
        <v>118</v>
      </c>
      <c r="E384" s="1">
        <v>46093</v>
      </c>
      <c r="F384" s="1">
        <v>46108</v>
      </c>
      <c r="G384" s="1">
        <v>46118</v>
      </c>
      <c r="H384">
        <v>179</v>
      </c>
      <c r="I384">
        <v>141</v>
      </c>
      <c r="J384">
        <v>189.96</v>
      </c>
      <c r="K384" t="s">
        <v>463</v>
      </c>
      <c r="L384">
        <f t="shared" si="15"/>
        <v>25</v>
      </c>
      <c r="M384" t="str">
        <f>_xlfn.XLOOKUP(B384,suppliers!A:A,suppliers!B:B)</f>
        <v>PrimeSource</v>
      </c>
      <c r="N384" t="str">
        <f t="shared" si="16"/>
        <v>Late</v>
      </c>
      <c r="O384">
        <f t="shared" si="17"/>
        <v>0.79</v>
      </c>
    </row>
    <row r="385" spans="1:15">
      <c r="A385">
        <v>5384</v>
      </c>
      <c r="B385">
        <v>8</v>
      </c>
      <c r="C385">
        <v>147</v>
      </c>
      <c r="D385" t="s">
        <v>118</v>
      </c>
      <c r="E385" s="1">
        <v>46064</v>
      </c>
      <c r="F385" s="1">
        <v>46100</v>
      </c>
      <c r="G385" s="1">
        <v>46100</v>
      </c>
      <c r="H385">
        <v>747</v>
      </c>
      <c r="I385">
        <v>737</v>
      </c>
      <c r="J385">
        <v>114.83</v>
      </c>
      <c r="K385" t="s">
        <v>464</v>
      </c>
      <c r="L385">
        <f t="shared" si="15"/>
        <v>36</v>
      </c>
      <c r="M385" t="str">
        <f>_xlfn.XLOOKUP(B385,suppliers!A:A,suppliers!B:B)</f>
        <v>Metro Logistics</v>
      </c>
      <c r="N385" t="str">
        <f t="shared" si="16"/>
        <v>Late</v>
      </c>
      <c r="O385">
        <f t="shared" si="17"/>
        <v>0.99</v>
      </c>
    </row>
    <row r="386" spans="1:15">
      <c r="A386">
        <v>5385</v>
      </c>
      <c r="B386">
        <v>2</v>
      </c>
      <c r="C386">
        <v>11</v>
      </c>
      <c r="D386" t="s">
        <v>117</v>
      </c>
      <c r="E386" s="1">
        <v>46010</v>
      </c>
      <c r="F386" s="1">
        <v>46041</v>
      </c>
      <c r="G386" s="1">
        <v>46045</v>
      </c>
      <c r="H386">
        <v>491</v>
      </c>
      <c r="I386">
        <v>448</v>
      </c>
      <c r="J386">
        <v>44.22</v>
      </c>
      <c r="K386" t="s">
        <v>462</v>
      </c>
      <c r="L386">
        <f t="shared" si="15"/>
        <v>35</v>
      </c>
      <c r="M386" t="str">
        <f>_xlfn.XLOOKUP(B386,suppliers!A:A,suppliers!B:B)</f>
        <v>Global Goods</v>
      </c>
      <c r="N386" t="str">
        <f t="shared" si="16"/>
        <v>Late</v>
      </c>
      <c r="O386">
        <f t="shared" si="17"/>
        <v>0.91</v>
      </c>
    </row>
    <row r="387" spans="1:15">
      <c r="A387">
        <v>5386</v>
      </c>
      <c r="B387">
        <v>8</v>
      </c>
      <c r="C387">
        <v>141</v>
      </c>
      <c r="D387" t="s">
        <v>122</v>
      </c>
      <c r="E387" s="1">
        <v>46131</v>
      </c>
      <c r="F387" s="1">
        <v>46163</v>
      </c>
      <c r="G387" s="1">
        <v>46172</v>
      </c>
      <c r="H387">
        <v>682</v>
      </c>
      <c r="I387">
        <v>632</v>
      </c>
      <c r="J387">
        <v>183.31</v>
      </c>
      <c r="K387" t="s">
        <v>464</v>
      </c>
      <c r="L387">
        <f t="shared" ref="L387:L450" si="18">IFERROR(G387-E387,"")</f>
        <v>41</v>
      </c>
      <c r="M387" t="str">
        <f>_xlfn.XLOOKUP(B387,suppliers!A:A,suppliers!B:B)</f>
        <v>Metro Logistics</v>
      </c>
      <c r="N387" t="str">
        <f t="shared" ref="N387:N450" si="19">IF(G387&lt;F387,"On time","Late")</f>
        <v>Late</v>
      </c>
      <c r="O387">
        <f t="shared" ref="O387:O450" si="20">ROUND(I387/H387,2)</f>
        <v>0.93</v>
      </c>
    </row>
    <row r="388" spans="1:15">
      <c r="A388">
        <v>5387</v>
      </c>
      <c r="B388">
        <v>3</v>
      </c>
      <c r="C388">
        <v>148</v>
      </c>
      <c r="D388" t="s">
        <v>117</v>
      </c>
      <c r="E388" s="1">
        <v>46096</v>
      </c>
      <c r="F388" s="1">
        <v>46119</v>
      </c>
      <c r="G388" s="1">
        <v>46127</v>
      </c>
      <c r="H388">
        <v>190</v>
      </c>
      <c r="I388">
        <v>182</v>
      </c>
      <c r="J388">
        <v>106.67</v>
      </c>
      <c r="K388" t="s">
        <v>464</v>
      </c>
      <c r="L388">
        <f t="shared" si="18"/>
        <v>31</v>
      </c>
      <c r="M388" t="str">
        <f>_xlfn.XLOOKUP(B388,suppliers!A:A,suppliers!B:B)</f>
        <v>PrimeSource</v>
      </c>
      <c r="N388" t="str">
        <f t="shared" si="19"/>
        <v>Late</v>
      </c>
      <c r="O388">
        <f t="shared" si="20"/>
        <v>0.96</v>
      </c>
    </row>
    <row r="389" spans="1:15">
      <c r="A389">
        <v>5388</v>
      </c>
      <c r="B389">
        <v>5</v>
      </c>
      <c r="C389">
        <v>53</v>
      </c>
      <c r="D389" t="s">
        <v>117</v>
      </c>
      <c r="E389" s="1">
        <v>46011</v>
      </c>
      <c r="F389" s="1">
        <v>46056</v>
      </c>
      <c r="G389" t="s">
        <v>145</v>
      </c>
      <c r="H389">
        <v>882</v>
      </c>
      <c r="I389">
        <v>0</v>
      </c>
      <c r="J389">
        <v>29.9</v>
      </c>
      <c r="K389" t="s">
        <v>462</v>
      </c>
      <c r="L389" t="str">
        <f t="shared" si="18"/>
        <v/>
      </c>
      <c r="M389" t="str">
        <f>_xlfn.XLOOKUP(B389,suppliers!A:A,suppliers!B:B)</f>
        <v>Utah Wholesale</v>
      </c>
      <c r="N389" t="str">
        <f t="shared" si="19"/>
        <v>Late</v>
      </c>
      <c r="O389">
        <f t="shared" si="20"/>
        <v>0</v>
      </c>
    </row>
    <row r="390" spans="1:15">
      <c r="A390">
        <v>5389</v>
      </c>
      <c r="B390">
        <v>6</v>
      </c>
      <c r="C390">
        <v>97</v>
      </c>
      <c r="D390" t="s">
        <v>118</v>
      </c>
      <c r="E390" s="1">
        <v>46069</v>
      </c>
      <c r="F390" s="1">
        <v>46099</v>
      </c>
      <c r="G390" s="1">
        <v>46109</v>
      </c>
      <c r="H390">
        <v>223</v>
      </c>
      <c r="I390">
        <v>196</v>
      </c>
      <c r="J390">
        <v>9.65</v>
      </c>
      <c r="K390" t="s">
        <v>462</v>
      </c>
      <c r="L390">
        <f t="shared" si="18"/>
        <v>40</v>
      </c>
      <c r="M390" t="str">
        <f>_xlfn.XLOOKUP(B390,suppliers!A:A,suppliers!B:B)</f>
        <v>Evergreen Imports</v>
      </c>
      <c r="N390" t="str">
        <f t="shared" si="19"/>
        <v>Late</v>
      </c>
      <c r="O390">
        <f t="shared" si="20"/>
        <v>0.88</v>
      </c>
    </row>
    <row r="391" spans="1:15">
      <c r="A391">
        <v>5390</v>
      </c>
      <c r="B391">
        <v>4</v>
      </c>
      <c r="C391">
        <v>116</v>
      </c>
      <c r="D391" t="s">
        <v>117</v>
      </c>
      <c r="E391" s="1">
        <v>46028</v>
      </c>
      <c r="F391" s="1">
        <v>46054</v>
      </c>
      <c r="G391" s="1">
        <v>46053</v>
      </c>
      <c r="H391">
        <v>36</v>
      </c>
      <c r="I391">
        <v>20</v>
      </c>
      <c r="J391">
        <v>207.43</v>
      </c>
      <c r="K391" t="s">
        <v>462</v>
      </c>
      <c r="L391">
        <f t="shared" si="18"/>
        <v>25</v>
      </c>
      <c r="M391" t="str">
        <f>_xlfn.XLOOKUP(B391,suppliers!A:A,suppliers!B:B)</f>
        <v>Blue Ridge</v>
      </c>
      <c r="N391" t="str">
        <f t="shared" si="19"/>
        <v>On time</v>
      </c>
      <c r="O391">
        <f t="shared" si="20"/>
        <v>0.56000000000000005</v>
      </c>
    </row>
    <row r="392" spans="1:15">
      <c r="A392">
        <v>5391</v>
      </c>
      <c r="B392">
        <v>1</v>
      </c>
      <c r="C392">
        <v>103</v>
      </c>
      <c r="D392" t="s">
        <v>119</v>
      </c>
      <c r="E392" s="1">
        <v>46112</v>
      </c>
      <c r="F392" s="1">
        <v>46148</v>
      </c>
      <c r="G392" s="1">
        <v>46149</v>
      </c>
      <c r="H392">
        <v>494</v>
      </c>
      <c r="I392">
        <v>479</v>
      </c>
      <c r="J392">
        <v>131.69</v>
      </c>
      <c r="K392" t="s">
        <v>462</v>
      </c>
      <c r="L392">
        <f t="shared" si="18"/>
        <v>37</v>
      </c>
      <c r="M392" t="str">
        <f>_xlfn.XLOOKUP(B392,suppliers!A:A,suppliers!B:B)</f>
        <v>Acme Supply</v>
      </c>
      <c r="N392" t="str">
        <f t="shared" si="19"/>
        <v>Late</v>
      </c>
      <c r="O392">
        <f t="shared" si="20"/>
        <v>0.97</v>
      </c>
    </row>
    <row r="393" spans="1:15">
      <c r="A393">
        <v>5392</v>
      </c>
      <c r="B393">
        <v>3</v>
      </c>
      <c r="C393">
        <v>26</v>
      </c>
      <c r="D393" t="s">
        <v>117</v>
      </c>
      <c r="E393" s="1">
        <v>46068</v>
      </c>
      <c r="F393" s="1">
        <v>46098</v>
      </c>
      <c r="G393" s="1">
        <v>46107</v>
      </c>
      <c r="H393">
        <v>951</v>
      </c>
      <c r="I393">
        <v>947</v>
      </c>
      <c r="J393">
        <v>176.96</v>
      </c>
      <c r="K393" t="s">
        <v>464</v>
      </c>
      <c r="L393">
        <f t="shared" si="18"/>
        <v>39</v>
      </c>
      <c r="M393" t="str">
        <f>_xlfn.XLOOKUP(B393,suppliers!A:A,suppliers!B:B)</f>
        <v>PrimeSource</v>
      </c>
      <c r="N393" t="str">
        <f t="shared" si="19"/>
        <v>Late</v>
      </c>
      <c r="O393">
        <f t="shared" si="20"/>
        <v>1</v>
      </c>
    </row>
    <row r="394" spans="1:15">
      <c r="A394">
        <v>5393</v>
      </c>
      <c r="B394">
        <v>3</v>
      </c>
      <c r="C394">
        <v>76</v>
      </c>
      <c r="D394" t="s">
        <v>117</v>
      </c>
      <c r="E394" s="1">
        <v>46083</v>
      </c>
      <c r="F394" s="1">
        <v>46122</v>
      </c>
      <c r="G394" s="1">
        <v>46118</v>
      </c>
      <c r="H394">
        <v>976</v>
      </c>
      <c r="I394">
        <v>972</v>
      </c>
      <c r="J394">
        <v>153.12</v>
      </c>
      <c r="K394" t="s">
        <v>463</v>
      </c>
      <c r="L394">
        <f t="shared" si="18"/>
        <v>35</v>
      </c>
      <c r="M394" t="str">
        <f>_xlfn.XLOOKUP(B394,suppliers!A:A,suppliers!B:B)</f>
        <v>PrimeSource</v>
      </c>
      <c r="N394" t="str">
        <f t="shared" si="19"/>
        <v>On time</v>
      </c>
      <c r="O394">
        <f t="shared" si="20"/>
        <v>1</v>
      </c>
    </row>
    <row r="395" spans="1:15">
      <c r="A395">
        <v>5394</v>
      </c>
      <c r="B395">
        <v>4</v>
      </c>
      <c r="C395">
        <v>85</v>
      </c>
      <c r="D395" t="s">
        <v>119</v>
      </c>
      <c r="E395" s="1">
        <v>46042</v>
      </c>
      <c r="F395" s="1">
        <v>46068</v>
      </c>
      <c r="G395" t="s">
        <v>145</v>
      </c>
      <c r="H395">
        <v>189</v>
      </c>
      <c r="I395">
        <v>0</v>
      </c>
      <c r="J395">
        <v>118.78</v>
      </c>
      <c r="K395" t="s">
        <v>462</v>
      </c>
      <c r="L395" t="str">
        <f t="shared" si="18"/>
        <v/>
      </c>
      <c r="M395" t="str">
        <f>_xlfn.XLOOKUP(B395,suppliers!A:A,suppliers!B:B)</f>
        <v>Blue Ridge</v>
      </c>
      <c r="N395" t="str">
        <f t="shared" si="19"/>
        <v>Late</v>
      </c>
      <c r="O395">
        <f t="shared" si="20"/>
        <v>0</v>
      </c>
    </row>
    <row r="396" spans="1:15">
      <c r="A396">
        <v>5395</v>
      </c>
      <c r="B396">
        <v>4</v>
      </c>
      <c r="C396">
        <v>144</v>
      </c>
      <c r="D396" t="s">
        <v>119</v>
      </c>
      <c r="E396" s="1">
        <v>46062</v>
      </c>
      <c r="F396" s="1">
        <v>46072</v>
      </c>
      <c r="G396" s="1">
        <v>46073</v>
      </c>
      <c r="H396">
        <v>665</v>
      </c>
      <c r="I396">
        <v>637</v>
      </c>
      <c r="J396">
        <v>10.64</v>
      </c>
      <c r="K396" t="s">
        <v>462</v>
      </c>
      <c r="L396">
        <f t="shared" si="18"/>
        <v>11</v>
      </c>
      <c r="M396" t="str">
        <f>_xlfn.XLOOKUP(B396,suppliers!A:A,suppliers!B:B)</f>
        <v>Blue Ridge</v>
      </c>
      <c r="N396" t="str">
        <f t="shared" si="19"/>
        <v>Late</v>
      </c>
      <c r="O396">
        <f t="shared" si="20"/>
        <v>0.96</v>
      </c>
    </row>
    <row r="397" spans="1:15">
      <c r="A397">
        <v>5396</v>
      </c>
      <c r="B397">
        <v>6</v>
      </c>
      <c r="C397">
        <v>86</v>
      </c>
      <c r="D397" t="s">
        <v>121</v>
      </c>
      <c r="E397" s="1">
        <v>46110</v>
      </c>
      <c r="F397" s="1">
        <v>46139</v>
      </c>
      <c r="G397" s="1">
        <v>46143</v>
      </c>
      <c r="H397">
        <v>396</v>
      </c>
      <c r="I397">
        <v>359</v>
      </c>
      <c r="J397">
        <v>113.03</v>
      </c>
      <c r="K397" t="s">
        <v>464</v>
      </c>
      <c r="L397">
        <f t="shared" si="18"/>
        <v>33</v>
      </c>
      <c r="M397" t="str">
        <f>_xlfn.XLOOKUP(B397,suppliers!A:A,suppliers!B:B)</f>
        <v>Evergreen Imports</v>
      </c>
      <c r="N397" t="str">
        <f t="shared" si="19"/>
        <v>Late</v>
      </c>
      <c r="O397">
        <f t="shared" si="20"/>
        <v>0.91</v>
      </c>
    </row>
    <row r="398" spans="1:15">
      <c r="A398">
        <v>5397</v>
      </c>
      <c r="B398">
        <v>6</v>
      </c>
      <c r="C398">
        <v>113</v>
      </c>
      <c r="D398" t="s">
        <v>121</v>
      </c>
      <c r="E398" s="1">
        <v>46117</v>
      </c>
      <c r="F398" s="1">
        <v>46151</v>
      </c>
      <c r="G398" s="1">
        <v>46147</v>
      </c>
      <c r="H398">
        <v>702</v>
      </c>
      <c r="I398">
        <v>698</v>
      </c>
      <c r="J398">
        <v>88.02</v>
      </c>
      <c r="K398" t="s">
        <v>462</v>
      </c>
      <c r="L398">
        <f t="shared" si="18"/>
        <v>30</v>
      </c>
      <c r="M398" t="str">
        <f>_xlfn.XLOOKUP(B398,suppliers!A:A,suppliers!B:B)</f>
        <v>Evergreen Imports</v>
      </c>
      <c r="N398" t="str">
        <f t="shared" si="19"/>
        <v>On time</v>
      </c>
      <c r="O398">
        <f t="shared" si="20"/>
        <v>0.99</v>
      </c>
    </row>
    <row r="399" spans="1:15">
      <c r="A399">
        <v>5398</v>
      </c>
      <c r="B399">
        <v>6</v>
      </c>
      <c r="C399">
        <v>97</v>
      </c>
      <c r="D399" t="s">
        <v>118</v>
      </c>
      <c r="E399" s="1">
        <v>46077</v>
      </c>
      <c r="F399" s="1">
        <v>46112</v>
      </c>
      <c r="G399" s="1">
        <v>46127</v>
      </c>
      <c r="H399">
        <v>293</v>
      </c>
      <c r="I399">
        <v>288</v>
      </c>
      <c r="J399">
        <v>7.61</v>
      </c>
      <c r="K399" t="s">
        <v>464</v>
      </c>
      <c r="L399">
        <f t="shared" si="18"/>
        <v>50</v>
      </c>
      <c r="M399" t="str">
        <f>_xlfn.XLOOKUP(B399,suppliers!A:A,suppliers!B:B)</f>
        <v>Evergreen Imports</v>
      </c>
      <c r="N399" t="str">
        <f t="shared" si="19"/>
        <v>Late</v>
      </c>
      <c r="O399">
        <f t="shared" si="20"/>
        <v>0.98</v>
      </c>
    </row>
    <row r="400" spans="1:15">
      <c r="A400">
        <v>5399</v>
      </c>
      <c r="B400">
        <v>2</v>
      </c>
      <c r="C400">
        <v>99</v>
      </c>
      <c r="D400" t="s">
        <v>118</v>
      </c>
      <c r="E400" s="1">
        <v>46063</v>
      </c>
      <c r="F400" s="1">
        <v>46095</v>
      </c>
      <c r="G400" s="1">
        <v>46091</v>
      </c>
      <c r="H400">
        <v>330</v>
      </c>
      <c r="I400">
        <v>318</v>
      </c>
      <c r="J400">
        <v>27.07</v>
      </c>
      <c r="K400" t="s">
        <v>462</v>
      </c>
      <c r="L400">
        <f t="shared" si="18"/>
        <v>28</v>
      </c>
      <c r="M400" t="str">
        <f>_xlfn.XLOOKUP(B400,suppliers!A:A,suppliers!B:B)</f>
        <v>Global Goods</v>
      </c>
      <c r="N400" t="str">
        <f t="shared" si="19"/>
        <v>On time</v>
      </c>
      <c r="O400">
        <f t="shared" si="20"/>
        <v>0.96</v>
      </c>
    </row>
    <row r="401" spans="1:15">
      <c r="A401">
        <v>5400</v>
      </c>
      <c r="B401">
        <v>3</v>
      </c>
      <c r="C401">
        <v>146</v>
      </c>
      <c r="D401" t="s">
        <v>120</v>
      </c>
      <c r="E401" s="1">
        <v>46042</v>
      </c>
      <c r="F401" s="1">
        <v>46075</v>
      </c>
      <c r="G401" s="1">
        <v>46074</v>
      </c>
      <c r="H401">
        <v>457</v>
      </c>
      <c r="I401">
        <v>444</v>
      </c>
      <c r="J401">
        <v>182.49</v>
      </c>
      <c r="K401" t="s">
        <v>464</v>
      </c>
      <c r="L401">
        <f t="shared" si="18"/>
        <v>32</v>
      </c>
      <c r="M401" t="str">
        <f>_xlfn.XLOOKUP(B401,suppliers!A:A,suppliers!B:B)</f>
        <v>PrimeSource</v>
      </c>
      <c r="N401" t="str">
        <f t="shared" si="19"/>
        <v>On time</v>
      </c>
      <c r="O401">
        <f t="shared" si="20"/>
        <v>0.97</v>
      </c>
    </row>
    <row r="402" spans="1:15">
      <c r="A402">
        <v>5401</v>
      </c>
      <c r="B402">
        <v>8</v>
      </c>
      <c r="C402">
        <v>17</v>
      </c>
      <c r="D402" t="s">
        <v>117</v>
      </c>
      <c r="E402" s="1">
        <v>46034</v>
      </c>
      <c r="F402" s="1">
        <v>46043</v>
      </c>
      <c r="G402" s="1">
        <v>46053</v>
      </c>
      <c r="H402">
        <v>825</v>
      </c>
      <c r="I402">
        <v>815</v>
      </c>
      <c r="J402">
        <v>38.020000000000003</v>
      </c>
      <c r="K402" t="s">
        <v>462</v>
      </c>
      <c r="L402">
        <f t="shared" si="18"/>
        <v>19</v>
      </c>
      <c r="M402" t="str">
        <f>_xlfn.XLOOKUP(B402,suppliers!A:A,suppliers!B:B)</f>
        <v>Metro Logistics</v>
      </c>
      <c r="N402" t="str">
        <f t="shared" si="19"/>
        <v>Late</v>
      </c>
      <c r="O402">
        <f t="shared" si="20"/>
        <v>0.99</v>
      </c>
    </row>
    <row r="403" spans="1:15">
      <c r="A403">
        <v>5402</v>
      </c>
      <c r="B403">
        <v>1</v>
      </c>
      <c r="C403">
        <v>30</v>
      </c>
      <c r="D403" t="s">
        <v>122</v>
      </c>
      <c r="E403" s="1">
        <v>46013</v>
      </c>
      <c r="F403" s="1">
        <v>46049</v>
      </c>
      <c r="G403" s="1">
        <v>46054</v>
      </c>
      <c r="H403">
        <v>651</v>
      </c>
      <c r="I403">
        <v>621</v>
      </c>
      <c r="J403">
        <v>49.69</v>
      </c>
      <c r="K403" t="s">
        <v>463</v>
      </c>
      <c r="L403">
        <f t="shared" si="18"/>
        <v>41</v>
      </c>
      <c r="M403" t="str">
        <f>_xlfn.XLOOKUP(B403,suppliers!A:A,suppliers!B:B)</f>
        <v>Acme Supply</v>
      </c>
      <c r="N403" t="str">
        <f t="shared" si="19"/>
        <v>Late</v>
      </c>
      <c r="O403">
        <f t="shared" si="20"/>
        <v>0.95</v>
      </c>
    </row>
    <row r="404" spans="1:15">
      <c r="A404">
        <v>5403</v>
      </c>
      <c r="B404">
        <v>3</v>
      </c>
      <c r="C404">
        <v>148</v>
      </c>
      <c r="D404" t="s">
        <v>122</v>
      </c>
      <c r="E404" s="1">
        <v>46135</v>
      </c>
      <c r="F404" s="1">
        <v>46177</v>
      </c>
      <c r="G404" s="1">
        <v>46195</v>
      </c>
      <c r="H404">
        <v>358</v>
      </c>
      <c r="I404">
        <v>325</v>
      </c>
      <c r="J404">
        <v>111.88</v>
      </c>
      <c r="K404" t="s">
        <v>462</v>
      </c>
      <c r="L404">
        <f t="shared" si="18"/>
        <v>60</v>
      </c>
      <c r="M404" t="str">
        <f>_xlfn.XLOOKUP(B404,suppliers!A:A,suppliers!B:B)</f>
        <v>PrimeSource</v>
      </c>
      <c r="N404" t="str">
        <f t="shared" si="19"/>
        <v>Late</v>
      </c>
      <c r="O404">
        <f t="shared" si="20"/>
        <v>0.91</v>
      </c>
    </row>
    <row r="405" spans="1:15">
      <c r="A405">
        <v>5404</v>
      </c>
      <c r="B405">
        <v>7</v>
      </c>
      <c r="C405">
        <v>134</v>
      </c>
      <c r="D405" t="s">
        <v>117</v>
      </c>
      <c r="E405" s="1">
        <v>46064</v>
      </c>
      <c r="F405" s="1">
        <v>46109</v>
      </c>
      <c r="G405" s="1">
        <v>46111</v>
      </c>
      <c r="H405">
        <v>251</v>
      </c>
      <c r="I405">
        <v>221</v>
      </c>
      <c r="J405">
        <v>22.44</v>
      </c>
      <c r="K405" t="s">
        <v>463</v>
      </c>
      <c r="L405">
        <f t="shared" si="18"/>
        <v>47</v>
      </c>
      <c r="M405" t="str">
        <f>_xlfn.XLOOKUP(B405,suppliers!A:A,suppliers!B:B)</f>
        <v>Summit Trading</v>
      </c>
      <c r="N405" t="str">
        <f t="shared" si="19"/>
        <v>Late</v>
      </c>
      <c r="O405">
        <f t="shared" si="20"/>
        <v>0.88</v>
      </c>
    </row>
    <row r="406" spans="1:15">
      <c r="A406">
        <v>5405</v>
      </c>
      <c r="B406">
        <v>4</v>
      </c>
      <c r="C406">
        <v>85</v>
      </c>
      <c r="D406" t="s">
        <v>120</v>
      </c>
      <c r="E406" s="1">
        <v>46123</v>
      </c>
      <c r="F406" s="1">
        <v>46149</v>
      </c>
      <c r="G406" s="1">
        <v>46167</v>
      </c>
      <c r="H406">
        <v>434</v>
      </c>
      <c r="I406">
        <v>418</v>
      </c>
      <c r="J406">
        <v>121.02</v>
      </c>
      <c r="K406" t="s">
        <v>464</v>
      </c>
      <c r="L406">
        <f t="shared" si="18"/>
        <v>44</v>
      </c>
      <c r="M406" t="str">
        <f>_xlfn.XLOOKUP(B406,suppliers!A:A,suppliers!B:B)</f>
        <v>Blue Ridge</v>
      </c>
      <c r="N406" t="str">
        <f t="shared" si="19"/>
        <v>Late</v>
      </c>
      <c r="O406">
        <f t="shared" si="20"/>
        <v>0.96</v>
      </c>
    </row>
    <row r="407" spans="1:15">
      <c r="A407">
        <v>5406</v>
      </c>
      <c r="B407">
        <v>3</v>
      </c>
      <c r="C407">
        <v>38</v>
      </c>
      <c r="D407" t="s">
        <v>117</v>
      </c>
      <c r="E407" s="1">
        <v>46135</v>
      </c>
      <c r="F407" s="1">
        <v>46156</v>
      </c>
      <c r="G407" s="1">
        <v>46158</v>
      </c>
      <c r="H407">
        <v>921</v>
      </c>
      <c r="I407">
        <v>912</v>
      </c>
      <c r="J407">
        <v>205.96</v>
      </c>
      <c r="K407" t="s">
        <v>464</v>
      </c>
      <c r="L407">
        <f t="shared" si="18"/>
        <v>23</v>
      </c>
      <c r="M407" t="str">
        <f>_xlfn.XLOOKUP(B407,suppliers!A:A,suppliers!B:B)</f>
        <v>PrimeSource</v>
      </c>
      <c r="N407" t="str">
        <f t="shared" si="19"/>
        <v>Late</v>
      </c>
      <c r="O407">
        <f t="shared" si="20"/>
        <v>0.99</v>
      </c>
    </row>
    <row r="408" spans="1:15">
      <c r="A408">
        <v>5407</v>
      </c>
      <c r="B408">
        <v>7</v>
      </c>
      <c r="C408">
        <v>139</v>
      </c>
      <c r="D408" t="s">
        <v>120</v>
      </c>
      <c r="E408" s="1">
        <v>46122</v>
      </c>
      <c r="F408" s="1">
        <v>46152</v>
      </c>
      <c r="G408" s="1">
        <v>46159</v>
      </c>
      <c r="H408">
        <v>449</v>
      </c>
      <c r="I408">
        <v>444</v>
      </c>
      <c r="J408">
        <v>82.94</v>
      </c>
      <c r="K408" t="s">
        <v>462</v>
      </c>
      <c r="L408">
        <f t="shared" si="18"/>
        <v>37</v>
      </c>
      <c r="M408" t="str">
        <f>_xlfn.XLOOKUP(B408,suppliers!A:A,suppliers!B:B)</f>
        <v>Summit Trading</v>
      </c>
      <c r="N408" t="str">
        <f t="shared" si="19"/>
        <v>Late</v>
      </c>
      <c r="O408">
        <f t="shared" si="20"/>
        <v>0.99</v>
      </c>
    </row>
    <row r="409" spans="1:15">
      <c r="A409">
        <v>5408</v>
      </c>
      <c r="B409">
        <v>6</v>
      </c>
      <c r="C409">
        <v>42</v>
      </c>
      <c r="D409" t="s">
        <v>117</v>
      </c>
      <c r="E409" s="1">
        <v>46116</v>
      </c>
      <c r="F409" s="1">
        <v>46127</v>
      </c>
      <c r="G409" s="1">
        <v>46123</v>
      </c>
      <c r="H409">
        <v>466</v>
      </c>
      <c r="I409">
        <v>457</v>
      </c>
      <c r="J409">
        <v>107.68</v>
      </c>
      <c r="K409" t="s">
        <v>462</v>
      </c>
      <c r="L409">
        <f t="shared" si="18"/>
        <v>7</v>
      </c>
      <c r="M409" t="str">
        <f>_xlfn.XLOOKUP(B409,suppliers!A:A,suppliers!B:B)</f>
        <v>Evergreen Imports</v>
      </c>
      <c r="N409" t="str">
        <f t="shared" si="19"/>
        <v>On time</v>
      </c>
      <c r="O409">
        <f t="shared" si="20"/>
        <v>0.98</v>
      </c>
    </row>
    <row r="410" spans="1:15">
      <c r="A410">
        <v>5409</v>
      </c>
      <c r="B410">
        <v>2</v>
      </c>
      <c r="C410">
        <v>122</v>
      </c>
      <c r="D410" t="s">
        <v>117</v>
      </c>
      <c r="E410" s="1">
        <v>46000</v>
      </c>
      <c r="F410" s="1">
        <v>46028</v>
      </c>
      <c r="G410" t="s">
        <v>145</v>
      </c>
      <c r="H410">
        <v>141</v>
      </c>
      <c r="I410">
        <v>0</v>
      </c>
      <c r="J410">
        <v>165.14</v>
      </c>
      <c r="K410" t="s">
        <v>462</v>
      </c>
      <c r="L410" t="str">
        <f t="shared" si="18"/>
        <v/>
      </c>
      <c r="M410" t="str">
        <f>_xlfn.XLOOKUP(B410,suppliers!A:A,suppliers!B:B)</f>
        <v>Global Goods</v>
      </c>
      <c r="N410" t="str">
        <f t="shared" si="19"/>
        <v>Late</v>
      </c>
      <c r="O410">
        <f t="shared" si="20"/>
        <v>0</v>
      </c>
    </row>
    <row r="411" spans="1:15">
      <c r="A411">
        <v>5410</v>
      </c>
      <c r="B411">
        <v>4</v>
      </c>
      <c r="C411">
        <v>102</v>
      </c>
      <c r="D411" t="s">
        <v>118</v>
      </c>
      <c r="E411" s="1">
        <v>46143</v>
      </c>
      <c r="F411" s="1">
        <v>46163</v>
      </c>
      <c r="G411" s="1">
        <v>46165</v>
      </c>
      <c r="H411">
        <v>313</v>
      </c>
      <c r="I411">
        <v>292</v>
      </c>
      <c r="J411">
        <v>160.81</v>
      </c>
      <c r="K411" t="s">
        <v>462</v>
      </c>
      <c r="L411">
        <f t="shared" si="18"/>
        <v>22</v>
      </c>
      <c r="M411" t="str">
        <f>_xlfn.XLOOKUP(B411,suppliers!A:A,suppliers!B:B)</f>
        <v>Blue Ridge</v>
      </c>
      <c r="N411" t="str">
        <f t="shared" si="19"/>
        <v>Late</v>
      </c>
      <c r="O411">
        <f t="shared" si="20"/>
        <v>0.93</v>
      </c>
    </row>
    <row r="412" spans="1:15">
      <c r="A412">
        <v>5411</v>
      </c>
      <c r="B412">
        <v>5</v>
      </c>
      <c r="C412">
        <v>84</v>
      </c>
      <c r="D412" t="s">
        <v>118</v>
      </c>
      <c r="E412" s="1">
        <v>46089</v>
      </c>
      <c r="F412" s="1">
        <v>46101</v>
      </c>
      <c r="G412" s="1">
        <v>46098</v>
      </c>
      <c r="H412">
        <v>835</v>
      </c>
      <c r="I412">
        <v>801</v>
      </c>
      <c r="J412">
        <v>154.72999999999999</v>
      </c>
      <c r="K412" t="s">
        <v>462</v>
      </c>
      <c r="L412">
        <f t="shared" si="18"/>
        <v>9</v>
      </c>
      <c r="M412" t="str">
        <f>_xlfn.XLOOKUP(B412,suppliers!A:A,suppliers!B:B)</f>
        <v>Utah Wholesale</v>
      </c>
      <c r="N412" t="str">
        <f t="shared" si="19"/>
        <v>On time</v>
      </c>
      <c r="O412">
        <f t="shared" si="20"/>
        <v>0.96</v>
      </c>
    </row>
    <row r="413" spans="1:15">
      <c r="A413">
        <v>5412</v>
      </c>
      <c r="B413">
        <v>4</v>
      </c>
      <c r="C413">
        <v>127</v>
      </c>
      <c r="D413" t="s">
        <v>119</v>
      </c>
      <c r="E413" s="1">
        <v>46016</v>
      </c>
      <c r="F413" s="1">
        <v>46032</v>
      </c>
      <c r="G413" t="s">
        <v>145</v>
      </c>
      <c r="H413">
        <v>22</v>
      </c>
      <c r="I413">
        <v>0</v>
      </c>
      <c r="J413">
        <v>53.28</v>
      </c>
      <c r="K413" t="s">
        <v>462</v>
      </c>
      <c r="L413" t="str">
        <f t="shared" si="18"/>
        <v/>
      </c>
      <c r="M413" t="str">
        <f>_xlfn.XLOOKUP(B413,suppliers!A:A,suppliers!B:B)</f>
        <v>Blue Ridge</v>
      </c>
      <c r="N413" t="str">
        <f t="shared" si="19"/>
        <v>Late</v>
      </c>
      <c r="O413">
        <f t="shared" si="20"/>
        <v>0</v>
      </c>
    </row>
    <row r="414" spans="1:15">
      <c r="A414">
        <v>5413</v>
      </c>
      <c r="B414">
        <v>6</v>
      </c>
      <c r="C414">
        <v>75</v>
      </c>
      <c r="D414" t="s">
        <v>120</v>
      </c>
      <c r="E414" s="1">
        <v>46086</v>
      </c>
      <c r="F414" s="1">
        <v>46115</v>
      </c>
      <c r="G414" s="1">
        <v>46112</v>
      </c>
      <c r="H414">
        <v>61</v>
      </c>
      <c r="I414">
        <v>40</v>
      </c>
      <c r="J414">
        <v>73.5</v>
      </c>
      <c r="K414" t="s">
        <v>464</v>
      </c>
      <c r="L414">
        <f t="shared" si="18"/>
        <v>26</v>
      </c>
      <c r="M414" t="str">
        <f>_xlfn.XLOOKUP(B414,suppliers!A:A,suppliers!B:B)</f>
        <v>Evergreen Imports</v>
      </c>
      <c r="N414" t="str">
        <f t="shared" si="19"/>
        <v>On time</v>
      </c>
      <c r="O414">
        <f t="shared" si="20"/>
        <v>0.66</v>
      </c>
    </row>
    <row r="415" spans="1:15">
      <c r="A415">
        <v>5414</v>
      </c>
      <c r="B415">
        <v>6</v>
      </c>
      <c r="C415">
        <v>10</v>
      </c>
      <c r="D415" t="s">
        <v>118</v>
      </c>
      <c r="E415" s="1">
        <v>46142</v>
      </c>
      <c r="F415" s="1">
        <v>46154</v>
      </c>
      <c r="G415" t="s">
        <v>145</v>
      </c>
      <c r="H415">
        <v>649</v>
      </c>
      <c r="I415">
        <v>0</v>
      </c>
      <c r="J415">
        <v>60.8</v>
      </c>
      <c r="K415" t="s">
        <v>462</v>
      </c>
      <c r="L415" t="str">
        <f t="shared" si="18"/>
        <v/>
      </c>
      <c r="M415" t="str">
        <f>_xlfn.XLOOKUP(B415,suppliers!A:A,suppliers!B:B)</f>
        <v>Evergreen Imports</v>
      </c>
      <c r="N415" t="str">
        <f t="shared" si="19"/>
        <v>Late</v>
      </c>
      <c r="O415">
        <f t="shared" si="20"/>
        <v>0</v>
      </c>
    </row>
    <row r="416" spans="1:15">
      <c r="A416">
        <v>5415</v>
      </c>
      <c r="B416">
        <v>1</v>
      </c>
      <c r="C416">
        <v>101</v>
      </c>
      <c r="D416" t="s">
        <v>119</v>
      </c>
      <c r="E416" s="1">
        <v>46118</v>
      </c>
      <c r="F416" s="1">
        <v>46131</v>
      </c>
      <c r="G416" s="1">
        <v>46135</v>
      </c>
      <c r="H416">
        <v>650</v>
      </c>
      <c r="I416">
        <v>611</v>
      </c>
      <c r="J416">
        <v>205.94</v>
      </c>
      <c r="K416" t="s">
        <v>463</v>
      </c>
      <c r="L416">
        <f t="shared" si="18"/>
        <v>17</v>
      </c>
      <c r="M416" t="str">
        <f>_xlfn.XLOOKUP(B416,suppliers!A:A,suppliers!B:B)</f>
        <v>Acme Supply</v>
      </c>
      <c r="N416" t="str">
        <f t="shared" si="19"/>
        <v>Late</v>
      </c>
      <c r="O416">
        <f t="shared" si="20"/>
        <v>0.94</v>
      </c>
    </row>
    <row r="417" spans="1:15">
      <c r="A417">
        <v>5416</v>
      </c>
      <c r="B417">
        <v>4</v>
      </c>
      <c r="C417">
        <v>36</v>
      </c>
      <c r="D417" t="s">
        <v>121</v>
      </c>
      <c r="E417" s="1">
        <v>46009</v>
      </c>
      <c r="F417" s="1">
        <v>46045</v>
      </c>
      <c r="G417" s="1">
        <v>46048</v>
      </c>
      <c r="H417">
        <v>181</v>
      </c>
      <c r="I417">
        <v>175</v>
      </c>
      <c r="J417">
        <v>87.3</v>
      </c>
      <c r="K417" t="s">
        <v>462</v>
      </c>
      <c r="L417">
        <f t="shared" si="18"/>
        <v>39</v>
      </c>
      <c r="M417" t="str">
        <f>_xlfn.XLOOKUP(B417,suppliers!A:A,suppliers!B:B)</f>
        <v>Blue Ridge</v>
      </c>
      <c r="N417" t="str">
        <f t="shared" si="19"/>
        <v>Late</v>
      </c>
      <c r="O417">
        <f t="shared" si="20"/>
        <v>0.97</v>
      </c>
    </row>
    <row r="418" spans="1:15">
      <c r="A418">
        <v>5417</v>
      </c>
      <c r="B418">
        <v>3</v>
      </c>
      <c r="C418">
        <v>58</v>
      </c>
      <c r="D418" t="s">
        <v>117</v>
      </c>
      <c r="E418" s="1">
        <v>46065</v>
      </c>
      <c r="F418" s="1">
        <v>46074</v>
      </c>
      <c r="G418" s="1">
        <v>46079</v>
      </c>
      <c r="H418">
        <v>700</v>
      </c>
      <c r="I418">
        <v>672</v>
      </c>
      <c r="J418">
        <v>97.86</v>
      </c>
      <c r="K418" t="s">
        <v>463</v>
      </c>
      <c r="L418">
        <f t="shared" si="18"/>
        <v>14</v>
      </c>
      <c r="M418" t="str">
        <f>_xlfn.XLOOKUP(B418,suppliers!A:A,suppliers!B:B)</f>
        <v>PrimeSource</v>
      </c>
      <c r="N418" t="str">
        <f t="shared" si="19"/>
        <v>Late</v>
      </c>
      <c r="O418">
        <f t="shared" si="20"/>
        <v>0.96</v>
      </c>
    </row>
    <row r="419" spans="1:15">
      <c r="A419">
        <v>5418</v>
      </c>
      <c r="B419">
        <v>5</v>
      </c>
      <c r="C419">
        <v>131</v>
      </c>
      <c r="D419" t="s">
        <v>118</v>
      </c>
      <c r="E419" s="1">
        <v>46071</v>
      </c>
      <c r="F419" s="1">
        <v>46096</v>
      </c>
      <c r="G419" s="1">
        <v>46103</v>
      </c>
      <c r="H419">
        <v>448</v>
      </c>
      <c r="I419">
        <v>398</v>
      </c>
      <c r="J419">
        <v>52</v>
      </c>
      <c r="K419" t="s">
        <v>463</v>
      </c>
      <c r="L419">
        <f t="shared" si="18"/>
        <v>32</v>
      </c>
      <c r="M419" t="str">
        <f>_xlfn.XLOOKUP(B419,suppliers!A:A,suppliers!B:B)</f>
        <v>Utah Wholesale</v>
      </c>
      <c r="N419" t="str">
        <f t="shared" si="19"/>
        <v>Late</v>
      </c>
      <c r="O419">
        <f t="shared" si="20"/>
        <v>0.89</v>
      </c>
    </row>
    <row r="420" spans="1:15">
      <c r="A420">
        <v>5419</v>
      </c>
      <c r="B420">
        <v>5</v>
      </c>
      <c r="C420">
        <v>84</v>
      </c>
      <c r="D420" t="s">
        <v>119</v>
      </c>
      <c r="E420" s="1">
        <v>46046</v>
      </c>
      <c r="F420" s="1">
        <v>46068</v>
      </c>
      <c r="G420" s="1">
        <v>46085</v>
      </c>
      <c r="H420">
        <v>178</v>
      </c>
      <c r="I420">
        <v>141</v>
      </c>
      <c r="J420">
        <v>116.86</v>
      </c>
      <c r="K420" t="s">
        <v>464</v>
      </c>
      <c r="L420">
        <f t="shared" si="18"/>
        <v>39</v>
      </c>
      <c r="M420" t="str">
        <f>_xlfn.XLOOKUP(B420,suppliers!A:A,suppliers!B:B)</f>
        <v>Utah Wholesale</v>
      </c>
      <c r="N420" t="str">
        <f t="shared" si="19"/>
        <v>Late</v>
      </c>
      <c r="O420">
        <f t="shared" si="20"/>
        <v>0.79</v>
      </c>
    </row>
    <row r="421" spans="1:15">
      <c r="A421">
        <v>5420</v>
      </c>
      <c r="B421">
        <v>3</v>
      </c>
      <c r="C421">
        <v>38</v>
      </c>
      <c r="D421" t="s">
        <v>122</v>
      </c>
      <c r="E421" s="1">
        <v>46020</v>
      </c>
      <c r="F421" s="1">
        <v>46055</v>
      </c>
      <c r="G421" s="1">
        <v>46073</v>
      </c>
      <c r="H421">
        <v>95</v>
      </c>
      <c r="I421">
        <v>51</v>
      </c>
      <c r="J421">
        <v>160.93</v>
      </c>
      <c r="K421" t="s">
        <v>463</v>
      </c>
      <c r="L421">
        <f t="shared" si="18"/>
        <v>53</v>
      </c>
      <c r="M421" t="str">
        <f>_xlfn.XLOOKUP(B421,suppliers!A:A,suppliers!B:B)</f>
        <v>PrimeSource</v>
      </c>
      <c r="N421" t="str">
        <f t="shared" si="19"/>
        <v>Late</v>
      </c>
      <c r="O421">
        <f t="shared" si="20"/>
        <v>0.54</v>
      </c>
    </row>
    <row r="422" spans="1:15">
      <c r="A422">
        <v>5421</v>
      </c>
      <c r="B422">
        <v>6</v>
      </c>
      <c r="C422">
        <v>149</v>
      </c>
      <c r="D422" t="s">
        <v>121</v>
      </c>
      <c r="E422" s="1">
        <v>46054</v>
      </c>
      <c r="F422" s="1">
        <v>46091</v>
      </c>
      <c r="G422" s="1">
        <v>46089</v>
      </c>
      <c r="H422">
        <v>972</v>
      </c>
      <c r="I422">
        <v>926</v>
      </c>
      <c r="J422">
        <v>155.33000000000001</v>
      </c>
      <c r="K422" t="s">
        <v>464</v>
      </c>
      <c r="L422">
        <f t="shared" si="18"/>
        <v>35</v>
      </c>
      <c r="M422" t="str">
        <f>_xlfn.XLOOKUP(B422,suppliers!A:A,suppliers!B:B)</f>
        <v>Evergreen Imports</v>
      </c>
      <c r="N422" t="str">
        <f t="shared" si="19"/>
        <v>On time</v>
      </c>
      <c r="O422">
        <f t="shared" si="20"/>
        <v>0.95</v>
      </c>
    </row>
    <row r="423" spans="1:15">
      <c r="A423">
        <v>5422</v>
      </c>
      <c r="B423">
        <v>1</v>
      </c>
      <c r="C423">
        <v>78</v>
      </c>
      <c r="D423" t="s">
        <v>122</v>
      </c>
      <c r="E423" s="1">
        <v>46046</v>
      </c>
      <c r="F423" s="1">
        <v>46083</v>
      </c>
      <c r="G423" s="1">
        <v>46089</v>
      </c>
      <c r="H423">
        <v>180</v>
      </c>
      <c r="I423">
        <v>176</v>
      </c>
      <c r="J423">
        <v>44.59</v>
      </c>
      <c r="K423" t="s">
        <v>464</v>
      </c>
      <c r="L423">
        <f t="shared" si="18"/>
        <v>43</v>
      </c>
      <c r="M423" t="str">
        <f>_xlfn.XLOOKUP(B423,suppliers!A:A,suppliers!B:B)</f>
        <v>Acme Supply</v>
      </c>
      <c r="N423" t="str">
        <f t="shared" si="19"/>
        <v>Late</v>
      </c>
      <c r="O423">
        <f t="shared" si="20"/>
        <v>0.98</v>
      </c>
    </row>
    <row r="424" spans="1:15">
      <c r="A424">
        <v>5423</v>
      </c>
      <c r="B424">
        <v>2</v>
      </c>
      <c r="C424">
        <v>9</v>
      </c>
      <c r="D424" t="s">
        <v>117</v>
      </c>
      <c r="E424" s="1">
        <v>46057</v>
      </c>
      <c r="F424" s="1">
        <v>46088</v>
      </c>
      <c r="G424" s="1">
        <v>46098</v>
      </c>
      <c r="H424">
        <v>494</v>
      </c>
      <c r="I424">
        <v>444</v>
      </c>
      <c r="J424">
        <v>134.4</v>
      </c>
      <c r="K424" t="s">
        <v>463</v>
      </c>
      <c r="L424">
        <f t="shared" si="18"/>
        <v>41</v>
      </c>
      <c r="M424" t="str">
        <f>_xlfn.XLOOKUP(B424,suppliers!A:A,suppliers!B:B)</f>
        <v>Global Goods</v>
      </c>
      <c r="N424" t="str">
        <f t="shared" si="19"/>
        <v>Late</v>
      </c>
      <c r="O424">
        <f t="shared" si="20"/>
        <v>0.9</v>
      </c>
    </row>
    <row r="425" spans="1:15">
      <c r="A425">
        <v>5424</v>
      </c>
      <c r="B425">
        <v>4</v>
      </c>
      <c r="C425">
        <v>116</v>
      </c>
      <c r="D425" t="s">
        <v>118</v>
      </c>
      <c r="E425" s="1">
        <v>46027</v>
      </c>
      <c r="F425" s="1">
        <v>46054</v>
      </c>
      <c r="G425" s="1">
        <v>46071</v>
      </c>
      <c r="H425">
        <v>452</v>
      </c>
      <c r="I425">
        <v>452</v>
      </c>
      <c r="J425">
        <v>190.83</v>
      </c>
      <c r="K425" t="s">
        <v>462</v>
      </c>
      <c r="L425">
        <f t="shared" si="18"/>
        <v>44</v>
      </c>
      <c r="M425" t="str">
        <f>_xlfn.XLOOKUP(B425,suppliers!A:A,suppliers!B:B)</f>
        <v>Blue Ridge</v>
      </c>
      <c r="N425" t="str">
        <f t="shared" si="19"/>
        <v>Late</v>
      </c>
      <c r="O425">
        <f t="shared" si="20"/>
        <v>1</v>
      </c>
    </row>
    <row r="426" spans="1:15">
      <c r="A426">
        <v>5425</v>
      </c>
      <c r="B426">
        <v>7</v>
      </c>
      <c r="C426">
        <v>65</v>
      </c>
      <c r="D426" t="s">
        <v>118</v>
      </c>
      <c r="E426" s="1">
        <v>46099</v>
      </c>
      <c r="F426" s="1">
        <v>46111</v>
      </c>
      <c r="G426" s="1">
        <v>46116</v>
      </c>
      <c r="H426">
        <v>171</v>
      </c>
      <c r="I426">
        <v>156</v>
      </c>
      <c r="J426">
        <v>38.15</v>
      </c>
      <c r="K426" t="s">
        <v>464</v>
      </c>
      <c r="L426">
        <f t="shared" si="18"/>
        <v>17</v>
      </c>
      <c r="M426" t="str">
        <f>_xlfn.XLOOKUP(B426,suppliers!A:A,suppliers!B:B)</f>
        <v>Summit Trading</v>
      </c>
      <c r="N426" t="str">
        <f t="shared" si="19"/>
        <v>Late</v>
      </c>
      <c r="O426">
        <f t="shared" si="20"/>
        <v>0.91</v>
      </c>
    </row>
    <row r="427" spans="1:15">
      <c r="A427">
        <v>5426</v>
      </c>
      <c r="B427">
        <v>4</v>
      </c>
      <c r="C427">
        <v>127</v>
      </c>
      <c r="D427" t="s">
        <v>122</v>
      </c>
      <c r="E427" s="1">
        <v>46064</v>
      </c>
      <c r="F427" s="1">
        <v>46083</v>
      </c>
      <c r="G427" s="1">
        <v>46091</v>
      </c>
      <c r="H427">
        <v>59</v>
      </c>
      <c r="I427">
        <v>14</v>
      </c>
      <c r="J427">
        <v>59.43</v>
      </c>
      <c r="K427" t="s">
        <v>463</v>
      </c>
      <c r="L427">
        <f t="shared" si="18"/>
        <v>27</v>
      </c>
      <c r="M427" t="str">
        <f>_xlfn.XLOOKUP(B427,suppliers!A:A,suppliers!B:B)</f>
        <v>Blue Ridge</v>
      </c>
      <c r="N427" t="str">
        <f t="shared" si="19"/>
        <v>Late</v>
      </c>
      <c r="O427">
        <f t="shared" si="20"/>
        <v>0.24</v>
      </c>
    </row>
    <row r="428" spans="1:15">
      <c r="A428">
        <v>5427</v>
      </c>
      <c r="B428">
        <v>5</v>
      </c>
      <c r="C428">
        <v>96</v>
      </c>
      <c r="D428" t="s">
        <v>118</v>
      </c>
      <c r="E428" s="1">
        <v>46079</v>
      </c>
      <c r="F428" s="1">
        <v>46086</v>
      </c>
      <c r="G428" s="1">
        <v>46105</v>
      </c>
      <c r="H428">
        <v>864</v>
      </c>
      <c r="I428">
        <v>851</v>
      </c>
      <c r="J428">
        <v>169.07</v>
      </c>
      <c r="K428" t="s">
        <v>462</v>
      </c>
      <c r="L428">
        <f t="shared" si="18"/>
        <v>26</v>
      </c>
      <c r="M428" t="str">
        <f>_xlfn.XLOOKUP(B428,suppliers!A:A,suppliers!B:B)</f>
        <v>Utah Wholesale</v>
      </c>
      <c r="N428" t="str">
        <f t="shared" si="19"/>
        <v>Late</v>
      </c>
      <c r="O428">
        <f t="shared" si="20"/>
        <v>0.98</v>
      </c>
    </row>
    <row r="429" spans="1:15">
      <c r="A429">
        <v>5428</v>
      </c>
      <c r="B429">
        <v>6</v>
      </c>
      <c r="C429">
        <v>86</v>
      </c>
      <c r="D429" t="s">
        <v>118</v>
      </c>
      <c r="E429" s="1">
        <v>46122</v>
      </c>
      <c r="F429" s="1">
        <v>46146</v>
      </c>
      <c r="G429" s="1">
        <v>46157</v>
      </c>
      <c r="H429">
        <v>624</v>
      </c>
      <c r="I429">
        <v>597</v>
      </c>
      <c r="J429">
        <v>142.21</v>
      </c>
      <c r="K429" t="s">
        <v>464</v>
      </c>
      <c r="L429">
        <f t="shared" si="18"/>
        <v>35</v>
      </c>
      <c r="M429" t="str">
        <f>_xlfn.XLOOKUP(B429,suppliers!A:A,suppliers!B:B)</f>
        <v>Evergreen Imports</v>
      </c>
      <c r="N429" t="str">
        <f t="shared" si="19"/>
        <v>Late</v>
      </c>
      <c r="O429">
        <f t="shared" si="20"/>
        <v>0.96</v>
      </c>
    </row>
    <row r="430" spans="1:15">
      <c r="A430">
        <v>5429</v>
      </c>
      <c r="B430">
        <v>5</v>
      </c>
      <c r="C430">
        <v>117</v>
      </c>
      <c r="D430" t="s">
        <v>122</v>
      </c>
      <c r="E430" s="1">
        <v>46133</v>
      </c>
      <c r="F430" s="1">
        <v>46158</v>
      </c>
      <c r="G430" s="1">
        <v>46177</v>
      </c>
      <c r="H430">
        <v>487</v>
      </c>
      <c r="I430">
        <v>486</v>
      </c>
      <c r="J430">
        <v>114.38</v>
      </c>
      <c r="K430" t="s">
        <v>462</v>
      </c>
      <c r="L430">
        <f t="shared" si="18"/>
        <v>44</v>
      </c>
      <c r="M430" t="str">
        <f>_xlfn.XLOOKUP(B430,suppliers!A:A,suppliers!B:B)</f>
        <v>Utah Wholesale</v>
      </c>
      <c r="N430" t="str">
        <f t="shared" si="19"/>
        <v>Late</v>
      </c>
      <c r="O430">
        <f t="shared" si="20"/>
        <v>1</v>
      </c>
    </row>
    <row r="431" spans="1:15">
      <c r="A431">
        <v>5430</v>
      </c>
      <c r="B431">
        <v>8</v>
      </c>
      <c r="C431">
        <v>17</v>
      </c>
      <c r="D431" t="s">
        <v>118</v>
      </c>
      <c r="E431" s="1">
        <v>46114</v>
      </c>
      <c r="F431" s="1">
        <v>46147</v>
      </c>
      <c r="G431" t="s">
        <v>145</v>
      </c>
      <c r="H431">
        <v>956</v>
      </c>
      <c r="I431">
        <v>0</v>
      </c>
      <c r="J431">
        <v>52.22</v>
      </c>
      <c r="K431" t="s">
        <v>463</v>
      </c>
      <c r="L431" t="str">
        <f t="shared" si="18"/>
        <v/>
      </c>
      <c r="M431" t="str">
        <f>_xlfn.XLOOKUP(B431,suppliers!A:A,suppliers!B:B)</f>
        <v>Metro Logistics</v>
      </c>
      <c r="N431" t="str">
        <f t="shared" si="19"/>
        <v>Late</v>
      </c>
      <c r="O431">
        <f t="shared" si="20"/>
        <v>0</v>
      </c>
    </row>
    <row r="432" spans="1:15">
      <c r="A432">
        <v>5431</v>
      </c>
      <c r="B432">
        <v>3</v>
      </c>
      <c r="C432">
        <v>58</v>
      </c>
      <c r="D432" t="s">
        <v>118</v>
      </c>
      <c r="E432" s="1">
        <v>46108</v>
      </c>
      <c r="F432" s="1">
        <v>46131</v>
      </c>
      <c r="G432" s="1">
        <v>46146</v>
      </c>
      <c r="H432">
        <v>892</v>
      </c>
      <c r="I432">
        <v>850</v>
      </c>
      <c r="J432">
        <v>92.55</v>
      </c>
      <c r="K432" t="s">
        <v>464</v>
      </c>
      <c r="L432">
        <f t="shared" si="18"/>
        <v>38</v>
      </c>
      <c r="M432" t="str">
        <f>_xlfn.XLOOKUP(B432,suppliers!A:A,suppliers!B:B)</f>
        <v>PrimeSource</v>
      </c>
      <c r="N432" t="str">
        <f t="shared" si="19"/>
        <v>Late</v>
      </c>
      <c r="O432">
        <f t="shared" si="20"/>
        <v>0.95</v>
      </c>
    </row>
    <row r="433" spans="1:15">
      <c r="A433">
        <v>5432</v>
      </c>
      <c r="B433">
        <v>7</v>
      </c>
      <c r="C433">
        <v>66</v>
      </c>
      <c r="D433" t="s">
        <v>117</v>
      </c>
      <c r="E433" s="1">
        <v>46094</v>
      </c>
      <c r="F433" s="1">
        <v>46117</v>
      </c>
      <c r="G433" s="1">
        <v>46119</v>
      </c>
      <c r="H433">
        <v>61</v>
      </c>
      <c r="I433">
        <v>46</v>
      </c>
      <c r="J433">
        <v>163.53</v>
      </c>
      <c r="K433" t="s">
        <v>462</v>
      </c>
      <c r="L433">
        <f t="shared" si="18"/>
        <v>25</v>
      </c>
      <c r="M433" t="str">
        <f>_xlfn.XLOOKUP(B433,suppliers!A:A,suppliers!B:B)</f>
        <v>Summit Trading</v>
      </c>
      <c r="N433" t="str">
        <f t="shared" si="19"/>
        <v>Late</v>
      </c>
      <c r="O433">
        <f t="shared" si="20"/>
        <v>0.75</v>
      </c>
    </row>
    <row r="434" spans="1:15">
      <c r="A434">
        <v>5433</v>
      </c>
      <c r="B434">
        <v>3</v>
      </c>
      <c r="C434">
        <v>1</v>
      </c>
      <c r="D434" t="s">
        <v>121</v>
      </c>
      <c r="E434" s="1">
        <v>46103</v>
      </c>
      <c r="F434" s="1">
        <v>46113</v>
      </c>
      <c r="G434" t="s">
        <v>145</v>
      </c>
      <c r="H434">
        <v>841</v>
      </c>
      <c r="I434">
        <v>0</v>
      </c>
      <c r="J434">
        <v>157.86000000000001</v>
      </c>
      <c r="K434" t="s">
        <v>464</v>
      </c>
      <c r="L434" t="str">
        <f t="shared" si="18"/>
        <v/>
      </c>
      <c r="M434" t="str">
        <f>_xlfn.XLOOKUP(B434,suppliers!A:A,suppliers!B:B)</f>
        <v>PrimeSource</v>
      </c>
      <c r="N434" t="str">
        <f t="shared" si="19"/>
        <v>Late</v>
      </c>
      <c r="O434">
        <f t="shared" si="20"/>
        <v>0</v>
      </c>
    </row>
    <row r="435" spans="1:15">
      <c r="A435">
        <v>5434</v>
      </c>
      <c r="B435">
        <v>5</v>
      </c>
      <c r="C435">
        <v>107</v>
      </c>
      <c r="D435" t="s">
        <v>120</v>
      </c>
      <c r="E435" s="1">
        <v>45997</v>
      </c>
      <c r="F435" s="1">
        <v>46036</v>
      </c>
      <c r="G435" s="1">
        <v>46054</v>
      </c>
      <c r="H435">
        <v>833</v>
      </c>
      <c r="I435">
        <v>784</v>
      </c>
      <c r="J435">
        <v>93.96</v>
      </c>
      <c r="K435" t="s">
        <v>464</v>
      </c>
      <c r="L435">
        <f t="shared" si="18"/>
        <v>57</v>
      </c>
      <c r="M435" t="str">
        <f>_xlfn.XLOOKUP(B435,suppliers!A:A,suppliers!B:B)</f>
        <v>Utah Wholesale</v>
      </c>
      <c r="N435" t="str">
        <f t="shared" si="19"/>
        <v>Late</v>
      </c>
      <c r="O435">
        <f t="shared" si="20"/>
        <v>0.94</v>
      </c>
    </row>
    <row r="436" spans="1:15">
      <c r="A436">
        <v>5435</v>
      </c>
      <c r="B436">
        <v>6</v>
      </c>
      <c r="C436">
        <v>14</v>
      </c>
      <c r="D436" t="s">
        <v>119</v>
      </c>
      <c r="E436" s="1">
        <v>46120</v>
      </c>
      <c r="F436" s="1">
        <v>46164</v>
      </c>
      <c r="G436" s="1">
        <v>46180</v>
      </c>
      <c r="H436">
        <v>585</v>
      </c>
      <c r="I436">
        <v>570</v>
      </c>
      <c r="J436">
        <v>72.569999999999993</v>
      </c>
      <c r="K436" t="s">
        <v>462</v>
      </c>
      <c r="L436">
        <f t="shared" si="18"/>
        <v>60</v>
      </c>
      <c r="M436" t="str">
        <f>_xlfn.XLOOKUP(B436,suppliers!A:A,suppliers!B:B)</f>
        <v>Evergreen Imports</v>
      </c>
      <c r="N436" t="str">
        <f t="shared" si="19"/>
        <v>Late</v>
      </c>
      <c r="O436">
        <f t="shared" si="20"/>
        <v>0.97</v>
      </c>
    </row>
    <row r="437" spans="1:15">
      <c r="A437">
        <v>5436</v>
      </c>
      <c r="B437">
        <v>4</v>
      </c>
      <c r="C437">
        <v>144</v>
      </c>
      <c r="D437" t="s">
        <v>119</v>
      </c>
      <c r="E437" s="1">
        <v>46077</v>
      </c>
      <c r="F437" s="1">
        <v>46095</v>
      </c>
      <c r="G437" s="1">
        <v>46096</v>
      </c>
      <c r="H437">
        <v>34</v>
      </c>
      <c r="I437">
        <v>13</v>
      </c>
      <c r="J437">
        <v>11.3</v>
      </c>
      <c r="K437" t="s">
        <v>462</v>
      </c>
      <c r="L437">
        <f t="shared" si="18"/>
        <v>19</v>
      </c>
      <c r="M437" t="str">
        <f>_xlfn.XLOOKUP(B437,suppliers!A:A,suppliers!B:B)</f>
        <v>Blue Ridge</v>
      </c>
      <c r="N437" t="str">
        <f t="shared" si="19"/>
        <v>Late</v>
      </c>
      <c r="O437">
        <f t="shared" si="20"/>
        <v>0.38</v>
      </c>
    </row>
    <row r="438" spans="1:15">
      <c r="A438">
        <v>5437</v>
      </c>
      <c r="B438">
        <v>3</v>
      </c>
      <c r="C438">
        <v>123</v>
      </c>
      <c r="D438" t="s">
        <v>120</v>
      </c>
      <c r="E438" s="1">
        <v>45998</v>
      </c>
      <c r="F438" s="1">
        <v>46011</v>
      </c>
      <c r="G438" s="1">
        <v>46029</v>
      </c>
      <c r="H438">
        <v>768</v>
      </c>
      <c r="I438">
        <v>726</v>
      </c>
      <c r="J438">
        <v>101.03</v>
      </c>
      <c r="K438" t="s">
        <v>463</v>
      </c>
      <c r="L438">
        <f t="shared" si="18"/>
        <v>31</v>
      </c>
      <c r="M438" t="str">
        <f>_xlfn.XLOOKUP(B438,suppliers!A:A,suppliers!B:B)</f>
        <v>PrimeSource</v>
      </c>
      <c r="N438" t="str">
        <f t="shared" si="19"/>
        <v>Late</v>
      </c>
      <c r="O438">
        <f t="shared" si="20"/>
        <v>0.95</v>
      </c>
    </row>
    <row r="439" spans="1:15">
      <c r="A439">
        <v>5438</v>
      </c>
      <c r="B439">
        <v>5</v>
      </c>
      <c r="C439">
        <v>107</v>
      </c>
      <c r="D439" t="s">
        <v>120</v>
      </c>
      <c r="E439" s="1">
        <v>46034</v>
      </c>
      <c r="F439" s="1">
        <v>46068</v>
      </c>
      <c r="G439" s="1">
        <v>46068</v>
      </c>
      <c r="H439">
        <v>390</v>
      </c>
      <c r="I439">
        <v>371</v>
      </c>
      <c r="J439">
        <v>72.22</v>
      </c>
      <c r="K439" t="s">
        <v>464</v>
      </c>
      <c r="L439">
        <f t="shared" si="18"/>
        <v>34</v>
      </c>
      <c r="M439" t="str">
        <f>_xlfn.XLOOKUP(B439,suppliers!A:A,suppliers!B:B)</f>
        <v>Utah Wholesale</v>
      </c>
      <c r="N439" t="str">
        <f t="shared" si="19"/>
        <v>Late</v>
      </c>
      <c r="O439">
        <f t="shared" si="20"/>
        <v>0.95</v>
      </c>
    </row>
    <row r="440" spans="1:15">
      <c r="A440">
        <v>5439</v>
      </c>
      <c r="B440">
        <v>8</v>
      </c>
      <c r="C440">
        <v>141</v>
      </c>
      <c r="D440" t="s">
        <v>119</v>
      </c>
      <c r="E440" s="1">
        <v>46010</v>
      </c>
      <c r="F440" s="1">
        <v>46021</v>
      </c>
      <c r="G440" t="s">
        <v>145</v>
      </c>
      <c r="H440">
        <v>914</v>
      </c>
      <c r="I440">
        <v>0</v>
      </c>
      <c r="J440">
        <v>134.21</v>
      </c>
      <c r="K440" t="s">
        <v>462</v>
      </c>
      <c r="L440" t="str">
        <f t="shared" si="18"/>
        <v/>
      </c>
      <c r="M440" t="str">
        <f>_xlfn.XLOOKUP(B440,suppliers!A:A,suppliers!B:B)</f>
        <v>Metro Logistics</v>
      </c>
      <c r="N440" t="str">
        <f t="shared" si="19"/>
        <v>Late</v>
      </c>
      <c r="O440">
        <f t="shared" si="20"/>
        <v>0</v>
      </c>
    </row>
    <row r="441" spans="1:15">
      <c r="A441">
        <v>5440</v>
      </c>
      <c r="B441">
        <v>8</v>
      </c>
      <c r="C441">
        <v>17</v>
      </c>
      <c r="D441" t="s">
        <v>121</v>
      </c>
      <c r="E441" s="1">
        <v>46062</v>
      </c>
      <c r="F441" s="1">
        <v>46080</v>
      </c>
      <c r="G441" s="1">
        <v>46089</v>
      </c>
      <c r="H441">
        <v>365</v>
      </c>
      <c r="I441">
        <v>336</v>
      </c>
      <c r="J441">
        <v>38.979999999999997</v>
      </c>
      <c r="K441" t="s">
        <v>464</v>
      </c>
      <c r="L441">
        <f t="shared" si="18"/>
        <v>27</v>
      </c>
      <c r="M441" t="str">
        <f>_xlfn.XLOOKUP(B441,suppliers!A:A,suppliers!B:B)</f>
        <v>Metro Logistics</v>
      </c>
      <c r="N441" t="str">
        <f t="shared" si="19"/>
        <v>Late</v>
      </c>
      <c r="O441">
        <f t="shared" si="20"/>
        <v>0.92</v>
      </c>
    </row>
    <row r="442" spans="1:15">
      <c r="A442">
        <v>5441</v>
      </c>
      <c r="B442">
        <v>8</v>
      </c>
      <c r="C442">
        <v>32</v>
      </c>
      <c r="D442" t="s">
        <v>118</v>
      </c>
      <c r="E442" s="1">
        <v>46116</v>
      </c>
      <c r="F442" s="1">
        <v>46140</v>
      </c>
      <c r="G442" s="1">
        <v>46146</v>
      </c>
      <c r="H442">
        <v>827</v>
      </c>
      <c r="I442">
        <v>803</v>
      </c>
      <c r="J442">
        <v>88.12</v>
      </c>
      <c r="K442" t="s">
        <v>462</v>
      </c>
      <c r="L442">
        <f t="shared" si="18"/>
        <v>30</v>
      </c>
      <c r="M442" t="str">
        <f>_xlfn.XLOOKUP(B442,suppliers!A:A,suppliers!B:B)</f>
        <v>Metro Logistics</v>
      </c>
      <c r="N442" t="str">
        <f t="shared" si="19"/>
        <v>Late</v>
      </c>
      <c r="O442">
        <f t="shared" si="20"/>
        <v>0.97</v>
      </c>
    </row>
    <row r="443" spans="1:15">
      <c r="A443">
        <v>5442</v>
      </c>
      <c r="B443">
        <v>2</v>
      </c>
      <c r="C443">
        <v>140</v>
      </c>
      <c r="D443" t="s">
        <v>119</v>
      </c>
      <c r="E443" s="1">
        <v>46057</v>
      </c>
      <c r="F443" s="1">
        <v>46065</v>
      </c>
      <c r="G443" t="s">
        <v>145</v>
      </c>
      <c r="H443">
        <v>655</v>
      </c>
      <c r="I443">
        <v>0</v>
      </c>
      <c r="J443">
        <v>23.92</v>
      </c>
      <c r="K443" t="s">
        <v>464</v>
      </c>
      <c r="L443" t="str">
        <f t="shared" si="18"/>
        <v/>
      </c>
      <c r="M443" t="str">
        <f>_xlfn.XLOOKUP(B443,suppliers!A:A,suppliers!B:B)</f>
        <v>Global Goods</v>
      </c>
      <c r="N443" t="str">
        <f t="shared" si="19"/>
        <v>Late</v>
      </c>
      <c r="O443">
        <f t="shared" si="20"/>
        <v>0</v>
      </c>
    </row>
    <row r="444" spans="1:15">
      <c r="A444">
        <v>5443</v>
      </c>
      <c r="B444">
        <v>6</v>
      </c>
      <c r="C444">
        <v>42</v>
      </c>
      <c r="D444" t="s">
        <v>122</v>
      </c>
      <c r="E444" s="1">
        <v>46030</v>
      </c>
      <c r="F444" s="1">
        <v>46058</v>
      </c>
      <c r="G444" s="1">
        <v>46075</v>
      </c>
      <c r="H444">
        <v>567</v>
      </c>
      <c r="I444">
        <v>566</v>
      </c>
      <c r="J444">
        <v>98.67</v>
      </c>
      <c r="K444" t="s">
        <v>463</v>
      </c>
      <c r="L444">
        <f t="shared" si="18"/>
        <v>45</v>
      </c>
      <c r="M444" t="str">
        <f>_xlfn.XLOOKUP(B444,suppliers!A:A,suppliers!B:B)</f>
        <v>Evergreen Imports</v>
      </c>
      <c r="N444" t="str">
        <f t="shared" si="19"/>
        <v>Late</v>
      </c>
      <c r="O444">
        <f t="shared" si="20"/>
        <v>1</v>
      </c>
    </row>
    <row r="445" spans="1:15">
      <c r="A445">
        <v>5444</v>
      </c>
      <c r="B445">
        <v>3</v>
      </c>
      <c r="C445">
        <v>100</v>
      </c>
      <c r="D445" t="s">
        <v>118</v>
      </c>
      <c r="E445" s="1">
        <v>46103</v>
      </c>
      <c r="F445" s="1">
        <v>46116</v>
      </c>
      <c r="G445" s="1">
        <v>46135</v>
      </c>
      <c r="H445">
        <v>851</v>
      </c>
      <c r="I445">
        <v>839</v>
      </c>
      <c r="J445">
        <v>128.81</v>
      </c>
      <c r="K445" t="s">
        <v>464</v>
      </c>
      <c r="L445">
        <f t="shared" si="18"/>
        <v>32</v>
      </c>
      <c r="M445" t="str">
        <f>_xlfn.XLOOKUP(B445,suppliers!A:A,suppliers!B:B)</f>
        <v>PrimeSource</v>
      </c>
      <c r="N445" t="str">
        <f t="shared" si="19"/>
        <v>Late</v>
      </c>
      <c r="O445">
        <f t="shared" si="20"/>
        <v>0.99</v>
      </c>
    </row>
    <row r="446" spans="1:15">
      <c r="A446">
        <v>5445</v>
      </c>
      <c r="B446">
        <v>7</v>
      </c>
      <c r="C446">
        <v>124</v>
      </c>
      <c r="D446" t="s">
        <v>117</v>
      </c>
      <c r="E446" s="1">
        <v>46143</v>
      </c>
      <c r="F446" s="1">
        <v>46154</v>
      </c>
      <c r="G446" t="s">
        <v>145</v>
      </c>
      <c r="H446">
        <v>782</v>
      </c>
      <c r="I446">
        <v>0</v>
      </c>
      <c r="J446">
        <v>168.33</v>
      </c>
      <c r="K446" t="s">
        <v>464</v>
      </c>
      <c r="L446" t="str">
        <f t="shared" si="18"/>
        <v/>
      </c>
      <c r="M446" t="str">
        <f>_xlfn.XLOOKUP(B446,suppliers!A:A,suppliers!B:B)</f>
        <v>Summit Trading</v>
      </c>
      <c r="N446" t="str">
        <f t="shared" si="19"/>
        <v>Late</v>
      </c>
      <c r="O446">
        <f t="shared" si="20"/>
        <v>0</v>
      </c>
    </row>
    <row r="447" spans="1:15">
      <c r="A447">
        <v>5446</v>
      </c>
      <c r="B447">
        <v>3</v>
      </c>
      <c r="C447">
        <v>118</v>
      </c>
      <c r="D447" t="s">
        <v>117</v>
      </c>
      <c r="E447" s="1">
        <v>46092</v>
      </c>
      <c r="F447" s="1">
        <v>46119</v>
      </c>
      <c r="G447" s="1">
        <v>46120</v>
      </c>
      <c r="H447">
        <v>941</v>
      </c>
      <c r="I447">
        <v>929</v>
      </c>
      <c r="J447">
        <v>38.840000000000003</v>
      </c>
      <c r="K447" t="s">
        <v>464</v>
      </c>
      <c r="L447">
        <f t="shared" si="18"/>
        <v>28</v>
      </c>
      <c r="M447" t="str">
        <f>_xlfn.XLOOKUP(B447,suppliers!A:A,suppliers!B:B)</f>
        <v>PrimeSource</v>
      </c>
      <c r="N447" t="str">
        <f t="shared" si="19"/>
        <v>Late</v>
      </c>
      <c r="O447">
        <f t="shared" si="20"/>
        <v>0.99</v>
      </c>
    </row>
    <row r="448" spans="1:15">
      <c r="A448">
        <v>5447</v>
      </c>
      <c r="B448">
        <v>8</v>
      </c>
      <c r="C448">
        <v>147</v>
      </c>
      <c r="D448" t="s">
        <v>122</v>
      </c>
      <c r="E448" s="1">
        <v>46083</v>
      </c>
      <c r="F448" s="1">
        <v>46091</v>
      </c>
      <c r="G448" t="s">
        <v>145</v>
      </c>
      <c r="H448">
        <v>976</v>
      </c>
      <c r="I448">
        <v>0</v>
      </c>
      <c r="J448">
        <v>128.32</v>
      </c>
      <c r="K448" t="s">
        <v>462</v>
      </c>
      <c r="L448" t="str">
        <f t="shared" si="18"/>
        <v/>
      </c>
      <c r="M448" t="str">
        <f>_xlfn.XLOOKUP(B448,suppliers!A:A,suppliers!B:B)</f>
        <v>Metro Logistics</v>
      </c>
      <c r="N448" t="str">
        <f t="shared" si="19"/>
        <v>Late</v>
      </c>
      <c r="O448">
        <f t="shared" si="20"/>
        <v>0</v>
      </c>
    </row>
    <row r="449" spans="1:15">
      <c r="A449">
        <v>5448</v>
      </c>
      <c r="B449">
        <v>1</v>
      </c>
      <c r="C449">
        <v>2</v>
      </c>
      <c r="D449" t="s">
        <v>119</v>
      </c>
      <c r="E449" s="1">
        <v>46073</v>
      </c>
      <c r="F449" s="1">
        <v>46109</v>
      </c>
      <c r="G449" s="1">
        <v>46107</v>
      </c>
      <c r="H449">
        <v>628</v>
      </c>
      <c r="I449">
        <v>591</v>
      </c>
      <c r="J449">
        <v>21.39</v>
      </c>
      <c r="K449" t="s">
        <v>462</v>
      </c>
      <c r="L449">
        <f t="shared" si="18"/>
        <v>34</v>
      </c>
      <c r="M449" t="str">
        <f>_xlfn.XLOOKUP(B449,suppliers!A:A,suppliers!B:B)</f>
        <v>Acme Supply</v>
      </c>
      <c r="N449" t="str">
        <f t="shared" si="19"/>
        <v>On time</v>
      </c>
      <c r="O449">
        <f t="shared" si="20"/>
        <v>0.94</v>
      </c>
    </row>
    <row r="450" spans="1:15">
      <c r="A450">
        <v>5449</v>
      </c>
      <c r="B450">
        <v>2</v>
      </c>
      <c r="C450">
        <v>122</v>
      </c>
      <c r="D450" t="s">
        <v>119</v>
      </c>
      <c r="E450" s="1">
        <v>46119</v>
      </c>
      <c r="F450" s="1">
        <v>46161</v>
      </c>
      <c r="G450" t="s">
        <v>145</v>
      </c>
      <c r="H450">
        <v>763</v>
      </c>
      <c r="I450">
        <v>0</v>
      </c>
      <c r="J450">
        <v>195.93</v>
      </c>
      <c r="K450" t="s">
        <v>464</v>
      </c>
      <c r="L450" t="str">
        <f t="shared" si="18"/>
        <v/>
      </c>
      <c r="M450" t="str">
        <f>_xlfn.XLOOKUP(B450,suppliers!A:A,suppliers!B:B)</f>
        <v>Global Goods</v>
      </c>
      <c r="N450" t="str">
        <f t="shared" si="19"/>
        <v>Late</v>
      </c>
      <c r="O450">
        <f t="shared" si="20"/>
        <v>0</v>
      </c>
    </row>
    <row r="451" spans="1:15">
      <c r="A451">
        <v>5450</v>
      </c>
      <c r="B451">
        <v>2</v>
      </c>
      <c r="C451">
        <v>9</v>
      </c>
      <c r="D451" t="s">
        <v>119</v>
      </c>
      <c r="E451" s="1">
        <v>46074</v>
      </c>
      <c r="F451" s="1">
        <v>46096</v>
      </c>
      <c r="G451" s="1">
        <v>46104</v>
      </c>
      <c r="H451">
        <v>320</v>
      </c>
      <c r="I451">
        <v>317</v>
      </c>
      <c r="J451">
        <v>104.49</v>
      </c>
      <c r="K451" t="s">
        <v>463</v>
      </c>
      <c r="L451">
        <f t="shared" ref="L451:L501" si="21">IFERROR(G451-E451,"")</f>
        <v>30</v>
      </c>
      <c r="M451" t="str">
        <f>_xlfn.XLOOKUP(B451,suppliers!A:A,suppliers!B:B)</f>
        <v>Global Goods</v>
      </c>
      <c r="N451" t="str">
        <f t="shared" ref="N451:N501" si="22">IF(G451&lt;F451,"On time","Late")</f>
        <v>Late</v>
      </c>
      <c r="O451">
        <f t="shared" ref="O451:O501" si="23">ROUND(I451/H451,2)</f>
        <v>0.99</v>
      </c>
    </row>
    <row r="452" spans="1:15">
      <c r="A452">
        <v>5451</v>
      </c>
      <c r="B452">
        <v>4</v>
      </c>
      <c r="C452">
        <v>36</v>
      </c>
      <c r="D452" t="s">
        <v>117</v>
      </c>
      <c r="E452" s="1">
        <v>46059</v>
      </c>
      <c r="F452" s="1">
        <v>46090</v>
      </c>
      <c r="G452" t="s">
        <v>145</v>
      </c>
      <c r="H452">
        <v>307</v>
      </c>
      <c r="I452">
        <v>0</v>
      </c>
      <c r="J452">
        <v>77.72</v>
      </c>
      <c r="K452" t="s">
        <v>464</v>
      </c>
      <c r="L452" t="str">
        <f t="shared" si="21"/>
        <v/>
      </c>
      <c r="M452" t="str">
        <f>_xlfn.XLOOKUP(B452,suppliers!A:A,suppliers!B:B)</f>
        <v>Blue Ridge</v>
      </c>
      <c r="N452" t="str">
        <f t="shared" si="22"/>
        <v>Late</v>
      </c>
      <c r="O452">
        <f t="shared" si="23"/>
        <v>0</v>
      </c>
    </row>
    <row r="453" spans="1:15">
      <c r="A453">
        <v>5452</v>
      </c>
      <c r="B453">
        <v>8</v>
      </c>
      <c r="C453">
        <v>136</v>
      </c>
      <c r="D453" t="s">
        <v>119</v>
      </c>
      <c r="E453" s="1">
        <v>46086</v>
      </c>
      <c r="F453" s="1">
        <v>46097</v>
      </c>
      <c r="G453" s="1">
        <v>46115</v>
      </c>
      <c r="H453">
        <v>327</v>
      </c>
      <c r="I453">
        <v>309</v>
      </c>
      <c r="J453">
        <v>12.19</v>
      </c>
      <c r="K453" t="s">
        <v>463</v>
      </c>
      <c r="L453">
        <f t="shared" si="21"/>
        <v>29</v>
      </c>
      <c r="M453" t="str">
        <f>_xlfn.XLOOKUP(B453,suppliers!A:A,suppliers!B:B)</f>
        <v>Metro Logistics</v>
      </c>
      <c r="N453" t="str">
        <f t="shared" si="22"/>
        <v>Late</v>
      </c>
      <c r="O453">
        <f t="shared" si="23"/>
        <v>0.94</v>
      </c>
    </row>
    <row r="454" spans="1:15">
      <c r="A454">
        <v>5453</v>
      </c>
      <c r="B454">
        <v>2</v>
      </c>
      <c r="C454">
        <v>48</v>
      </c>
      <c r="D454" t="s">
        <v>119</v>
      </c>
      <c r="E454" s="1">
        <v>46016</v>
      </c>
      <c r="F454" s="1">
        <v>46031</v>
      </c>
      <c r="G454" t="s">
        <v>145</v>
      </c>
      <c r="H454">
        <v>637</v>
      </c>
      <c r="I454">
        <v>0</v>
      </c>
      <c r="J454">
        <v>92.85</v>
      </c>
      <c r="K454" t="s">
        <v>463</v>
      </c>
      <c r="L454" t="str">
        <f t="shared" si="21"/>
        <v/>
      </c>
      <c r="M454" t="str">
        <f>_xlfn.XLOOKUP(B454,suppliers!A:A,suppliers!B:B)</f>
        <v>Global Goods</v>
      </c>
      <c r="N454" t="str">
        <f t="shared" si="22"/>
        <v>Late</v>
      </c>
      <c r="O454">
        <f t="shared" si="23"/>
        <v>0</v>
      </c>
    </row>
    <row r="455" spans="1:15">
      <c r="A455">
        <v>5454</v>
      </c>
      <c r="B455">
        <v>1</v>
      </c>
      <c r="C455">
        <v>30</v>
      </c>
      <c r="D455" t="s">
        <v>118</v>
      </c>
      <c r="E455" s="1">
        <v>46017</v>
      </c>
      <c r="F455" s="1">
        <v>46040</v>
      </c>
      <c r="G455" s="1">
        <v>46045</v>
      </c>
      <c r="H455">
        <v>929</v>
      </c>
      <c r="I455">
        <v>892</v>
      </c>
      <c r="J455">
        <v>39.159999999999997</v>
      </c>
      <c r="K455" t="s">
        <v>464</v>
      </c>
      <c r="L455">
        <f t="shared" si="21"/>
        <v>28</v>
      </c>
      <c r="M455" t="str">
        <f>_xlfn.XLOOKUP(B455,suppliers!A:A,suppliers!B:B)</f>
        <v>Acme Supply</v>
      </c>
      <c r="N455" t="str">
        <f t="shared" si="22"/>
        <v>Late</v>
      </c>
      <c r="O455">
        <f t="shared" si="23"/>
        <v>0.96</v>
      </c>
    </row>
    <row r="456" spans="1:15">
      <c r="A456">
        <v>5455</v>
      </c>
      <c r="B456">
        <v>7</v>
      </c>
      <c r="C456">
        <v>60</v>
      </c>
      <c r="D456" t="s">
        <v>119</v>
      </c>
      <c r="E456" s="1">
        <v>46005</v>
      </c>
      <c r="F456" s="1">
        <v>46029</v>
      </c>
      <c r="G456" s="1">
        <v>46048</v>
      </c>
      <c r="H456">
        <v>583</v>
      </c>
      <c r="I456">
        <v>538</v>
      </c>
      <c r="J456">
        <v>140.19999999999999</v>
      </c>
      <c r="K456" t="s">
        <v>464</v>
      </c>
      <c r="L456">
        <f t="shared" si="21"/>
        <v>43</v>
      </c>
      <c r="M456" t="str">
        <f>_xlfn.XLOOKUP(B456,suppliers!A:A,suppliers!B:B)</f>
        <v>Summit Trading</v>
      </c>
      <c r="N456" t="str">
        <f t="shared" si="22"/>
        <v>Late</v>
      </c>
      <c r="O456">
        <f t="shared" si="23"/>
        <v>0.92</v>
      </c>
    </row>
    <row r="457" spans="1:15">
      <c r="A457">
        <v>5456</v>
      </c>
      <c r="B457">
        <v>3</v>
      </c>
      <c r="C457">
        <v>148</v>
      </c>
      <c r="D457" t="s">
        <v>117</v>
      </c>
      <c r="E457" s="1">
        <v>46132</v>
      </c>
      <c r="F457" s="1">
        <v>46158</v>
      </c>
      <c r="G457" t="s">
        <v>145</v>
      </c>
      <c r="H457">
        <v>693</v>
      </c>
      <c r="I457">
        <v>0</v>
      </c>
      <c r="J457">
        <v>98.33</v>
      </c>
      <c r="K457" t="s">
        <v>464</v>
      </c>
      <c r="L457" t="str">
        <f t="shared" si="21"/>
        <v/>
      </c>
      <c r="M457" t="str">
        <f>_xlfn.XLOOKUP(B457,suppliers!A:A,suppliers!B:B)</f>
        <v>PrimeSource</v>
      </c>
      <c r="N457" t="str">
        <f t="shared" si="22"/>
        <v>Late</v>
      </c>
      <c r="O457">
        <f t="shared" si="23"/>
        <v>0</v>
      </c>
    </row>
    <row r="458" spans="1:15">
      <c r="A458">
        <v>5457</v>
      </c>
      <c r="B458">
        <v>1</v>
      </c>
      <c r="C458">
        <v>80</v>
      </c>
      <c r="D458" t="s">
        <v>119</v>
      </c>
      <c r="E458" s="1">
        <v>46100</v>
      </c>
      <c r="F458" s="1">
        <v>46112</v>
      </c>
      <c r="G458" s="1">
        <v>46115</v>
      </c>
      <c r="H458">
        <v>778</v>
      </c>
      <c r="I458">
        <v>772</v>
      </c>
      <c r="J458">
        <v>79.7</v>
      </c>
      <c r="K458" t="s">
        <v>464</v>
      </c>
      <c r="L458">
        <f t="shared" si="21"/>
        <v>15</v>
      </c>
      <c r="M458" t="str">
        <f>_xlfn.XLOOKUP(B458,suppliers!A:A,suppliers!B:B)</f>
        <v>Acme Supply</v>
      </c>
      <c r="N458" t="str">
        <f t="shared" si="22"/>
        <v>Late</v>
      </c>
      <c r="O458">
        <f t="shared" si="23"/>
        <v>0.99</v>
      </c>
    </row>
    <row r="459" spans="1:15">
      <c r="A459">
        <v>5458</v>
      </c>
      <c r="B459">
        <v>1</v>
      </c>
      <c r="C459">
        <v>2</v>
      </c>
      <c r="D459" t="s">
        <v>119</v>
      </c>
      <c r="E459" s="1">
        <v>46020</v>
      </c>
      <c r="F459" s="1">
        <v>46057</v>
      </c>
      <c r="G459" s="1">
        <v>46077</v>
      </c>
      <c r="H459">
        <v>389</v>
      </c>
      <c r="I459">
        <v>373</v>
      </c>
      <c r="J459">
        <v>20.46</v>
      </c>
      <c r="K459" t="s">
        <v>462</v>
      </c>
      <c r="L459">
        <f t="shared" si="21"/>
        <v>57</v>
      </c>
      <c r="M459" t="str">
        <f>_xlfn.XLOOKUP(B459,suppliers!A:A,suppliers!B:B)</f>
        <v>Acme Supply</v>
      </c>
      <c r="N459" t="str">
        <f t="shared" si="22"/>
        <v>Late</v>
      </c>
      <c r="O459">
        <f t="shared" si="23"/>
        <v>0.96</v>
      </c>
    </row>
    <row r="460" spans="1:15">
      <c r="A460">
        <v>5459</v>
      </c>
      <c r="B460">
        <v>4</v>
      </c>
      <c r="C460">
        <v>144</v>
      </c>
      <c r="D460" t="s">
        <v>119</v>
      </c>
      <c r="E460" s="1">
        <v>46056</v>
      </c>
      <c r="F460" s="1">
        <v>46068</v>
      </c>
      <c r="G460" s="1">
        <v>46068</v>
      </c>
      <c r="H460">
        <v>684</v>
      </c>
      <c r="I460">
        <v>644</v>
      </c>
      <c r="J460">
        <v>12.23</v>
      </c>
      <c r="K460" t="s">
        <v>464</v>
      </c>
      <c r="L460">
        <f t="shared" si="21"/>
        <v>12</v>
      </c>
      <c r="M460" t="str">
        <f>_xlfn.XLOOKUP(B460,suppliers!A:A,suppliers!B:B)</f>
        <v>Blue Ridge</v>
      </c>
      <c r="N460" t="str">
        <f t="shared" si="22"/>
        <v>Late</v>
      </c>
      <c r="O460">
        <f t="shared" si="23"/>
        <v>0.94</v>
      </c>
    </row>
    <row r="461" spans="1:15">
      <c r="A461">
        <v>5460</v>
      </c>
      <c r="B461">
        <v>6</v>
      </c>
      <c r="C461">
        <v>121</v>
      </c>
      <c r="D461" t="s">
        <v>117</v>
      </c>
      <c r="E461" s="1">
        <v>46048</v>
      </c>
      <c r="F461" s="1">
        <v>46063</v>
      </c>
      <c r="G461" s="1">
        <v>46079</v>
      </c>
      <c r="H461">
        <v>541</v>
      </c>
      <c r="I461">
        <v>541</v>
      </c>
      <c r="J461">
        <v>51.77</v>
      </c>
      <c r="K461" t="s">
        <v>464</v>
      </c>
      <c r="L461">
        <f t="shared" si="21"/>
        <v>31</v>
      </c>
      <c r="M461" t="str">
        <f>_xlfn.XLOOKUP(B461,suppliers!A:A,suppliers!B:B)</f>
        <v>Evergreen Imports</v>
      </c>
      <c r="N461" t="str">
        <f t="shared" si="22"/>
        <v>Late</v>
      </c>
      <c r="O461">
        <f t="shared" si="23"/>
        <v>1</v>
      </c>
    </row>
    <row r="462" spans="1:15">
      <c r="A462">
        <v>5461</v>
      </c>
      <c r="B462">
        <v>4</v>
      </c>
      <c r="C462">
        <v>70</v>
      </c>
      <c r="D462" t="s">
        <v>117</v>
      </c>
      <c r="E462" s="1">
        <v>46140</v>
      </c>
      <c r="F462" s="1">
        <v>46159</v>
      </c>
      <c r="G462" s="1">
        <v>46161</v>
      </c>
      <c r="H462">
        <v>80</v>
      </c>
      <c r="I462">
        <v>68</v>
      </c>
      <c r="J462">
        <v>98.09</v>
      </c>
      <c r="K462" t="s">
        <v>464</v>
      </c>
      <c r="L462">
        <f t="shared" si="21"/>
        <v>21</v>
      </c>
      <c r="M462" t="str">
        <f>_xlfn.XLOOKUP(B462,suppliers!A:A,suppliers!B:B)</f>
        <v>Blue Ridge</v>
      </c>
      <c r="N462" t="str">
        <f t="shared" si="22"/>
        <v>Late</v>
      </c>
      <c r="O462">
        <f t="shared" si="23"/>
        <v>0.85</v>
      </c>
    </row>
    <row r="463" spans="1:15">
      <c r="A463">
        <v>5462</v>
      </c>
      <c r="B463">
        <v>6</v>
      </c>
      <c r="C463">
        <v>75</v>
      </c>
      <c r="D463" t="s">
        <v>120</v>
      </c>
      <c r="E463" s="1">
        <v>46081</v>
      </c>
      <c r="F463" s="1">
        <v>46096</v>
      </c>
      <c r="G463" s="1">
        <v>46109</v>
      </c>
      <c r="H463">
        <v>441</v>
      </c>
      <c r="I463">
        <v>424</v>
      </c>
      <c r="J463">
        <v>97.42</v>
      </c>
      <c r="K463" t="s">
        <v>462</v>
      </c>
      <c r="L463">
        <f t="shared" si="21"/>
        <v>28</v>
      </c>
      <c r="M463" t="str">
        <f>_xlfn.XLOOKUP(B463,suppliers!A:A,suppliers!B:B)</f>
        <v>Evergreen Imports</v>
      </c>
      <c r="N463" t="str">
        <f t="shared" si="22"/>
        <v>Late</v>
      </c>
      <c r="O463">
        <f t="shared" si="23"/>
        <v>0.96</v>
      </c>
    </row>
    <row r="464" spans="1:15">
      <c r="A464">
        <v>5463</v>
      </c>
      <c r="B464">
        <v>8</v>
      </c>
      <c r="C464">
        <v>32</v>
      </c>
      <c r="D464" t="s">
        <v>117</v>
      </c>
      <c r="E464" s="1">
        <v>46100</v>
      </c>
      <c r="F464" s="1">
        <v>46123</v>
      </c>
      <c r="G464" s="1">
        <v>46133</v>
      </c>
      <c r="H464">
        <v>21</v>
      </c>
      <c r="I464">
        <v>-16</v>
      </c>
      <c r="J464">
        <v>123.33</v>
      </c>
      <c r="K464" t="s">
        <v>462</v>
      </c>
      <c r="L464">
        <f t="shared" si="21"/>
        <v>33</v>
      </c>
      <c r="M464" t="str">
        <f>_xlfn.XLOOKUP(B464,suppliers!A:A,suppliers!B:B)</f>
        <v>Metro Logistics</v>
      </c>
      <c r="N464" t="str">
        <f t="shared" si="22"/>
        <v>Late</v>
      </c>
      <c r="O464">
        <f t="shared" si="23"/>
        <v>-0.76</v>
      </c>
    </row>
    <row r="465" spans="1:15">
      <c r="A465">
        <v>5464</v>
      </c>
      <c r="B465">
        <v>7</v>
      </c>
      <c r="C465">
        <v>65</v>
      </c>
      <c r="D465" t="s">
        <v>118</v>
      </c>
      <c r="E465" s="1">
        <v>46025</v>
      </c>
      <c r="F465" s="1">
        <v>46068</v>
      </c>
      <c r="G465" s="1">
        <v>46083</v>
      </c>
      <c r="H465">
        <v>614</v>
      </c>
      <c r="I465">
        <v>606</v>
      </c>
      <c r="J465">
        <v>39.520000000000003</v>
      </c>
      <c r="K465" t="s">
        <v>464</v>
      </c>
      <c r="L465">
        <f t="shared" si="21"/>
        <v>58</v>
      </c>
      <c r="M465" t="str">
        <f>_xlfn.XLOOKUP(B465,suppliers!A:A,suppliers!B:B)</f>
        <v>Summit Trading</v>
      </c>
      <c r="N465" t="str">
        <f t="shared" si="22"/>
        <v>Late</v>
      </c>
      <c r="O465">
        <f t="shared" si="23"/>
        <v>0.99</v>
      </c>
    </row>
    <row r="466" spans="1:15">
      <c r="A466">
        <v>5465</v>
      </c>
      <c r="B466">
        <v>7</v>
      </c>
      <c r="C466">
        <v>60</v>
      </c>
      <c r="D466" t="s">
        <v>118</v>
      </c>
      <c r="E466" s="1">
        <v>46056</v>
      </c>
      <c r="F466" s="1">
        <v>46065</v>
      </c>
      <c r="G466" s="1">
        <v>46081</v>
      </c>
      <c r="H466">
        <v>424</v>
      </c>
      <c r="I466">
        <v>407</v>
      </c>
      <c r="J466">
        <v>109.93</v>
      </c>
      <c r="K466" t="s">
        <v>464</v>
      </c>
      <c r="L466">
        <f t="shared" si="21"/>
        <v>25</v>
      </c>
      <c r="M466" t="str">
        <f>_xlfn.XLOOKUP(B466,suppliers!A:A,suppliers!B:B)</f>
        <v>Summit Trading</v>
      </c>
      <c r="N466" t="str">
        <f t="shared" si="22"/>
        <v>Late</v>
      </c>
      <c r="O466">
        <f t="shared" si="23"/>
        <v>0.96</v>
      </c>
    </row>
    <row r="467" spans="1:15">
      <c r="A467">
        <v>5466</v>
      </c>
      <c r="B467">
        <v>3</v>
      </c>
      <c r="C467">
        <v>148</v>
      </c>
      <c r="D467" t="s">
        <v>122</v>
      </c>
      <c r="E467" s="1">
        <v>45993</v>
      </c>
      <c r="F467" s="1">
        <v>46013</v>
      </c>
      <c r="G467" s="1">
        <v>46030</v>
      </c>
      <c r="H467">
        <v>34</v>
      </c>
      <c r="I467">
        <v>21</v>
      </c>
      <c r="J467">
        <v>103.03</v>
      </c>
      <c r="K467" t="s">
        <v>462</v>
      </c>
      <c r="L467">
        <f t="shared" si="21"/>
        <v>37</v>
      </c>
      <c r="M467" t="str">
        <f>_xlfn.XLOOKUP(B467,suppliers!A:A,suppliers!B:B)</f>
        <v>PrimeSource</v>
      </c>
      <c r="N467" t="str">
        <f t="shared" si="22"/>
        <v>Late</v>
      </c>
      <c r="O467">
        <f t="shared" si="23"/>
        <v>0.62</v>
      </c>
    </row>
    <row r="468" spans="1:15">
      <c r="A468">
        <v>5467</v>
      </c>
      <c r="B468">
        <v>2</v>
      </c>
      <c r="C468">
        <v>37</v>
      </c>
      <c r="D468" t="s">
        <v>121</v>
      </c>
      <c r="E468" s="1">
        <v>46030</v>
      </c>
      <c r="F468" s="1">
        <v>46044</v>
      </c>
      <c r="G468" s="1">
        <v>46049</v>
      </c>
      <c r="H468">
        <v>440</v>
      </c>
      <c r="I468">
        <v>397</v>
      </c>
      <c r="J468">
        <v>146.62</v>
      </c>
      <c r="K468" t="s">
        <v>463</v>
      </c>
      <c r="L468">
        <f t="shared" si="21"/>
        <v>19</v>
      </c>
      <c r="M468" t="str">
        <f>_xlfn.XLOOKUP(B468,suppliers!A:A,suppliers!B:B)</f>
        <v>Global Goods</v>
      </c>
      <c r="N468" t="str">
        <f t="shared" si="22"/>
        <v>Late</v>
      </c>
      <c r="O468">
        <f t="shared" si="23"/>
        <v>0.9</v>
      </c>
    </row>
    <row r="469" spans="1:15">
      <c r="A469">
        <v>5468</v>
      </c>
      <c r="B469">
        <v>6</v>
      </c>
      <c r="C469">
        <v>114</v>
      </c>
      <c r="D469" t="s">
        <v>118</v>
      </c>
      <c r="E469" s="1">
        <v>46044</v>
      </c>
      <c r="F469" s="1">
        <v>46060</v>
      </c>
      <c r="G469" s="1">
        <v>46066</v>
      </c>
      <c r="H469">
        <v>212</v>
      </c>
      <c r="I469">
        <v>181</v>
      </c>
      <c r="J469">
        <v>214.93</v>
      </c>
      <c r="K469" t="s">
        <v>462</v>
      </c>
      <c r="L469">
        <f t="shared" si="21"/>
        <v>22</v>
      </c>
      <c r="M469" t="str">
        <f>_xlfn.XLOOKUP(B469,suppliers!A:A,suppliers!B:B)</f>
        <v>Evergreen Imports</v>
      </c>
      <c r="N469" t="str">
        <f t="shared" si="22"/>
        <v>Late</v>
      </c>
      <c r="O469">
        <f t="shared" si="23"/>
        <v>0.85</v>
      </c>
    </row>
    <row r="470" spans="1:15">
      <c r="A470">
        <v>5469</v>
      </c>
      <c r="B470">
        <v>6</v>
      </c>
      <c r="C470">
        <v>71</v>
      </c>
      <c r="D470" t="s">
        <v>119</v>
      </c>
      <c r="E470" s="1">
        <v>46104</v>
      </c>
      <c r="F470" s="1">
        <v>46114</v>
      </c>
      <c r="G470" s="1">
        <v>46122</v>
      </c>
      <c r="H470">
        <v>494</v>
      </c>
      <c r="I470">
        <v>447</v>
      </c>
      <c r="J470">
        <v>156.24</v>
      </c>
      <c r="K470" t="s">
        <v>462</v>
      </c>
      <c r="L470">
        <f t="shared" si="21"/>
        <v>18</v>
      </c>
      <c r="M470" t="str">
        <f>_xlfn.XLOOKUP(B470,suppliers!A:A,suppliers!B:B)</f>
        <v>Evergreen Imports</v>
      </c>
      <c r="N470" t="str">
        <f t="shared" si="22"/>
        <v>Late</v>
      </c>
      <c r="O470">
        <f t="shared" si="23"/>
        <v>0.9</v>
      </c>
    </row>
    <row r="471" spans="1:15">
      <c r="A471">
        <v>5470</v>
      </c>
      <c r="B471">
        <v>1</v>
      </c>
      <c r="C471">
        <v>135</v>
      </c>
      <c r="D471" t="s">
        <v>118</v>
      </c>
      <c r="E471" s="1">
        <v>46067</v>
      </c>
      <c r="F471" s="1">
        <v>46087</v>
      </c>
      <c r="G471" s="1">
        <v>46091</v>
      </c>
      <c r="H471">
        <v>164</v>
      </c>
      <c r="I471">
        <v>137</v>
      </c>
      <c r="J471">
        <v>47.02</v>
      </c>
      <c r="K471" t="s">
        <v>464</v>
      </c>
      <c r="L471">
        <f t="shared" si="21"/>
        <v>24</v>
      </c>
      <c r="M471" t="str">
        <f>_xlfn.XLOOKUP(B471,suppliers!A:A,suppliers!B:B)</f>
        <v>Acme Supply</v>
      </c>
      <c r="N471" t="str">
        <f t="shared" si="22"/>
        <v>Late</v>
      </c>
      <c r="O471">
        <f t="shared" si="23"/>
        <v>0.84</v>
      </c>
    </row>
    <row r="472" spans="1:15">
      <c r="A472">
        <v>5471</v>
      </c>
      <c r="B472">
        <v>2</v>
      </c>
      <c r="C472">
        <v>122</v>
      </c>
      <c r="D472" t="s">
        <v>117</v>
      </c>
      <c r="E472" s="1">
        <v>46128</v>
      </c>
      <c r="F472" s="1">
        <v>46139</v>
      </c>
      <c r="G472" s="1">
        <v>46145</v>
      </c>
      <c r="H472">
        <v>330</v>
      </c>
      <c r="I472">
        <v>318</v>
      </c>
      <c r="J472">
        <v>187.97</v>
      </c>
      <c r="K472" t="s">
        <v>463</v>
      </c>
      <c r="L472">
        <f t="shared" si="21"/>
        <v>17</v>
      </c>
      <c r="M472" t="str">
        <f>_xlfn.XLOOKUP(B472,suppliers!A:A,suppliers!B:B)</f>
        <v>Global Goods</v>
      </c>
      <c r="N472" t="str">
        <f t="shared" si="22"/>
        <v>Late</v>
      </c>
      <c r="O472">
        <f t="shared" si="23"/>
        <v>0.96</v>
      </c>
    </row>
    <row r="473" spans="1:15">
      <c r="A473">
        <v>5472</v>
      </c>
      <c r="B473">
        <v>3</v>
      </c>
      <c r="C473">
        <v>123</v>
      </c>
      <c r="D473" t="s">
        <v>119</v>
      </c>
      <c r="E473" s="1">
        <v>46092</v>
      </c>
      <c r="F473" s="1">
        <v>46116</v>
      </c>
      <c r="G473" s="1">
        <v>46118</v>
      </c>
      <c r="H473">
        <v>468</v>
      </c>
      <c r="I473">
        <v>419</v>
      </c>
      <c r="J473">
        <v>128.44</v>
      </c>
      <c r="K473" t="s">
        <v>462</v>
      </c>
      <c r="L473">
        <f t="shared" si="21"/>
        <v>26</v>
      </c>
      <c r="M473" t="str">
        <f>_xlfn.XLOOKUP(B473,suppliers!A:A,suppliers!B:B)</f>
        <v>PrimeSource</v>
      </c>
      <c r="N473" t="str">
        <f t="shared" si="22"/>
        <v>Late</v>
      </c>
      <c r="O473">
        <f t="shared" si="23"/>
        <v>0.9</v>
      </c>
    </row>
    <row r="474" spans="1:15">
      <c r="A474">
        <v>5473</v>
      </c>
      <c r="B474">
        <v>5</v>
      </c>
      <c r="C474">
        <v>125</v>
      </c>
      <c r="D474" t="s">
        <v>118</v>
      </c>
      <c r="E474" s="1">
        <v>46091</v>
      </c>
      <c r="F474" s="1">
        <v>46112</v>
      </c>
      <c r="G474" t="s">
        <v>145</v>
      </c>
      <c r="H474">
        <v>584</v>
      </c>
      <c r="I474">
        <v>0</v>
      </c>
      <c r="J474">
        <v>75.430000000000007</v>
      </c>
      <c r="K474" t="s">
        <v>464</v>
      </c>
      <c r="L474" t="str">
        <f t="shared" si="21"/>
        <v/>
      </c>
      <c r="M474" t="str">
        <f>_xlfn.XLOOKUP(B474,suppliers!A:A,suppliers!B:B)</f>
        <v>Utah Wholesale</v>
      </c>
      <c r="N474" t="str">
        <f t="shared" si="22"/>
        <v>Late</v>
      </c>
      <c r="O474">
        <f t="shared" si="23"/>
        <v>0</v>
      </c>
    </row>
    <row r="475" spans="1:15">
      <c r="A475">
        <v>5474</v>
      </c>
      <c r="B475">
        <v>1</v>
      </c>
      <c r="C475">
        <v>69</v>
      </c>
      <c r="D475" t="s">
        <v>121</v>
      </c>
      <c r="E475" s="1">
        <v>46087</v>
      </c>
      <c r="F475" s="1">
        <v>46127</v>
      </c>
      <c r="G475" s="1">
        <v>46125</v>
      </c>
      <c r="H475">
        <v>298</v>
      </c>
      <c r="I475">
        <v>279</v>
      </c>
      <c r="J475">
        <v>194.05</v>
      </c>
      <c r="K475" t="s">
        <v>462</v>
      </c>
      <c r="L475">
        <f t="shared" si="21"/>
        <v>38</v>
      </c>
      <c r="M475" t="str">
        <f>_xlfn.XLOOKUP(B475,suppliers!A:A,suppliers!B:B)</f>
        <v>Acme Supply</v>
      </c>
      <c r="N475" t="str">
        <f t="shared" si="22"/>
        <v>On time</v>
      </c>
      <c r="O475">
        <f t="shared" si="23"/>
        <v>0.94</v>
      </c>
    </row>
    <row r="476" spans="1:15">
      <c r="A476">
        <v>5475</v>
      </c>
      <c r="B476">
        <v>5</v>
      </c>
      <c r="C476">
        <v>6</v>
      </c>
      <c r="D476" t="s">
        <v>120</v>
      </c>
      <c r="E476" s="1">
        <v>46009</v>
      </c>
      <c r="F476" s="1">
        <v>46052</v>
      </c>
      <c r="G476" t="s">
        <v>145</v>
      </c>
      <c r="H476">
        <v>129</v>
      </c>
      <c r="I476">
        <v>0</v>
      </c>
      <c r="J476">
        <v>20.76</v>
      </c>
      <c r="K476" t="s">
        <v>463</v>
      </c>
      <c r="L476" t="str">
        <f t="shared" si="21"/>
        <v/>
      </c>
      <c r="M476" t="str">
        <f>_xlfn.XLOOKUP(B476,suppliers!A:A,suppliers!B:B)</f>
        <v>Utah Wholesale</v>
      </c>
      <c r="N476" t="str">
        <f t="shared" si="22"/>
        <v>Late</v>
      </c>
      <c r="O476">
        <f t="shared" si="23"/>
        <v>0</v>
      </c>
    </row>
    <row r="477" spans="1:15">
      <c r="A477">
        <v>5476</v>
      </c>
      <c r="B477">
        <v>7</v>
      </c>
      <c r="C477">
        <v>63</v>
      </c>
      <c r="D477" t="s">
        <v>117</v>
      </c>
      <c r="E477" s="1">
        <v>46135</v>
      </c>
      <c r="F477" s="1">
        <v>46178</v>
      </c>
      <c r="G477" s="1">
        <v>46189</v>
      </c>
      <c r="H477">
        <v>963</v>
      </c>
      <c r="I477">
        <v>930</v>
      </c>
      <c r="J477">
        <v>30.34</v>
      </c>
      <c r="K477" t="s">
        <v>464</v>
      </c>
      <c r="L477">
        <f t="shared" si="21"/>
        <v>54</v>
      </c>
      <c r="M477" t="str">
        <f>_xlfn.XLOOKUP(B477,suppliers!A:A,suppliers!B:B)</f>
        <v>Summit Trading</v>
      </c>
      <c r="N477" t="str">
        <f t="shared" si="22"/>
        <v>Late</v>
      </c>
      <c r="O477">
        <f t="shared" si="23"/>
        <v>0.97</v>
      </c>
    </row>
    <row r="478" spans="1:15">
      <c r="A478">
        <v>5477</v>
      </c>
      <c r="B478">
        <v>1</v>
      </c>
      <c r="C478">
        <v>39</v>
      </c>
      <c r="D478" t="s">
        <v>122</v>
      </c>
      <c r="E478" s="1">
        <v>45998</v>
      </c>
      <c r="F478" s="1">
        <v>46025</v>
      </c>
      <c r="G478" s="1">
        <v>46044</v>
      </c>
      <c r="H478">
        <v>587</v>
      </c>
      <c r="I478">
        <v>587</v>
      </c>
      <c r="J478">
        <v>43.17</v>
      </c>
      <c r="K478" t="s">
        <v>462</v>
      </c>
      <c r="L478">
        <f t="shared" si="21"/>
        <v>46</v>
      </c>
      <c r="M478" t="str">
        <f>_xlfn.XLOOKUP(B478,suppliers!A:A,suppliers!B:B)</f>
        <v>Acme Supply</v>
      </c>
      <c r="N478" t="str">
        <f t="shared" si="22"/>
        <v>Late</v>
      </c>
      <c r="O478">
        <f t="shared" si="23"/>
        <v>1</v>
      </c>
    </row>
    <row r="479" spans="1:15">
      <c r="A479">
        <v>5478</v>
      </c>
      <c r="B479">
        <v>5</v>
      </c>
      <c r="C479">
        <v>50</v>
      </c>
      <c r="D479" t="s">
        <v>120</v>
      </c>
      <c r="E479" s="1">
        <v>46040</v>
      </c>
      <c r="F479" s="1">
        <v>46053</v>
      </c>
      <c r="G479" s="1">
        <v>46071</v>
      </c>
      <c r="H479">
        <v>802</v>
      </c>
      <c r="I479">
        <v>765</v>
      </c>
      <c r="J479">
        <v>33.26</v>
      </c>
      <c r="K479" t="s">
        <v>462</v>
      </c>
      <c r="L479">
        <f t="shared" si="21"/>
        <v>31</v>
      </c>
      <c r="M479" t="str">
        <f>_xlfn.XLOOKUP(B479,suppliers!A:A,suppliers!B:B)</f>
        <v>Utah Wholesale</v>
      </c>
      <c r="N479" t="str">
        <f t="shared" si="22"/>
        <v>Late</v>
      </c>
      <c r="O479">
        <f t="shared" si="23"/>
        <v>0.95</v>
      </c>
    </row>
    <row r="480" spans="1:15">
      <c r="A480">
        <v>5479</v>
      </c>
      <c r="B480">
        <v>1</v>
      </c>
      <c r="C480">
        <v>103</v>
      </c>
      <c r="D480" t="s">
        <v>118</v>
      </c>
      <c r="E480" s="1">
        <v>46137</v>
      </c>
      <c r="F480" s="1">
        <v>46180</v>
      </c>
      <c r="G480" s="1">
        <v>46187</v>
      </c>
      <c r="H480">
        <v>503</v>
      </c>
      <c r="I480">
        <v>483</v>
      </c>
      <c r="J480">
        <v>160.54</v>
      </c>
      <c r="K480" t="s">
        <v>464</v>
      </c>
      <c r="L480">
        <f t="shared" si="21"/>
        <v>50</v>
      </c>
      <c r="M480" t="str">
        <f>_xlfn.XLOOKUP(B480,suppliers!A:A,suppliers!B:B)</f>
        <v>Acme Supply</v>
      </c>
      <c r="N480" t="str">
        <f t="shared" si="22"/>
        <v>Late</v>
      </c>
      <c r="O480">
        <f t="shared" si="23"/>
        <v>0.96</v>
      </c>
    </row>
    <row r="481" spans="1:15">
      <c r="A481">
        <v>5480</v>
      </c>
      <c r="B481">
        <v>3</v>
      </c>
      <c r="C481">
        <v>87</v>
      </c>
      <c r="D481" t="s">
        <v>117</v>
      </c>
      <c r="E481" s="1">
        <v>46084</v>
      </c>
      <c r="F481" s="1">
        <v>46121</v>
      </c>
      <c r="G481" s="1">
        <v>46133</v>
      </c>
      <c r="H481">
        <v>361</v>
      </c>
      <c r="I481">
        <v>326</v>
      </c>
      <c r="J481">
        <v>32.880000000000003</v>
      </c>
      <c r="K481" t="s">
        <v>464</v>
      </c>
      <c r="L481">
        <f t="shared" si="21"/>
        <v>49</v>
      </c>
      <c r="M481" t="str">
        <f>_xlfn.XLOOKUP(B481,suppliers!A:A,suppliers!B:B)</f>
        <v>PrimeSource</v>
      </c>
      <c r="N481" t="str">
        <f t="shared" si="22"/>
        <v>Late</v>
      </c>
      <c r="O481">
        <f t="shared" si="23"/>
        <v>0.9</v>
      </c>
    </row>
    <row r="482" spans="1:15">
      <c r="A482">
        <v>5481</v>
      </c>
      <c r="B482">
        <v>5</v>
      </c>
      <c r="C482">
        <v>20</v>
      </c>
      <c r="D482" t="s">
        <v>118</v>
      </c>
      <c r="E482" s="1">
        <v>46019</v>
      </c>
      <c r="F482" s="1">
        <v>46062</v>
      </c>
      <c r="G482" s="1">
        <v>46064</v>
      </c>
      <c r="H482">
        <v>440</v>
      </c>
      <c r="I482">
        <v>411</v>
      </c>
      <c r="J482">
        <v>148.74</v>
      </c>
      <c r="K482" t="s">
        <v>462</v>
      </c>
      <c r="L482">
        <f t="shared" si="21"/>
        <v>45</v>
      </c>
      <c r="M482" t="str">
        <f>_xlfn.XLOOKUP(B482,suppliers!A:A,suppliers!B:B)</f>
        <v>Utah Wholesale</v>
      </c>
      <c r="N482" t="str">
        <f t="shared" si="22"/>
        <v>Late</v>
      </c>
      <c r="O482">
        <f t="shared" si="23"/>
        <v>0.93</v>
      </c>
    </row>
    <row r="483" spans="1:15">
      <c r="A483">
        <v>5482</v>
      </c>
      <c r="B483">
        <v>8</v>
      </c>
      <c r="C483">
        <v>137</v>
      </c>
      <c r="D483" t="s">
        <v>118</v>
      </c>
      <c r="E483" s="1">
        <v>46011</v>
      </c>
      <c r="F483" s="1">
        <v>46024</v>
      </c>
      <c r="G483" s="1">
        <v>46036</v>
      </c>
      <c r="H483">
        <v>471</v>
      </c>
      <c r="I483">
        <v>424</v>
      </c>
      <c r="J483">
        <v>41.81</v>
      </c>
      <c r="K483" t="s">
        <v>462</v>
      </c>
      <c r="L483">
        <f t="shared" si="21"/>
        <v>25</v>
      </c>
      <c r="M483" t="str">
        <f>_xlfn.XLOOKUP(B483,suppliers!A:A,suppliers!B:B)</f>
        <v>Metro Logistics</v>
      </c>
      <c r="N483" t="str">
        <f t="shared" si="22"/>
        <v>Late</v>
      </c>
      <c r="O483">
        <f t="shared" si="23"/>
        <v>0.9</v>
      </c>
    </row>
    <row r="484" spans="1:15">
      <c r="A484">
        <v>5483</v>
      </c>
      <c r="B484">
        <v>7</v>
      </c>
      <c r="C484">
        <v>56</v>
      </c>
      <c r="D484" t="s">
        <v>119</v>
      </c>
      <c r="E484" s="1">
        <v>46087</v>
      </c>
      <c r="F484" s="1">
        <v>46100</v>
      </c>
      <c r="G484" s="1">
        <v>46095</v>
      </c>
      <c r="H484">
        <v>960</v>
      </c>
      <c r="I484">
        <v>943</v>
      </c>
      <c r="J484">
        <v>146.16999999999999</v>
      </c>
      <c r="K484" t="s">
        <v>464</v>
      </c>
      <c r="L484">
        <f t="shared" si="21"/>
        <v>8</v>
      </c>
      <c r="M484" t="str">
        <f>_xlfn.XLOOKUP(B484,suppliers!A:A,suppliers!B:B)</f>
        <v>Summit Trading</v>
      </c>
      <c r="N484" t="str">
        <f t="shared" si="22"/>
        <v>On time</v>
      </c>
      <c r="O484">
        <f t="shared" si="23"/>
        <v>0.98</v>
      </c>
    </row>
    <row r="485" spans="1:15">
      <c r="A485">
        <v>5484</v>
      </c>
      <c r="B485">
        <v>4</v>
      </c>
      <c r="C485">
        <v>116</v>
      </c>
      <c r="D485" t="s">
        <v>120</v>
      </c>
      <c r="E485" s="1">
        <v>46046</v>
      </c>
      <c r="F485" s="1">
        <v>46058</v>
      </c>
      <c r="G485" s="1">
        <v>46060</v>
      </c>
      <c r="H485">
        <v>646</v>
      </c>
      <c r="I485">
        <v>596</v>
      </c>
      <c r="J485">
        <v>153.83000000000001</v>
      </c>
      <c r="K485" t="s">
        <v>464</v>
      </c>
      <c r="L485">
        <f t="shared" si="21"/>
        <v>14</v>
      </c>
      <c r="M485" t="str">
        <f>_xlfn.XLOOKUP(B485,suppliers!A:A,suppliers!B:B)</f>
        <v>Blue Ridge</v>
      </c>
      <c r="N485" t="str">
        <f t="shared" si="22"/>
        <v>Late</v>
      </c>
      <c r="O485">
        <f t="shared" si="23"/>
        <v>0.92</v>
      </c>
    </row>
    <row r="486" spans="1:15">
      <c r="A486">
        <v>5485</v>
      </c>
      <c r="B486">
        <v>2</v>
      </c>
      <c r="C486">
        <v>138</v>
      </c>
      <c r="D486" t="s">
        <v>119</v>
      </c>
      <c r="E486" s="1">
        <v>46054</v>
      </c>
      <c r="F486" s="1">
        <v>46063</v>
      </c>
      <c r="G486" s="1">
        <v>46066</v>
      </c>
      <c r="H486">
        <v>574</v>
      </c>
      <c r="I486">
        <v>543</v>
      </c>
      <c r="J486">
        <v>70.099999999999994</v>
      </c>
      <c r="K486" t="s">
        <v>462</v>
      </c>
      <c r="L486">
        <f t="shared" si="21"/>
        <v>12</v>
      </c>
      <c r="M486" t="str">
        <f>_xlfn.XLOOKUP(B486,suppliers!A:A,suppliers!B:B)</f>
        <v>Global Goods</v>
      </c>
      <c r="N486" t="str">
        <f t="shared" si="22"/>
        <v>Late</v>
      </c>
      <c r="O486">
        <f t="shared" si="23"/>
        <v>0.95</v>
      </c>
    </row>
    <row r="487" spans="1:15">
      <c r="A487">
        <v>5486</v>
      </c>
      <c r="B487">
        <v>5</v>
      </c>
      <c r="C487">
        <v>106</v>
      </c>
      <c r="D487" t="s">
        <v>117</v>
      </c>
      <c r="E487" s="1">
        <v>46077</v>
      </c>
      <c r="F487" s="1">
        <v>46090</v>
      </c>
      <c r="G487" s="1">
        <v>46103</v>
      </c>
      <c r="H487">
        <v>254</v>
      </c>
      <c r="I487">
        <v>210</v>
      </c>
      <c r="J487">
        <v>71.47</v>
      </c>
      <c r="K487" t="s">
        <v>463</v>
      </c>
      <c r="L487">
        <f t="shared" si="21"/>
        <v>26</v>
      </c>
      <c r="M487" t="str">
        <f>_xlfn.XLOOKUP(B487,suppliers!A:A,suppliers!B:B)</f>
        <v>Utah Wholesale</v>
      </c>
      <c r="N487" t="str">
        <f t="shared" si="22"/>
        <v>Late</v>
      </c>
      <c r="O487">
        <f t="shared" si="23"/>
        <v>0.83</v>
      </c>
    </row>
    <row r="488" spans="1:15">
      <c r="A488">
        <v>5487</v>
      </c>
      <c r="B488">
        <v>6</v>
      </c>
      <c r="C488">
        <v>92</v>
      </c>
      <c r="D488" t="s">
        <v>119</v>
      </c>
      <c r="E488" s="1">
        <v>46108</v>
      </c>
      <c r="F488" s="1">
        <v>46150</v>
      </c>
      <c r="G488" s="1">
        <v>46145</v>
      </c>
      <c r="H488">
        <v>776</v>
      </c>
      <c r="I488">
        <v>734</v>
      </c>
      <c r="J488">
        <v>72.25</v>
      </c>
      <c r="K488" t="s">
        <v>463</v>
      </c>
      <c r="L488">
        <f t="shared" si="21"/>
        <v>37</v>
      </c>
      <c r="M488" t="str">
        <f>_xlfn.XLOOKUP(B488,suppliers!A:A,suppliers!B:B)</f>
        <v>Evergreen Imports</v>
      </c>
      <c r="N488" t="str">
        <f t="shared" si="22"/>
        <v>On time</v>
      </c>
      <c r="O488">
        <f t="shared" si="23"/>
        <v>0.95</v>
      </c>
    </row>
    <row r="489" spans="1:15">
      <c r="A489">
        <v>5488</v>
      </c>
      <c r="B489">
        <v>5</v>
      </c>
      <c r="C489">
        <v>50</v>
      </c>
      <c r="D489" t="s">
        <v>118</v>
      </c>
      <c r="E489" s="1">
        <v>46037</v>
      </c>
      <c r="F489" s="1">
        <v>46054</v>
      </c>
      <c r="G489" s="1">
        <v>46050</v>
      </c>
      <c r="H489">
        <v>770</v>
      </c>
      <c r="I489">
        <v>758</v>
      </c>
      <c r="J489">
        <v>30.06</v>
      </c>
      <c r="K489" t="s">
        <v>462</v>
      </c>
      <c r="L489">
        <f t="shared" si="21"/>
        <v>13</v>
      </c>
      <c r="M489" t="str">
        <f>_xlfn.XLOOKUP(B489,suppliers!A:A,suppliers!B:B)</f>
        <v>Utah Wholesale</v>
      </c>
      <c r="N489" t="str">
        <f t="shared" si="22"/>
        <v>On time</v>
      </c>
      <c r="O489">
        <f t="shared" si="23"/>
        <v>0.98</v>
      </c>
    </row>
    <row r="490" spans="1:15">
      <c r="A490">
        <v>5489</v>
      </c>
      <c r="B490">
        <v>3</v>
      </c>
      <c r="C490">
        <v>76</v>
      </c>
      <c r="D490" t="s">
        <v>119</v>
      </c>
      <c r="E490" s="1">
        <v>46110</v>
      </c>
      <c r="F490" s="1">
        <v>46120</v>
      </c>
      <c r="G490" s="1">
        <v>46122</v>
      </c>
      <c r="H490">
        <v>653</v>
      </c>
      <c r="I490">
        <v>607</v>
      </c>
      <c r="J490">
        <v>111.38</v>
      </c>
      <c r="K490" t="s">
        <v>462</v>
      </c>
      <c r="L490">
        <f t="shared" si="21"/>
        <v>12</v>
      </c>
      <c r="M490" t="str">
        <f>_xlfn.XLOOKUP(B490,suppliers!A:A,suppliers!B:B)</f>
        <v>PrimeSource</v>
      </c>
      <c r="N490" t="str">
        <f t="shared" si="22"/>
        <v>Late</v>
      </c>
      <c r="O490">
        <f t="shared" si="23"/>
        <v>0.93</v>
      </c>
    </row>
    <row r="491" spans="1:15">
      <c r="A491">
        <v>5490</v>
      </c>
      <c r="B491">
        <v>8</v>
      </c>
      <c r="C491">
        <v>94</v>
      </c>
      <c r="D491" t="s">
        <v>117</v>
      </c>
      <c r="E491" s="1">
        <v>46069</v>
      </c>
      <c r="F491" s="1">
        <v>46103</v>
      </c>
      <c r="G491" s="1">
        <v>46100</v>
      </c>
      <c r="H491">
        <v>873</v>
      </c>
      <c r="I491">
        <v>849</v>
      </c>
      <c r="J491">
        <v>142.21</v>
      </c>
      <c r="K491" t="s">
        <v>464</v>
      </c>
      <c r="L491">
        <f t="shared" si="21"/>
        <v>31</v>
      </c>
      <c r="M491" t="str">
        <f>_xlfn.XLOOKUP(B491,suppliers!A:A,suppliers!B:B)</f>
        <v>Metro Logistics</v>
      </c>
      <c r="N491" t="str">
        <f t="shared" si="22"/>
        <v>On time</v>
      </c>
      <c r="O491">
        <f t="shared" si="23"/>
        <v>0.97</v>
      </c>
    </row>
    <row r="492" spans="1:15">
      <c r="A492">
        <v>5491</v>
      </c>
      <c r="B492">
        <v>4</v>
      </c>
      <c r="C492">
        <v>44</v>
      </c>
      <c r="D492" t="s">
        <v>119</v>
      </c>
      <c r="E492" s="1">
        <v>46088</v>
      </c>
      <c r="F492" s="1">
        <v>46097</v>
      </c>
      <c r="G492" s="1">
        <v>46113</v>
      </c>
      <c r="H492">
        <v>883</v>
      </c>
      <c r="I492">
        <v>878</v>
      </c>
      <c r="J492">
        <v>20.51</v>
      </c>
      <c r="K492" t="s">
        <v>462</v>
      </c>
      <c r="L492">
        <f t="shared" si="21"/>
        <v>25</v>
      </c>
      <c r="M492" t="str">
        <f>_xlfn.XLOOKUP(B492,suppliers!A:A,suppliers!B:B)</f>
        <v>Blue Ridge</v>
      </c>
      <c r="N492" t="str">
        <f t="shared" si="22"/>
        <v>Late</v>
      </c>
      <c r="O492">
        <f t="shared" si="23"/>
        <v>0.99</v>
      </c>
    </row>
    <row r="493" spans="1:15">
      <c r="A493">
        <v>5492</v>
      </c>
      <c r="B493">
        <v>3</v>
      </c>
      <c r="C493">
        <v>55</v>
      </c>
      <c r="D493" t="s">
        <v>118</v>
      </c>
      <c r="E493" s="1">
        <v>46011</v>
      </c>
      <c r="F493" s="1">
        <v>46027</v>
      </c>
      <c r="G493" s="1">
        <v>46035</v>
      </c>
      <c r="H493">
        <v>254</v>
      </c>
      <c r="I493">
        <v>237</v>
      </c>
      <c r="J493">
        <v>14.37</v>
      </c>
      <c r="K493" t="s">
        <v>464</v>
      </c>
      <c r="L493">
        <f t="shared" si="21"/>
        <v>24</v>
      </c>
      <c r="M493" t="str">
        <f>_xlfn.XLOOKUP(B493,suppliers!A:A,suppliers!B:B)</f>
        <v>PrimeSource</v>
      </c>
      <c r="N493" t="str">
        <f t="shared" si="22"/>
        <v>Late</v>
      </c>
      <c r="O493">
        <f t="shared" si="23"/>
        <v>0.93</v>
      </c>
    </row>
    <row r="494" spans="1:15">
      <c r="A494">
        <v>5493</v>
      </c>
      <c r="B494">
        <v>5</v>
      </c>
      <c r="C494">
        <v>143</v>
      </c>
      <c r="D494" t="s">
        <v>118</v>
      </c>
      <c r="E494" s="1">
        <v>46128</v>
      </c>
      <c r="F494" s="1">
        <v>46172</v>
      </c>
      <c r="G494" s="1">
        <v>46185</v>
      </c>
      <c r="H494">
        <v>357</v>
      </c>
      <c r="I494">
        <v>319</v>
      </c>
      <c r="J494">
        <v>48.93</v>
      </c>
      <c r="K494" t="s">
        <v>464</v>
      </c>
      <c r="L494">
        <f t="shared" si="21"/>
        <v>57</v>
      </c>
      <c r="M494" t="str">
        <f>_xlfn.XLOOKUP(B494,suppliers!A:A,suppliers!B:B)</f>
        <v>Utah Wholesale</v>
      </c>
      <c r="N494" t="str">
        <f t="shared" si="22"/>
        <v>Late</v>
      </c>
      <c r="O494">
        <f t="shared" si="23"/>
        <v>0.89</v>
      </c>
    </row>
    <row r="495" spans="1:15">
      <c r="A495">
        <v>5494</v>
      </c>
      <c r="B495">
        <v>3</v>
      </c>
      <c r="C495">
        <v>146</v>
      </c>
      <c r="D495" t="s">
        <v>120</v>
      </c>
      <c r="E495" s="1">
        <v>46048</v>
      </c>
      <c r="F495" s="1">
        <v>46083</v>
      </c>
      <c r="G495" s="1">
        <v>46097</v>
      </c>
      <c r="H495">
        <v>876</v>
      </c>
      <c r="I495">
        <v>856</v>
      </c>
      <c r="J495">
        <v>199.4</v>
      </c>
      <c r="K495" t="s">
        <v>463</v>
      </c>
      <c r="L495">
        <f t="shared" si="21"/>
        <v>49</v>
      </c>
      <c r="M495" t="str">
        <f>_xlfn.XLOOKUP(B495,suppliers!A:A,suppliers!B:B)</f>
        <v>PrimeSource</v>
      </c>
      <c r="N495" t="str">
        <f t="shared" si="22"/>
        <v>Late</v>
      </c>
      <c r="O495">
        <f t="shared" si="23"/>
        <v>0.98</v>
      </c>
    </row>
    <row r="496" spans="1:15">
      <c r="A496">
        <v>5495</v>
      </c>
      <c r="B496">
        <v>3</v>
      </c>
      <c r="C496">
        <v>55</v>
      </c>
      <c r="D496" t="s">
        <v>119</v>
      </c>
      <c r="E496" s="1">
        <v>45998</v>
      </c>
      <c r="F496" s="1">
        <v>46017</v>
      </c>
      <c r="G496" s="1">
        <v>46024</v>
      </c>
      <c r="H496">
        <v>811</v>
      </c>
      <c r="I496">
        <v>774</v>
      </c>
      <c r="J496">
        <v>13.54</v>
      </c>
      <c r="K496" t="s">
        <v>464</v>
      </c>
      <c r="L496">
        <f t="shared" si="21"/>
        <v>26</v>
      </c>
      <c r="M496" t="str">
        <f>_xlfn.XLOOKUP(B496,suppliers!A:A,suppliers!B:B)</f>
        <v>PrimeSource</v>
      </c>
      <c r="N496" t="str">
        <f t="shared" si="22"/>
        <v>Late</v>
      </c>
      <c r="O496">
        <f t="shared" si="23"/>
        <v>0.95</v>
      </c>
    </row>
    <row r="497" spans="1:15">
      <c r="A497">
        <v>5496</v>
      </c>
      <c r="B497">
        <v>7</v>
      </c>
      <c r="C497">
        <v>33</v>
      </c>
      <c r="D497" t="s">
        <v>121</v>
      </c>
      <c r="E497" s="1">
        <v>46006</v>
      </c>
      <c r="F497" s="1">
        <v>46027</v>
      </c>
      <c r="G497" s="1">
        <v>46039</v>
      </c>
      <c r="H497">
        <v>992</v>
      </c>
      <c r="I497">
        <v>962</v>
      </c>
      <c r="J497">
        <v>45.71</v>
      </c>
      <c r="K497" t="s">
        <v>462</v>
      </c>
      <c r="L497">
        <f t="shared" si="21"/>
        <v>33</v>
      </c>
      <c r="M497" t="str">
        <f>_xlfn.XLOOKUP(B497,suppliers!A:A,suppliers!B:B)</f>
        <v>Summit Trading</v>
      </c>
      <c r="N497" t="str">
        <f t="shared" si="22"/>
        <v>Late</v>
      </c>
      <c r="O497">
        <f t="shared" si="23"/>
        <v>0.97</v>
      </c>
    </row>
    <row r="498" spans="1:15">
      <c r="A498">
        <v>5497</v>
      </c>
      <c r="B498">
        <v>6</v>
      </c>
      <c r="C498">
        <v>149</v>
      </c>
      <c r="D498" t="s">
        <v>118</v>
      </c>
      <c r="E498" s="1">
        <v>46027</v>
      </c>
      <c r="F498" s="1">
        <v>46037</v>
      </c>
      <c r="G498" s="1">
        <v>46049</v>
      </c>
      <c r="H498">
        <v>916</v>
      </c>
      <c r="I498">
        <v>901</v>
      </c>
      <c r="J498">
        <v>132.19</v>
      </c>
      <c r="K498" t="s">
        <v>464</v>
      </c>
      <c r="L498">
        <f t="shared" si="21"/>
        <v>22</v>
      </c>
      <c r="M498" t="str">
        <f>_xlfn.XLOOKUP(B498,suppliers!A:A,suppliers!B:B)</f>
        <v>Evergreen Imports</v>
      </c>
      <c r="N498" t="str">
        <f t="shared" si="22"/>
        <v>Late</v>
      </c>
      <c r="O498">
        <f t="shared" si="23"/>
        <v>0.98</v>
      </c>
    </row>
    <row r="499" spans="1:15">
      <c r="A499">
        <v>5498</v>
      </c>
      <c r="B499">
        <v>5</v>
      </c>
      <c r="C499">
        <v>131</v>
      </c>
      <c r="D499" t="s">
        <v>121</v>
      </c>
      <c r="E499" s="1">
        <v>46132</v>
      </c>
      <c r="F499" s="1">
        <v>46143</v>
      </c>
      <c r="G499" s="1">
        <v>46155</v>
      </c>
      <c r="H499">
        <v>105</v>
      </c>
      <c r="I499">
        <v>100</v>
      </c>
      <c r="J499">
        <v>43.7</v>
      </c>
      <c r="K499" t="s">
        <v>463</v>
      </c>
      <c r="L499">
        <f t="shared" si="21"/>
        <v>23</v>
      </c>
      <c r="M499" t="str">
        <f>_xlfn.XLOOKUP(B499,suppliers!A:A,suppliers!B:B)</f>
        <v>Utah Wholesale</v>
      </c>
      <c r="N499" t="str">
        <f t="shared" si="22"/>
        <v>Late</v>
      </c>
      <c r="O499">
        <f t="shared" si="23"/>
        <v>0.95</v>
      </c>
    </row>
    <row r="500" spans="1:15">
      <c r="A500">
        <v>5499</v>
      </c>
      <c r="B500">
        <v>3</v>
      </c>
      <c r="C500">
        <v>67</v>
      </c>
      <c r="D500" t="s">
        <v>118</v>
      </c>
      <c r="E500" s="1">
        <v>46078</v>
      </c>
      <c r="F500" s="1">
        <v>46120</v>
      </c>
      <c r="G500" s="1">
        <v>46120</v>
      </c>
      <c r="H500">
        <v>65</v>
      </c>
      <c r="I500">
        <v>57</v>
      </c>
      <c r="J500">
        <v>25.71</v>
      </c>
      <c r="K500" t="s">
        <v>462</v>
      </c>
      <c r="L500">
        <f t="shared" si="21"/>
        <v>42</v>
      </c>
      <c r="M500" t="str">
        <f>_xlfn.XLOOKUP(B500,suppliers!A:A,suppliers!B:B)</f>
        <v>PrimeSource</v>
      </c>
      <c r="N500" t="str">
        <f t="shared" si="22"/>
        <v>Late</v>
      </c>
      <c r="O500">
        <f t="shared" si="23"/>
        <v>0.88</v>
      </c>
    </row>
    <row r="501" spans="1:15">
      <c r="A501">
        <v>5500</v>
      </c>
      <c r="B501">
        <v>3</v>
      </c>
      <c r="C501">
        <v>23</v>
      </c>
      <c r="D501" t="s">
        <v>121</v>
      </c>
      <c r="E501" s="1">
        <v>46125</v>
      </c>
      <c r="F501" s="1">
        <v>46141</v>
      </c>
      <c r="G501" s="1">
        <v>46138</v>
      </c>
      <c r="H501">
        <v>452</v>
      </c>
      <c r="I501">
        <v>447</v>
      </c>
      <c r="J501">
        <v>127.01</v>
      </c>
      <c r="K501" t="s">
        <v>463</v>
      </c>
      <c r="L501">
        <f t="shared" si="21"/>
        <v>13</v>
      </c>
      <c r="M501" t="str">
        <f>_xlfn.XLOOKUP(B501,suppliers!A:A,suppliers!B:B)</f>
        <v>PrimeSource</v>
      </c>
      <c r="N501" t="str">
        <f t="shared" si="22"/>
        <v>On time</v>
      </c>
      <c r="O501">
        <f t="shared" si="23"/>
        <v>0.99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C1EA-A14E-4788-87F7-FBB74BFA545E}">
  <dimension ref="A1:D9"/>
  <sheetViews>
    <sheetView workbookViewId="0">
      <selection activeCell="B2" sqref="B2"/>
    </sheetView>
  </sheetViews>
  <sheetFormatPr defaultRowHeight="15"/>
  <cols>
    <col min="1" max="1" width="12.85546875" bestFit="1" customWidth="1"/>
    <col min="2" max="2" width="17" bestFit="1" customWidth="1"/>
    <col min="3" max="3" width="18" bestFit="1" customWidth="1"/>
    <col min="4" max="4" width="17" bestFit="1" customWidth="1"/>
    <col min="19" max="19" width="10.5703125" bestFit="1" customWidth="1"/>
    <col min="20" max="20" width="17" bestFit="1" customWidth="1"/>
    <col min="21" max="21" width="15.7109375" bestFit="1" customWidth="1"/>
    <col min="22" max="22" width="14.7109375" bestFit="1" customWidth="1"/>
  </cols>
  <sheetData>
    <row r="1" spans="1:4">
      <c r="A1" t="s">
        <v>156</v>
      </c>
      <c r="B1" t="s">
        <v>18</v>
      </c>
      <c r="C1" t="s">
        <v>465</v>
      </c>
      <c r="D1" t="s">
        <v>466</v>
      </c>
    </row>
    <row r="2" spans="1:4">
      <c r="A2">
        <v>1</v>
      </c>
      <c r="B2" t="s">
        <v>467</v>
      </c>
      <c r="C2" t="s">
        <v>468</v>
      </c>
      <c r="D2" t="s">
        <v>469</v>
      </c>
    </row>
    <row r="3" spans="1:4">
      <c r="A3">
        <v>2</v>
      </c>
      <c r="B3" t="s">
        <v>470</v>
      </c>
      <c r="C3" t="s">
        <v>471</v>
      </c>
      <c r="D3" t="s">
        <v>469</v>
      </c>
    </row>
    <row r="4" spans="1:4">
      <c r="A4">
        <v>3</v>
      </c>
      <c r="B4" t="s">
        <v>472</v>
      </c>
      <c r="C4" t="s">
        <v>473</v>
      </c>
      <c r="D4" t="s">
        <v>474</v>
      </c>
    </row>
    <row r="5" spans="1:4">
      <c r="A5">
        <v>4</v>
      </c>
      <c r="B5" t="s">
        <v>475</v>
      </c>
      <c r="C5" t="s">
        <v>471</v>
      </c>
    </row>
    <row r="6" spans="1:4">
      <c r="A6">
        <v>5</v>
      </c>
      <c r="B6" t="s">
        <v>476</v>
      </c>
      <c r="C6" t="s">
        <v>477</v>
      </c>
      <c r="D6" t="s">
        <v>469</v>
      </c>
    </row>
    <row r="7" spans="1:4">
      <c r="A7">
        <v>6</v>
      </c>
      <c r="B7" t="s">
        <v>478</v>
      </c>
      <c r="C7" t="s">
        <v>473</v>
      </c>
      <c r="D7" t="s">
        <v>479</v>
      </c>
    </row>
    <row r="8" spans="1:4">
      <c r="A8">
        <v>7</v>
      </c>
      <c r="B8" t="s">
        <v>480</v>
      </c>
      <c r="C8" t="s">
        <v>481</v>
      </c>
      <c r="D8" t="s">
        <v>479</v>
      </c>
    </row>
    <row r="9" spans="1:4">
      <c r="A9">
        <v>8</v>
      </c>
      <c r="B9" t="s">
        <v>482</v>
      </c>
      <c r="C9" t="s">
        <v>471</v>
      </c>
      <c r="D9" t="s">
        <v>469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696F-0FA0-428E-A9B1-5E4265C39197}">
  <dimension ref="A1:J404"/>
  <sheetViews>
    <sheetView workbookViewId="0">
      <selection activeCell="J2" sqref="J2"/>
    </sheetView>
  </sheetViews>
  <sheetFormatPr defaultRowHeight="15"/>
  <cols>
    <col min="1" max="1" width="14" bestFit="1" customWidth="1"/>
    <col min="2" max="2" width="10.7109375" bestFit="1" customWidth="1"/>
    <col min="3" max="3" width="8.85546875" bestFit="1" customWidth="1"/>
    <col min="4" max="4" width="22.7109375" bestFit="1" customWidth="1"/>
    <col min="5" max="5" width="15" bestFit="1" customWidth="1"/>
    <col min="6" max="6" width="24.42578125" bestFit="1" customWidth="1"/>
    <col min="7" max="7" width="16.28515625" bestFit="1" customWidth="1"/>
    <col min="8" max="8" width="13.5703125" bestFit="1" customWidth="1"/>
    <col min="9" max="9" width="17.7109375" bestFit="1" customWidth="1"/>
    <col min="10" max="10" width="10.42578125" style="5" bestFit="1" customWidth="1"/>
  </cols>
  <sheetData>
    <row r="1" spans="1:10">
      <c r="A1" t="s">
        <v>483</v>
      </c>
      <c r="B1" t="s">
        <v>133</v>
      </c>
      <c r="C1" t="s">
        <v>28</v>
      </c>
      <c r="D1" t="s">
        <v>484</v>
      </c>
      <c r="E1" t="s">
        <v>485</v>
      </c>
      <c r="F1" t="s">
        <v>486</v>
      </c>
      <c r="G1" t="s">
        <v>487</v>
      </c>
      <c r="H1" t="s">
        <v>116</v>
      </c>
      <c r="I1" t="s">
        <v>38</v>
      </c>
      <c r="J1" s="5" t="s">
        <v>148</v>
      </c>
    </row>
    <row r="2" spans="1:10">
      <c r="A2">
        <v>1</v>
      </c>
      <c r="B2">
        <v>1001</v>
      </c>
      <c r="C2" t="s">
        <v>37</v>
      </c>
      <c r="D2" t="s">
        <v>119</v>
      </c>
      <c r="E2" s="1">
        <v>46044</v>
      </c>
      <c r="F2" s="1">
        <v>46050</v>
      </c>
      <c r="G2" s="1">
        <v>46052</v>
      </c>
      <c r="H2">
        <v>25.61</v>
      </c>
      <c r="I2" t="s">
        <v>141</v>
      </c>
      <c r="J2" s="5">
        <f>SUMIFS(Table5[quantity],Table5[order_id],Table3[[#This Row],[order_id]])</f>
        <v>7</v>
      </c>
    </row>
    <row r="3" spans="1:10">
      <c r="A3">
        <v>2</v>
      </c>
      <c r="B3">
        <v>1002</v>
      </c>
      <c r="C3" t="s">
        <v>32</v>
      </c>
      <c r="D3" t="s">
        <v>118</v>
      </c>
      <c r="E3" s="1">
        <v>46100</v>
      </c>
      <c r="F3" s="1">
        <v>46101</v>
      </c>
      <c r="G3" s="1">
        <v>46106</v>
      </c>
      <c r="H3">
        <v>95.73</v>
      </c>
      <c r="I3" t="s">
        <v>39</v>
      </c>
      <c r="J3" s="5">
        <f>SUMIFS(Table5[quantity],Table5[order_id],Table3[[#This Row],[order_id]])</f>
        <v>19</v>
      </c>
    </row>
    <row r="4" spans="1:10">
      <c r="A4">
        <v>3</v>
      </c>
      <c r="B4">
        <v>1003</v>
      </c>
      <c r="C4" t="s">
        <v>33</v>
      </c>
      <c r="D4" t="s">
        <v>120</v>
      </c>
      <c r="E4" s="1">
        <v>46132</v>
      </c>
      <c r="F4" s="1">
        <v>46130</v>
      </c>
      <c r="G4" s="1">
        <v>46136</v>
      </c>
      <c r="H4">
        <v>4.79</v>
      </c>
      <c r="I4" t="s">
        <v>39</v>
      </c>
      <c r="J4" s="5">
        <f>SUMIFS(Table5[quantity],Table5[order_id],Table3[[#This Row],[order_id]])</f>
        <v>2</v>
      </c>
    </row>
    <row r="5" spans="1:10">
      <c r="A5">
        <v>4</v>
      </c>
      <c r="B5">
        <v>1004</v>
      </c>
      <c r="C5" t="s">
        <v>36</v>
      </c>
      <c r="D5" t="s">
        <v>120</v>
      </c>
      <c r="E5" s="1">
        <v>46109</v>
      </c>
      <c r="F5" s="1">
        <v>46102</v>
      </c>
      <c r="G5" s="1">
        <v>46117</v>
      </c>
      <c r="H5">
        <v>39.590000000000003</v>
      </c>
      <c r="I5" t="s">
        <v>141</v>
      </c>
      <c r="J5" s="5">
        <f>SUMIFS(Table5[quantity],Table5[order_id],Table3[[#This Row],[order_id]])</f>
        <v>6</v>
      </c>
    </row>
    <row r="6" spans="1:10">
      <c r="A6">
        <v>5</v>
      </c>
      <c r="B6">
        <v>1006</v>
      </c>
      <c r="C6" t="s">
        <v>36</v>
      </c>
      <c r="D6" t="s">
        <v>117</v>
      </c>
      <c r="E6" s="1">
        <v>46043</v>
      </c>
      <c r="F6" s="1">
        <v>46049</v>
      </c>
      <c r="G6" s="1">
        <v>46051</v>
      </c>
      <c r="H6">
        <v>97.81</v>
      </c>
      <c r="I6" t="s">
        <v>141</v>
      </c>
      <c r="J6" s="5">
        <f>SUMIFS(Table5[quantity],Table5[order_id],Table3[[#This Row],[order_id]])</f>
        <v>9</v>
      </c>
    </row>
    <row r="7" spans="1:10">
      <c r="A7">
        <v>6</v>
      </c>
      <c r="B7">
        <v>1007</v>
      </c>
      <c r="C7" t="s">
        <v>35</v>
      </c>
      <c r="D7" t="s">
        <v>117</v>
      </c>
      <c r="E7" s="1">
        <v>46043</v>
      </c>
      <c r="F7" s="1">
        <v>46039</v>
      </c>
      <c r="G7" s="1">
        <v>46048</v>
      </c>
      <c r="H7">
        <v>51.43</v>
      </c>
      <c r="I7" t="s">
        <v>39</v>
      </c>
      <c r="J7" s="5">
        <f>SUMIFS(Table5[quantity],Table5[order_id],Table3[[#This Row],[order_id]])</f>
        <v>10</v>
      </c>
    </row>
    <row r="8" spans="1:10">
      <c r="A8">
        <v>7</v>
      </c>
      <c r="B8">
        <v>1008</v>
      </c>
      <c r="C8" t="s">
        <v>32</v>
      </c>
      <c r="D8" t="s">
        <v>119</v>
      </c>
      <c r="E8" s="1">
        <v>46120</v>
      </c>
      <c r="F8" s="1">
        <v>46123</v>
      </c>
      <c r="G8" s="1">
        <v>46129</v>
      </c>
      <c r="H8">
        <v>49.59</v>
      </c>
      <c r="I8" t="s">
        <v>141</v>
      </c>
      <c r="J8" s="5">
        <f>SUMIFS(Table5[quantity],Table5[order_id],Table3[[#This Row],[order_id]])</f>
        <v>3</v>
      </c>
    </row>
    <row r="9" spans="1:10">
      <c r="A9">
        <v>8</v>
      </c>
      <c r="B9">
        <v>1009</v>
      </c>
      <c r="C9" t="s">
        <v>33</v>
      </c>
      <c r="D9" t="s">
        <v>118</v>
      </c>
      <c r="E9" s="1">
        <v>46105</v>
      </c>
      <c r="F9" s="1">
        <v>46105</v>
      </c>
      <c r="G9" s="1">
        <v>46106</v>
      </c>
      <c r="H9">
        <v>32.39</v>
      </c>
      <c r="I9" t="s">
        <v>39</v>
      </c>
      <c r="J9" s="5">
        <f>SUMIFS(Table5[quantity],Table5[order_id],Table3[[#This Row],[order_id]])</f>
        <v>24</v>
      </c>
    </row>
    <row r="10" spans="1:10">
      <c r="A10">
        <v>9</v>
      </c>
      <c r="B10">
        <v>1010</v>
      </c>
      <c r="C10" t="s">
        <v>37</v>
      </c>
      <c r="D10" t="s">
        <v>117</v>
      </c>
      <c r="E10" s="1">
        <v>46087</v>
      </c>
      <c r="F10" s="1">
        <v>46085</v>
      </c>
      <c r="G10" s="1">
        <v>46094</v>
      </c>
      <c r="H10">
        <v>68.48</v>
      </c>
      <c r="I10" t="s">
        <v>39</v>
      </c>
      <c r="J10" s="5">
        <f>SUMIFS(Table5[quantity],Table5[order_id],Table3[[#This Row],[order_id]])</f>
        <v>16</v>
      </c>
    </row>
    <row r="11" spans="1:10">
      <c r="A11">
        <v>10</v>
      </c>
      <c r="B11">
        <v>1011</v>
      </c>
      <c r="C11" t="s">
        <v>36</v>
      </c>
      <c r="D11" t="s">
        <v>118</v>
      </c>
      <c r="E11" s="1">
        <v>46110</v>
      </c>
      <c r="F11" s="1">
        <v>46106</v>
      </c>
      <c r="G11" s="1">
        <v>46119</v>
      </c>
      <c r="H11">
        <v>51.87</v>
      </c>
      <c r="I11" t="s">
        <v>141</v>
      </c>
      <c r="J11" s="5">
        <f>SUMIFS(Table5[quantity],Table5[order_id],Table3[[#This Row],[order_id]])</f>
        <v>11</v>
      </c>
    </row>
    <row r="12" spans="1:10">
      <c r="A12">
        <v>11</v>
      </c>
      <c r="B12">
        <v>1012</v>
      </c>
      <c r="C12" t="s">
        <v>32</v>
      </c>
      <c r="D12" t="s">
        <v>118</v>
      </c>
      <c r="E12" s="1">
        <v>46090</v>
      </c>
      <c r="F12" s="1">
        <v>46092</v>
      </c>
      <c r="G12" s="1">
        <v>46100</v>
      </c>
      <c r="H12">
        <v>73.94</v>
      </c>
      <c r="I12" t="s">
        <v>141</v>
      </c>
      <c r="J12" s="5">
        <f>SUMIFS(Table5[quantity],Table5[order_id],Table3[[#This Row],[order_id]])</f>
        <v>6</v>
      </c>
    </row>
    <row r="13" spans="1:10">
      <c r="A13">
        <v>12</v>
      </c>
      <c r="B13">
        <v>1014</v>
      </c>
      <c r="C13" t="s">
        <v>36</v>
      </c>
      <c r="D13" t="s">
        <v>117</v>
      </c>
      <c r="E13" s="1">
        <v>46094</v>
      </c>
      <c r="F13" s="1">
        <v>46101</v>
      </c>
      <c r="G13" s="1">
        <v>46098</v>
      </c>
      <c r="H13">
        <v>604.32000000000005</v>
      </c>
      <c r="I13" t="s">
        <v>39</v>
      </c>
      <c r="J13" s="5">
        <f>SUMIFS(Table5[quantity],Table5[order_id],Table3[[#This Row],[order_id]])</f>
        <v>11</v>
      </c>
    </row>
    <row r="14" spans="1:10">
      <c r="A14">
        <v>13</v>
      </c>
      <c r="B14">
        <v>1015</v>
      </c>
      <c r="C14" t="s">
        <v>34</v>
      </c>
      <c r="D14" t="s">
        <v>117</v>
      </c>
      <c r="E14" s="1">
        <v>46069</v>
      </c>
      <c r="F14" s="1">
        <v>46064</v>
      </c>
      <c r="G14" s="1">
        <v>46071</v>
      </c>
      <c r="H14">
        <v>113.64</v>
      </c>
      <c r="I14" t="s">
        <v>488</v>
      </c>
      <c r="J14" s="5">
        <f>SUMIFS(Table5[quantity],Table5[order_id],Table3[[#This Row],[order_id]])</f>
        <v>23</v>
      </c>
    </row>
    <row r="15" spans="1:10">
      <c r="A15">
        <v>14</v>
      </c>
      <c r="B15">
        <v>1016</v>
      </c>
      <c r="C15" t="s">
        <v>34</v>
      </c>
      <c r="D15" t="s">
        <v>119</v>
      </c>
      <c r="E15" s="1">
        <v>46091</v>
      </c>
      <c r="F15" s="1">
        <v>46087</v>
      </c>
      <c r="G15" s="1">
        <v>46092</v>
      </c>
      <c r="H15">
        <v>4.7699999999999996</v>
      </c>
      <c r="I15" t="s">
        <v>39</v>
      </c>
      <c r="J15" s="5">
        <f>SUMIFS(Table5[quantity],Table5[order_id],Table3[[#This Row],[order_id]])</f>
        <v>8</v>
      </c>
    </row>
    <row r="16" spans="1:10">
      <c r="A16">
        <v>15</v>
      </c>
      <c r="B16">
        <v>1017</v>
      </c>
      <c r="C16" t="s">
        <v>34</v>
      </c>
      <c r="D16" t="s">
        <v>119</v>
      </c>
      <c r="E16" s="1">
        <v>46095</v>
      </c>
      <c r="F16" s="1">
        <v>46097</v>
      </c>
      <c r="G16" s="1">
        <v>46097</v>
      </c>
      <c r="H16">
        <v>79.83</v>
      </c>
      <c r="I16" t="s">
        <v>141</v>
      </c>
      <c r="J16" s="5">
        <f>SUMIFS(Table5[quantity],Table5[order_id],Table3[[#This Row],[order_id]])</f>
        <v>18</v>
      </c>
    </row>
    <row r="17" spans="1:10">
      <c r="A17">
        <v>16</v>
      </c>
      <c r="B17">
        <v>1018</v>
      </c>
      <c r="C17" t="s">
        <v>36</v>
      </c>
      <c r="D17" t="s">
        <v>119</v>
      </c>
      <c r="E17" s="1">
        <v>46129</v>
      </c>
      <c r="F17" s="1">
        <v>46124</v>
      </c>
      <c r="G17" s="1">
        <v>46139</v>
      </c>
      <c r="H17">
        <v>117.37</v>
      </c>
      <c r="I17" t="s">
        <v>488</v>
      </c>
      <c r="J17" s="5">
        <f>SUMIFS(Table5[quantity],Table5[order_id],Table3[[#This Row],[order_id]])</f>
        <v>3</v>
      </c>
    </row>
    <row r="18" spans="1:10">
      <c r="A18">
        <v>17</v>
      </c>
      <c r="B18">
        <v>1019</v>
      </c>
      <c r="C18" t="s">
        <v>33</v>
      </c>
      <c r="D18" t="s">
        <v>122</v>
      </c>
      <c r="E18" s="1">
        <v>46077</v>
      </c>
      <c r="F18" s="1">
        <v>46081</v>
      </c>
      <c r="G18" s="1">
        <v>46080</v>
      </c>
      <c r="H18">
        <v>69.42</v>
      </c>
      <c r="I18" t="s">
        <v>141</v>
      </c>
      <c r="J18" s="5">
        <f>SUMIFS(Table5[quantity],Table5[order_id],Table3[[#This Row],[order_id]])</f>
        <v>7</v>
      </c>
    </row>
    <row r="19" spans="1:10">
      <c r="A19">
        <v>18</v>
      </c>
      <c r="B19">
        <v>1020</v>
      </c>
      <c r="C19" t="s">
        <v>32</v>
      </c>
      <c r="D19" t="s">
        <v>117</v>
      </c>
      <c r="E19" s="1">
        <v>46064</v>
      </c>
      <c r="F19" s="1">
        <v>46061</v>
      </c>
      <c r="G19" s="1">
        <v>46070</v>
      </c>
      <c r="H19">
        <v>68.150000000000006</v>
      </c>
      <c r="I19" t="s">
        <v>141</v>
      </c>
      <c r="J19" s="5">
        <f>SUMIFS(Table5[quantity],Table5[order_id],Table3[[#This Row],[order_id]])</f>
        <v>14</v>
      </c>
    </row>
    <row r="20" spans="1:10">
      <c r="A20">
        <v>19</v>
      </c>
      <c r="B20">
        <v>1021</v>
      </c>
      <c r="C20" t="s">
        <v>37</v>
      </c>
      <c r="D20" t="s">
        <v>120</v>
      </c>
      <c r="E20" s="1">
        <v>46103</v>
      </c>
      <c r="F20" s="1">
        <v>46102</v>
      </c>
      <c r="G20" s="1">
        <v>46109</v>
      </c>
      <c r="H20">
        <v>469.55</v>
      </c>
      <c r="I20" t="s">
        <v>141</v>
      </c>
      <c r="J20" s="5">
        <f>SUMIFS(Table5[quantity],Table5[order_id],Table3[[#This Row],[order_id]])</f>
        <v>3</v>
      </c>
    </row>
    <row r="21" spans="1:10">
      <c r="A21">
        <v>20</v>
      </c>
      <c r="B21">
        <v>1022</v>
      </c>
      <c r="C21" t="s">
        <v>33</v>
      </c>
      <c r="D21" t="s">
        <v>118</v>
      </c>
      <c r="E21" s="1">
        <v>46065</v>
      </c>
      <c r="F21" s="1">
        <v>46061</v>
      </c>
      <c r="G21" s="1">
        <v>46068</v>
      </c>
      <c r="H21">
        <v>20.11</v>
      </c>
      <c r="I21" t="s">
        <v>141</v>
      </c>
      <c r="J21" s="5">
        <f>SUMIFS(Table5[quantity],Table5[order_id],Table3[[#This Row],[order_id]])</f>
        <v>14</v>
      </c>
    </row>
    <row r="22" spans="1:10">
      <c r="A22">
        <v>21</v>
      </c>
      <c r="B22">
        <v>1023</v>
      </c>
      <c r="C22" t="s">
        <v>35</v>
      </c>
      <c r="D22" t="s">
        <v>118</v>
      </c>
      <c r="E22" s="1">
        <v>46073</v>
      </c>
      <c r="F22" s="1">
        <v>46070</v>
      </c>
      <c r="G22" s="1">
        <v>46079</v>
      </c>
      <c r="H22">
        <v>55.07</v>
      </c>
      <c r="I22" t="s">
        <v>39</v>
      </c>
      <c r="J22" s="5">
        <f>SUMIFS(Table5[quantity],Table5[order_id],Table3[[#This Row],[order_id]])</f>
        <v>7</v>
      </c>
    </row>
    <row r="23" spans="1:10">
      <c r="A23">
        <v>22</v>
      </c>
      <c r="B23">
        <v>1024</v>
      </c>
      <c r="C23" t="s">
        <v>35</v>
      </c>
      <c r="D23" t="s">
        <v>117</v>
      </c>
      <c r="E23" s="1">
        <v>46113</v>
      </c>
      <c r="F23" s="1">
        <v>46111</v>
      </c>
      <c r="G23" s="1">
        <v>46116</v>
      </c>
      <c r="H23">
        <v>83.08</v>
      </c>
      <c r="I23" t="s">
        <v>488</v>
      </c>
      <c r="J23" s="5">
        <f>SUMIFS(Table5[quantity],Table5[order_id],Table3[[#This Row],[order_id]])</f>
        <v>20</v>
      </c>
    </row>
    <row r="24" spans="1:10">
      <c r="A24">
        <v>23</v>
      </c>
      <c r="B24">
        <v>1026</v>
      </c>
      <c r="C24" t="s">
        <v>35</v>
      </c>
      <c r="D24" t="s">
        <v>117</v>
      </c>
      <c r="E24" s="1">
        <v>46116</v>
      </c>
      <c r="F24" s="1">
        <v>46122</v>
      </c>
      <c r="G24" s="1">
        <v>46126</v>
      </c>
      <c r="H24">
        <v>9.14</v>
      </c>
      <c r="I24" t="s">
        <v>39</v>
      </c>
      <c r="J24" s="5">
        <f>SUMIFS(Table5[quantity],Table5[order_id],Table3[[#This Row],[order_id]])</f>
        <v>4</v>
      </c>
    </row>
    <row r="25" spans="1:10">
      <c r="A25">
        <v>24</v>
      </c>
      <c r="B25">
        <v>1027</v>
      </c>
      <c r="C25" t="s">
        <v>32</v>
      </c>
      <c r="D25" t="s">
        <v>117</v>
      </c>
      <c r="E25" s="1">
        <v>46133</v>
      </c>
      <c r="F25" s="1">
        <v>46140</v>
      </c>
      <c r="G25" s="1">
        <v>46136</v>
      </c>
      <c r="H25">
        <v>44.41</v>
      </c>
      <c r="I25" t="s">
        <v>39</v>
      </c>
      <c r="J25" s="5">
        <f>SUMIFS(Table5[quantity],Table5[order_id],Table3[[#This Row],[order_id]])</f>
        <v>9</v>
      </c>
    </row>
    <row r="26" spans="1:10">
      <c r="A26">
        <v>25</v>
      </c>
      <c r="B26">
        <v>1028</v>
      </c>
      <c r="C26" t="s">
        <v>33</v>
      </c>
      <c r="D26" t="s">
        <v>119</v>
      </c>
      <c r="E26" s="1">
        <v>46149</v>
      </c>
      <c r="F26" s="1">
        <v>46151</v>
      </c>
      <c r="G26" s="1">
        <v>46152</v>
      </c>
      <c r="H26">
        <v>25.62</v>
      </c>
      <c r="I26" t="s">
        <v>39</v>
      </c>
      <c r="J26" s="5">
        <f>SUMIFS(Table5[quantity],Table5[order_id],Table3[[#This Row],[order_id]])</f>
        <v>18</v>
      </c>
    </row>
    <row r="27" spans="1:10">
      <c r="A27">
        <v>26</v>
      </c>
      <c r="B27">
        <v>1029</v>
      </c>
      <c r="C27" t="s">
        <v>37</v>
      </c>
      <c r="D27" t="s">
        <v>117</v>
      </c>
      <c r="E27" s="1">
        <v>46081</v>
      </c>
      <c r="F27" s="1">
        <v>46078</v>
      </c>
      <c r="G27" s="1">
        <v>46091</v>
      </c>
      <c r="H27">
        <v>49.54</v>
      </c>
      <c r="I27" t="s">
        <v>39</v>
      </c>
      <c r="J27" s="5">
        <f>SUMIFS(Table5[quantity],Table5[order_id],Table3[[#This Row],[order_id]])</f>
        <v>20</v>
      </c>
    </row>
    <row r="28" spans="1:10">
      <c r="A28">
        <v>27</v>
      </c>
      <c r="B28">
        <v>1030</v>
      </c>
      <c r="C28" t="s">
        <v>33</v>
      </c>
      <c r="D28" t="s">
        <v>118</v>
      </c>
      <c r="E28" s="1">
        <v>46067</v>
      </c>
      <c r="F28" s="1">
        <v>46070</v>
      </c>
      <c r="G28" s="1">
        <v>46073</v>
      </c>
      <c r="H28">
        <v>84.44</v>
      </c>
      <c r="I28" t="s">
        <v>39</v>
      </c>
      <c r="J28" s="5">
        <f>SUMIFS(Table5[quantity],Table5[order_id],Table3[[#This Row],[order_id]])</f>
        <v>6</v>
      </c>
    </row>
    <row r="29" spans="1:10">
      <c r="A29">
        <v>28</v>
      </c>
      <c r="B29">
        <v>1031</v>
      </c>
      <c r="C29" t="s">
        <v>36</v>
      </c>
      <c r="D29" t="s">
        <v>117</v>
      </c>
      <c r="E29" s="1">
        <v>46125</v>
      </c>
      <c r="F29" s="1">
        <v>46123</v>
      </c>
      <c r="G29" s="1">
        <v>46133</v>
      </c>
      <c r="H29">
        <v>19.84</v>
      </c>
      <c r="I29" t="s">
        <v>141</v>
      </c>
      <c r="J29" s="5">
        <f>SUMIFS(Table5[quantity],Table5[order_id],Table3[[#This Row],[order_id]])</f>
        <v>9</v>
      </c>
    </row>
    <row r="30" spans="1:10">
      <c r="A30">
        <v>29</v>
      </c>
      <c r="B30">
        <v>1032</v>
      </c>
      <c r="C30" t="s">
        <v>35</v>
      </c>
      <c r="D30" t="s">
        <v>117</v>
      </c>
      <c r="E30" s="1">
        <v>46155</v>
      </c>
      <c r="F30" s="1">
        <v>46152</v>
      </c>
      <c r="G30" s="1">
        <v>46164</v>
      </c>
      <c r="H30">
        <v>99.42</v>
      </c>
      <c r="I30" t="s">
        <v>39</v>
      </c>
      <c r="J30" s="5">
        <f>SUMIFS(Table5[quantity],Table5[order_id],Table3[[#This Row],[order_id]])</f>
        <v>13</v>
      </c>
    </row>
    <row r="31" spans="1:10">
      <c r="A31">
        <v>30</v>
      </c>
      <c r="B31">
        <v>1033</v>
      </c>
      <c r="C31" t="s">
        <v>36</v>
      </c>
      <c r="D31" t="s">
        <v>117</v>
      </c>
      <c r="E31" s="1">
        <v>46080</v>
      </c>
      <c r="F31" s="1">
        <v>46081</v>
      </c>
      <c r="G31" s="1">
        <v>46090</v>
      </c>
      <c r="H31">
        <v>83.94</v>
      </c>
      <c r="I31" t="s">
        <v>488</v>
      </c>
      <c r="J31" s="5">
        <f>SUMIFS(Table5[quantity],Table5[order_id],Table3[[#This Row],[order_id]])</f>
        <v>9</v>
      </c>
    </row>
    <row r="32" spans="1:10">
      <c r="A32">
        <v>31</v>
      </c>
      <c r="B32">
        <v>1034</v>
      </c>
      <c r="C32" t="s">
        <v>32</v>
      </c>
      <c r="D32" t="s">
        <v>122</v>
      </c>
      <c r="E32" s="1">
        <v>46057</v>
      </c>
      <c r="F32" s="1">
        <v>46062</v>
      </c>
      <c r="G32" s="1">
        <v>46060</v>
      </c>
      <c r="H32">
        <v>85.37</v>
      </c>
      <c r="I32" t="s">
        <v>488</v>
      </c>
      <c r="J32" s="5">
        <f>SUMIFS(Table5[quantity],Table5[order_id],Table3[[#This Row],[order_id]])</f>
        <v>12</v>
      </c>
    </row>
    <row r="33" spans="1:10">
      <c r="A33">
        <v>32</v>
      </c>
      <c r="B33">
        <v>1035</v>
      </c>
      <c r="C33" t="s">
        <v>34</v>
      </c>
      <c r="D33" t="s">
        <v>117</v>
      </c>
      <c r="E33" s="1">
        <v>46123</v>
      </c>
      <c r="F33" s="1">
        <v>46130</v>
      </c>
      <c r="G33" s="1">
        <v>46131</v>
      </c>
      <c r="H33">
        <v>77.64</v>
      </c>
      <c r="I33" t="s">
        <v>488</v>
      </c>
      <c r="J33" s="5">
        <f>SUMIFS(Table5[quantity],Table5[order_id],Table3[[#This Row],[order_id]])</f>
        <v>20</v>
      </c>
    </row>
    <row r="34" spans="1:10">
      <c r="A34">
        <v>33</v>
      </c>
      <c r="B34">
        <v>1036</v>
      </c>
      <c r="C34" t="s">
        <v>32</v>
      </c>
      <c r="D34" t="s">
        <v>118</v>
      </c>
      <c r="E34" s="1">
        <v>46131</v>
      </c>
      <c r="F34" s="1">
        <v>46134</v>
      </c>
      <c r="G34" s="1">
        <v>46134</v>
      </c>
      <c r="H34">
        <v>826.92</v>
      </c>
      <c r="I34" t="s">
        <v>39</v>
      </c>
      <c r="J34" s="5">
        <f>SUMIFS(Table5[quantity],Table5[order_id],Table3[[#This Row],[order_id]])</f>
        <v>16</v>
      </c>
    </row>
    <row r="35" spans="1:10">
      <c r="A35">
        <v>34</v>
      </c>
      <c r="B35">
        <v>1038</v>
      </c>
      <c r="C35" t="s">
        <v>34</v>
      </c>
      <c r="D35" t="s">
        <v>119</v>
      </c>
      <c r="E35" s="1">
        <v>46043</v>
      </c>
      <c r="F35" s="1">
        <v>46047</v>
      </c>
      <c r="G35" s="1">
        <v>46046</v>
      </c>
      <c r="H35">
        <v>78.42</v>
      </c>
      <c r="I35" t="s">
        <v>39</v>
      </c>
      <c r="J35" s="5">
        <f>SUMIFS(Table5[quantity],Table5[order_id],Table3[[#This Row],[order_id]])</f>
        <v>12</v>
      </c>
    </row>
    <row r="36" spans="1:10">
      <c r="A36">
        <v>35</v>
      </c>
      <c r="B36">
        <v>1039</v>
      </c>
      <c r="C36" t="s">
        <v>32</v>
      </c>
      <c r="D36" t="s">
        <v>118</v>
      </c>
      <c r="E36" s="1">
        <v>46065</v>
      </c>
      <c r="F36" s="1">
        <v>46071</v>
      </c>
      <c r="G36" s="1">
        <v>46072</v>
      </c>
      <c r="H36">
        <v>44.78</v>
      </c>
      <c r="I36" t="s">
        <v>39</v>
      </c>
      <c r="J36" s="5">
        <f>SUMIFS(Table5[quantity],Table5[order_id],Table3[[#This Row],[order_id]])</f>
        <v>9</v>
      </c>
    </row>
    <row r="37" spans="1:10">
      <c r="A37">
        <v>36</v>
      </c>
      <c r="B37">
        <v>1040</v>
      </c>
      <c r="C37" t="s">
        <v>37</v>
      </c>
      <c r="D37" t="s">
        <v>122</v>
      </c>
      <c r="E37" s="1">
        <v>46053</v>
      </c>
      <c r="F37" s="1">
        <v>46050</v>
      </c>
      <c r="G37" s="1">
        <v>46055</v>
      </c>
      <c r="H37">
        <v>65.28</v>
      </c>
      <c r="I37" t="s">
        <v>488</v>
      </c>
      <c r="J37" s="5">
        <f>SUMIFS(Table5[quantity],Table5[order_id],Table3[[#This Row],[order_id]])</f>
        <v>17</v>
      </c>
    </row>
    <row r="38" spans="1:10">
      <c r="A38">
        <v>37</v>
      </c>
      <c r="B38">
        <v>1041</v>
      </c>
      <c r="C38" t="s">
        <v>33</v>
      </c>
      <c r="D38" t="s">
        <v>117</v>
      </c>
      <c r="E38" s="1">
        <v>46127</v>
      </c>
      <c r="F38" s="1">
        <v>46128</v>
      </c>
      <c r="G38" s="1">
        <v>46132</v>
      </c>
      <c r="H38">
        <v>76.91</v>
      </c>
      <c r="I38" t="s">
        <v>141</v>
      </c>
      <c r="J38" s="5">
        <f>SUMIFS(Table5[quantity],Table5[order_id],Table3[[#This Row],[order_id]])</f>
        <v>7</v>
      </c>
    </row>
    <row r="39" spans="1:10">
      <c r="A39">
        <v>38</v>
      </c>
      <c r="B39">
        <v>1042</v>
      </c>
      <c r="C39" t="s">
        <v>34</v>
      </c>
      <c r="D39" t="s">
        <v>118</v>
      </c>
      <c r="E39" s="1">
        <v>46047</v>
      </c>
      <c r="F39" s="1">
        <v>46051</v>
      </c>
      <c r="G39" s="1">
        <v>46054</v>
      </c>
      <c r="H39">
        <v>88.68</v>
      </c>
      <c r="I39" t="s">
        <v>141</v>
      </c>
      <c r="J39" s="5">
        <f>SUMIFS(Table5[quantity],Table5[order_id],Table3[[#This Row],[order_id]])</f>
        <v>8</v>
      </c>
    </row>
    <row r="40" spans="1:10">
      <c r="A40">
        <v>39</v>
      </c>
      <c r="B40">
        <v>1043</v>
      </c>
      <c r="C40" t="s">
        <v>35</v>
      </c>
      <c r="D40" t="s">
        <v>120</v>
      </c>
      <c r="E40" s="1">
        <v>46133</v>
      </c>
      <c r="F40" s="1">
        <v>46137</v>
      </c>
      <c r="G40" s="1">
        <v>46141</v>
      </c>
      <c r="H40">
        <v>114.55</v>
      </c>
      <c r="I40" t="s">
        <v>488</v>
      </c>
      <c r="J40" s="5">
        <f>SUMIFS(Table5[quantity],Table5[order_id],Table3[[#This Row],[order_id]])</f>
        <v>3</v>
      </c>
    </row>
    <row r="41" spans="1:10">
      <c r="A41">
        <v>40</v>
      </c>
      <c r="B41">
        <v>1044</v>
      </c>
      <c r="C41" t="s">
        <v>34</v>
      </c>
      <c r="D41" t="s">
        <v>117</v>
      </c>
      <c r="E41" s="1">
        <v>46125</v>
      </c>
      <c r="F41" s="1">
        <v>46120</v>
      </c>
      <c r="G41" s="1">
        <v>46130</v>
      </c>
      <c r="H41">
        <v>86.63</v>
      </c>
      <c r="I41" t="s">
        <v>141</v>
      </c>
      <c r="J41" s="5">
        <f>SUMIFS(Table5[quantity],Table5[order_id],Table3[[#This Row],[order_id]])</f>
        <v>6</v>
      </c>
    </row>
    <row r="42" spans="1:10">
      <c r="A42">
        <v>41</v>
      </c>
      <c r="B42">
        <v>1045</v>
      </c>
      <c r="C42" t="s">
        <v>32</v>
      </c>
      <c r="D42" t="s">
        <v>118</v>
      </c>
      <c r="E42" s="1">
        <v>46152</v>
      </c>
      <c r="F42" s="1">
        <v>46156</v>
      </c>
      <c r="G42" s="1">
        <v>46153</v>
      </c>
      <c r="H42">
        <v>58.72</v>
      </c>
      <c r="I42" t="s">
        <v>141</v>
      </c>
      <c r="J42" s="5">
        <f>SUMIFS(Table5[quantity],Table5[order_id],Table3[[#This Row],[order_id]])</f>
        <v>5</v>
      </c>
    </row>
    <row r="43" spans="1:10">
      <c r="A43">
        <v>42</v>
      </c>
      <c r="B43">
        <v>1046</v>
      </c>
      <c r="C43" t="s">
        <v>35</v>
      </c>
      <c r="D43" t="s">
        <v>118</v>
      </c>
      <c r="E43" s="1">
        <v>46129</v>
      </c>
      <c r="F43" s="1">
        <v>46134</v>
      </c>
      <c r="G43" s="1">
        <v>46133</v>
      </c>
      <c r="H43">
        <v>37.83</v>
      </c>
      <c r="I43" t="s">
        <v>141</v>
      </c>
      <c r="J43" s="5">
        <f>SUMIFS(Table5[quantity],Table5[order_id],Table3[[#This Row],[order_id]])</f>
        <v>14</v>
      </c>
    </row>
    <row r="44" spans="1:10">
      <c r="A44">
        <v>43</v>
      </c>
      <c r="B44">
        <v>1047</v>
      </c>
      <c r="C44" t="s">
        <v>34</v>
      </c>
      <c r="D44" t="s">
        <v>118</v>
      </c>
      <c r="E44" s="1">
        <v>46121</v>
      </c>
      <c r="F44" s="1">
        <v>46119</v>
      </c>
      <c r="G44" s="1">
        <v>46128</v>
      </c>
      <c r="H44">
        <v>102.48</v>
      </c>
      <c r="I44" t="s">
        <v>39</v>
      </c>
      <c r="J44" s="5">
        <f>SUMIFS(Table5[quantity],Table5[order_id],Table3[[#This Row],[order_id]])</f>
        <v>7</v>
      </c>
    </row>
    <row r="45" spans="1:10">
      <c r="A45">
        <v>44</v>
      </c>
      <c r="B45">
        <v>1048</v>
      </c>
      <c r="C45" t="s">
        <v>35</v>
      </c>
      <c r="D45" t="s">
        <v>117</v>
      </c>
      <c r="E45" s="1">
        <v>46089</v>
      </c>
      <c r="F45" s="1">
        <v>46090</v>
      </c>
      <c r="G45" s="1">
        <v>46091</v>
      </c>
      <c r="H45">
        <v>71.37</v>
      </c>
      <c r="I45" t="s">
        <v>141</v>
      </c>
      <c r="J45" s="5">
        <f>SUMIFS(Table5[quantity],Table5[order_id],Table3[[#This Row],[order_id]])</f>
        <v>9</v>
      </c>
    </row>
    <row r="46" spans="1:10">
      <c r="A46">
        <v>45</v>
      </c>
      <c r="B46">
        <v>1049</v>
      </c>
      <c r="C46" t="s">
        <v>32</v>
      </c>
      <c r="D46" t="s">
        <v>119</v>
      </c>
      <c r="E46" s="1">
        <v>46038</v>
      </c>
      <c r="F46" s="1">
        <v>46041</v>
      </c>
      <c r="G46" s="1">
        <v>46041</v>
      </c>
      <c r="H46">
        <v>94.47</v>
      </c>
      <c r="I46" t="s">
        <v>488</v>
      </c>
      <c r="J46" s="5">
        <f>SUMIFS(Table5[quantity],Table5[order_id],Table3[[#This Row],[order_id]])</f>
        <v>11</v>
      </c>
    </row>
    <row r="47" spans="1:10">
      <c r="A47">
        <v>46</v>
      </c>
      <c r="B47">
        <v>1050</v>
      </c>
      <c r="C47" t="s">
        <v>32</v>
      </c>
      <c r="D47" t="s">
        <v>120</v>
      </c>
      <c r="E47" s="1">
        <v>46144</v>
      </c>
      <c r="F47" s="1">
        <v>46142</v>
      </c>
      <c r="G47" s="1">
        <v>46152</v>
      </c>
      <c r="H47">
        <v>34.74</v>
      </c>
      <c r="I47" t="s">
        <v>39</v>
      </c>
      <c r="J47" s="5">
        <f>SUMIFS(Table5[quantity],Table5[order_id],Table3[[#This Row],[order_id]])</f>
        <v>6</v>
      </c>
    </row>
    <row r="48" spans="1:10">
      <c r="A48">
        <v>47</v>
      </c>
      <c r="B48">
        <v>1051</v>
      </c>
      <c r="C48" t="s">
        <v>33</v>
      </c>
      <c r="D48" t="s">
        <v>117</v>
      </c>
      <c r="E48" s="1">
        <v>46042</v>
      </c>
      <c r="F48" s="1">
        <v>46037</v>
      </c>
      <c r="G48" s="1">
        <v>46047</v>
      </c>
      <c r="H48">
        <v>99.13</v>
      </c>
      <c r="I48" t="s">
        <v>39</v>
      </c>
      <c r="J48" s="5">
        <f>SUMIFS(Table5[quantity],Table5[order_id],Table3[[#This Row],[order_id]])</f>
        <v>6</v>
      </c>
    </row>
    <row r="49" spans="1:10">
      <c r="A49">
        <v>48</v>
      </c>
      <c r="B49">
        <v>1052</v>
      </c>
      <c r="C49" t="s">
        <v>34</v>
      </c>
      <c r="D49" t="s">
        <v>119</v>
      </c>
      <c r="E49" s="1">
        <v>46095</v>
      </c>
      <c r="F49" s="1">
        <v>46093</v>
      </c>
      <c r="G49" s="1">
        <v>46097</v>
      </c>
      <c r="H49">
        <v>71.55</v>
      </c>
      <c r="I49" t="s">
        <v>141</v>
      </c>
      <c r="J49" s="5">
        <f>SUMIFS(Table5[quantity],Table5[order_id],Table3[[#This Row],[order_id]])</f>
        <v>5</v>
      </c>
    </row>
    <row r="50" spans="1:10">
      <c r="A50">
        <v>49</v>
      </c>
      <c r="B50">
        <v>1053</v>
      </c>
      <c r="C50" t="s">
        <v>33</v>
      </c>
      <c r="D50" t="s">
        <v>119</v>
      </c>
      <c r="E50" s="1">
        <v>46072</v>
      </c>
      <c r="F50" s="1">
        <v>46076</v>
      </c>
      <c r="G50" s="1">
        <v>46082</v>
      </c>
      <c r="H50">
        <v>54.25</v>
      </c>
      <c r="I50" t="s">
        <v>141</v>
      </c>
      <c r="J50" s="5">
        <f>SUMIFS(Table5[quantity],Table5[order_id],Table3[[#This Row],[order_id]])</f>
        <v>2</v>
      </c>
    </row>
    <row r="51" spans="1:10">
      <c r="A51">
        <v>50</v>
      </c>
      <c r="B51">
        <v>1054</v>
      </c>
      <c r="C51" t="s">
        <v>32</v>
      </c>
      <c r="D51" t="s">
        <v>117</v>
      </c>
      <c r="E51" s="1">
        <v>46137</v>
      </c>
      <c r="F51" s="1">
        <v>46138</v>
      </c>
      <c r="G51" s="1">
        <v>46145</v>
      </c>
      <c r="H51">
        <v>11.07</v>
      </c>
      <c r="I51" t="s">
        <v>488</v>
      </c>
      <c r="J51" s="5">
        <f>SUMIFS(Table5[quantity],Table5[order_id],Table3[[#This Row],[order_id]])</f>
        <v>9</v>
      </c>
    </row>
    <row r="52" spans="1:10">
      <c r="A52">
        <v>51</v>
      </c>
      <c r="B52">
        <v>1055</v>
      </c>
      <c r="C52" t="s">
        <v>34</v>
      </c>
      <c r="D52" t="s">
        <v>118</v>
      </c>
      <c r="E52" s="1">
        <v>46093</v>
      </c>
      <c r="F52" s="1">
        <v>46090</v>
      </c>
      <c r="G52" s="1">
        <v>46103</v>
      </c>
      <c r="H52">
        <v>119.95</v>
      </c>
      <c r="I52" t="s">
        <v>488</v>
      </c>
      <c r="J52" s="5">
        <f>SUMIFS(Table5[quantity],Table5[order_id],Table3[[#This Row],[order_id]])</f>
        <v>21</v>
      </c>
    </row>
    <row r="53" spans="1:10">
      <c r="A53">
        <v>52</v>
      </c>
      <c r="B53">
        <v>1056</v>
      </c>
      <c r="C53" t="s">
        <v>36</v>
      </c>
      <c r="D53" t="s">
        <v>118</v>
      </c>
      <c r="E53" s="1">
        <v>46099</v>
      </c>
      <c r="F53" s="1">
        <v>46093</v>
      </c>
      <c r="G53" s="1">
        <v>46105</v>
      </c>
      <c r="H53">
        <v>113.92</v>
      </c>
      <c r="I53" t="s">
        <v>141</v>
      </c>
      <c r="J53" s="5">
        <f>SUMIFS(Table5[quantity],Table5[order_id],Table3[[#This Row],[order_id]])</f>
        <v>11</v>
      </c>
    </row>
    <row r="54" spans="1:10">
      <c r="A54">
        <v>53</v>
      </c>
      <c r="B54">
        <v>1057</v>
      </c>
      <c r="C54" t="s">
        <v>32</v>
      </c>
      <c r="D54" t="s">
        <v>122</v>
      </c>
      <c r="E54" s="1">
        <v>46109</v>
      </c>
      <c r="F54" s="1">
        <v>46107</v>
      </c>
      <c r="G54" s="1">
        <v>46110</v>
      </c>
      <c r="H54">
        <v>42.48</v>
      </c>
      <c r="I54" t="s">
        <v>488</v>
      </c>
      <c r="J54" s="5">
        <f>SUMIFS(Table5[quantity],Table5[order_id],Table3[[#This Row],[order_id]])</f>
        <v>4</v>
      </c>
    </row>
    <row r="55" spans="1:10">
      <c r="A55">
        <v>54</v>
      </c>
      <c r="B55">
        <v>1058</v>
      </c>
      <c r="C55" t="s">
        <v>35</v>
      </c>
      <c r="D55" t="s">
        <v>122</v>
      </c>
      <c r="E55" s="1">
        <v>46106</v>
      </c>
      <c r="F55" s="1">
        <v>46108</v>
      </c>
      <c r="G55" s="1">
        <v>46113</v>
      </c>
      <c r="H55">
        <v>95.85</v>
      </c>
      <c r="I55" t="s">
        <v>488</v>
      </c>
      <c r="J55" s="5">
        <f>SUMIFS(Table5[quantity],Table5[order_id],Table3[[#This Row],[order_id]])</f>
        <v>8</v>
      </c>
    </row>
    <row r="56" spans="1:10">
      <c r="A56">
        <v>55</v>
      </c>
      <c r="B56">
        <v>1059</v>
      </c>
      <c r="C56" t="s">
        <v>36</v>
      </c>
      <c r="D56" t="s">
        <v>118</v>
      </c>
      <c r="E56" s="1">
        <v>46122</v>
      </c>
      <c r="F56" s="1">
        <v>46116</v>
      </c>
      <c r="G56" s="1">
        <v>46125</v>
      </c>
      <c r="H56">
        <v>73.88</v>
      </c>
      <c r="I56" t="s">
        <v>39</v>
      </c>
      <c r="J56" s="5">
        <f>SUMIFS(Table5[quantity],Table5[order_id],Table3[[#This Row],[order_id]])</f>
        <v>8</v>
      </c>
    </row>
    <row r="57" spans="1:10">
      <c r="A57">
        <v>56</v>
      </c>
      <c r="B57">
        <v>1060</v>
      </c>
      <c r="C57" t="s">
        <v>32</v>
      </c>
      <c r="D57" t="s">
        <v>119</v>
      </c>
      <c r="E57" s="1">
        <v>46058</v>
      </c>
      <c r="F57" s="1">
        <v>46051</v>
      </c>
      <c r="G57" s="1">
        <v>46064</v>
      </c>
      <c r="H57">
        <v>55.81</v>
      </c>
      <c r="I57" t="s">
        <v>39</v>
      </c>
      <c r="J57" s="5">
        <f>SUMIFS(Table5[quantity],Table5[order_id],Table3[[#This Row],[order_id]])</f>
        <v>6</v>
      </c>
    </row>
    <row r="58" spans="1:10">
      <c r="A58">
        <v>57</v>
      </c>
      <c r="B58">
        <v>1061</v>
      </c>
      <c r="C58" t="s">
        <v>33</v>
      </c>
      <c r="D58" t="s">
        <v>118</v>
      </c>
      <c r="E58" s="1">
        <v>46093</v>
      </c>
      <c r="F58" s="1">
        <v>46093</v>
      </c>
      <c r="G58" s="1">
        <v>46100</v>
      </c>
      <c r="H58">
        <v>44.74</v>
      </c>
      <c r="I58" t="s">
        <v>488</v>
      </c>
      <c r="J58" s="5">
        <f>SUMIFS(Table5[quantity],Table5[order_id],Table3[[#This Row],[order_id]])</f>
        <v>8</v>
      </c>
    </row>
    <row r="59" spans="1:10">
      <c r="A59">
        <v>58</v>
      </c>
      <c r="B59">
        <v>1062</v>
      </c>
      <c r="C59" t="s">
        <v>34</v>
      </c>
      <c r="D59" t="s">
        <v>122</v>
      </c>
      <c r="E59" s="1">
        <v>46142</v>
      </c>
      <c r="F59" s="1">
        <v>46141</v>
      </c>
      <c r="G59" s="1">
        <v>46149</v>
      </c>
      <c r="H59">
        <v>22.66</v>
      </c>
      <c r="I59" t="s">
        <v>39</v>
      </c>
      <c r="J59" s="5">
        <f>SUMIFS(Table5[quantity],Table5[order_id],Table3[[#This Row],[order_id]])</f>
        <v>5</v>
      </c>
    </row>
    <row r="60" spans="1:10">
      <c r="A60">
        <v>59</v>
      </c>
      <c r="B60">
        <v>1063</v>
      </c>
      <c r="C60" t="s">
        <v>36</v>
      </c>
      <c r="D60" t="s">
        <v>117</v>
      </c>
      <c r="E60" s="1">
        <v>46155</v>
      </c>
      <c r="F60" s="1">
        <v>46150</v>
      </c>
      <c r="G60" s="1">
        <v>46160</v>
      </c>
      <c r="H60">
        <v>31.56</v>
      </c>
      <c r="I60" t="s">
        <v>488</v>
      </c>
      <c r="J60" s="5">
        <f>SUMIFS(Table5[quantity],Table5[order_id],Table3[[#This Row],[order_id]])</f>
        <v>7</v>
      </c>
    </row>
    <row r="61" spans="1:10">
      <c r="A61">
        <v>60</v>
      </c>
      <c r="B61">
        <v>1065</v>
      </c>
      <c r="C61" t="s">
        <v>34</v>
      </c>
      <c r="D61" t="s">
        <v>118</v>
      </c>
      <c r="E61" s="1">
        <v>46103</v>
      </c>
      <c r="F61" s="1">
        <v>46102</v>
      </c>
      <c r="G61" s="1">
        <v>46108</v>
      </c>
      <c r="H61">
        <v>30.24</v>
      </c>
      <c r="I61" t="s">
        <v>141</v>
      </c>
      <c r="J61" s="5">
        <f>SUMIFS(Table5[quantity],Table5[order_id],Table3[[#This Row],[order_id]])</f>
        <v>18</v>
      </c>
    </row>
    <row r="62" spans="1:10">
      <c r="A62">
        <v>61</v>
      </c>
      <c r="B62">
        <v>1066</v>
      </c>
      <c r="C62" t="s">
        <v>33</v>
      </c>
      <c r="D62" t="s">
        <v>119</v>
      </c>
      <c r="E62" s="1">
        <v>46045</v>
      </c>
      <c r="F62" s="1">
        <v>46047</v>
      </c>
      <c r="G62" s="1">
        <v>46049</v>
      </c>
      <c r="H62">
        <v>97.78</v>
      </c>
      <c r="I62" t="s">
        <v>141</v>
      </c>
      <c r="J62" s="5">
        <f>SUMIFS(Table5[quantity],Table5[order_id],Table3[[#This Row],[order_id]])</f>
        <v>17</v>
      </c>
    </row>
    <row r="63" spans="1:10">
      <c r="A63">
        <v>62</v>
      </c>
      <c r="B63">
        <v>1067</v>
      </c>
      <c r="C63" t="s">
        <v>34</v>
      </c>
      <c r="D63" t="s">
        <v>119</v>
      </c>
      <c r="E63" s="1">
        <v>46075</v>
      </c>
      <c r="F63" s="1">
        <v>46080</v>
      </c>
      <c r="G63" s="1">
        <v>46085</v>
      </c>
      <c r="H63">
        <v>71.59</v>
      </c>
      <c r="I63" t="s">
        <v>39</v>
      </c>
      <c r="J63" s="5">
        <f>SUMIFS(Table5[quantity],Table5[order_id],Table3[[#This Row],[order_id]])</f>
        <v>15</v>
      </c>
    </row>
    <row r="64" spans="1:10">
      <c r="A64">
        <v>63</v>
      </c>
      <c r="B64">
        <v>1069</v>
      </c>
      <c r="C64" t="s">
        <v>34</v>
      </c>
      <c r="D64" t="s">
        <v>118</v>
      </c>
      <c r="E64" s="1">
        <v>46030</v>
      </c>
      <c r="F64" s="1">
        <v>46033</v>
      </c>
      <c r="G64" s="1">
        <v>46038</v>
      </c>
      <c r="H64">
        <v>92.1</v>
      </c>
      <c r="I64" t="s">
        <v>141</v>
      </c>
      <c r="J64" s="5">
        <f>SUMIFS(Table5[quantity],Table5[order_id],Table3[[#This Row],[order_id]])</f>
        <v>12</v>
      </c>
    </row>
    <row r="65" spans="1:10">
      <c r="A65">
        <v>64</v>
      </c>
      <c r="B65">
        <v>1070</v>
      </c>
      <c r="C65" t="s">
        <v>36</v>
      </c>
      <c r="D65" t="s">
        <v>117</v>
      </c>
      <c r="E65" s="1">
        <v>46106</v>
      </c>
      <c r="F65" s="1">
        <v>46109</v>
      </c>
      <c r="G65" s="1">
        <v>46110</v>
      </c>
      <c r="H65">
        <v>35.78</v>
      </c>
      <c r="I65" t="s">
        <v>141</v>
      </c>
      <c r="J65" s="5">
        <f>SUMIFS(Table5[quantity],Table5[order_id],Table3[[#This Row],[order_id]])</f>
        <v>5</v>
      </c>
    </row>
    <row r="66" spans="1:10">
      <c r="A66">
        <v>65</v>
      </c>
      <c r="B66">
        <v>1071</v>
      </c>
      <c r="C66" t="s">
        <v>35</v>
      </c>
      <c r="D66" t="s">
        <v>119</v>
      </c>
      <c r="E66" s="1">
        <v>46039</v>
      </c>
      <c r="F66" s="1">
        <v>46033</v>
      </c>
      <c r="G66" s="1">
        <v>46044</v>
      </c>
      <c r="H66">
        <v>79.58</v>
      </c>
      <c r="I66" t="s">
        <v>141</v>
      </c>
      <c r="J66" s="5">
        <f>SUMIFS(Table5[quantity],Table5[order_id],Table3[[#This Row],[order_id]])</f>
        <v>20</v>
      </c>
    </row>
    <row r="67" spans="1:10">
      <c r="A67">
        <v>66</v>
      </c>
      <c r="B67">
        <v>1072</v>
      </c>
      <c r="C67" t="s">
        <v>33</v>
      </c>
      <c r="D67" t="s">
        <v>120</v>
      </c>
      <c r="E67" s="1">
        <v>46065</v>
      </c>
      <c r="F67" s="1">
        <v>46060</v>
      </c>
      <c r="G67" s="1">
        <v>46072</v>
      </c>
      <c r="H67">
        <v>107.88</v>
      </c>
      <c r="I67" t="s">
        <v>488</v>
      </c>
      <c r="J67" s="5">
        <f>SUMIFS(Table5[quantity],Table5[order_id],Table3[[#This Row],[order_id]])</f>
        <v>5</v>
      </c>
    </row>
    <row r="68" spans="1:10">
      <c r="A68">
        <v>67</v>
      </c>
      <c r="B68">
        <v>1073</v>
      </c>
      <c r="C68" t="s">
        <v>36</v>
      </c>
      <c r="D68" t="s">
        <v>117</v>
      </c>
      <c r="E68" s="1">
        <v>46149</v>
      </c>
      <c r="F68" s="1">
        <v>46145</v>
      </c>
      <c r="G68" s="1">
        <v>46150</v>
      </c>
      <c r="H68">
        <v>97.43</v>
      </c>
      <c r="I68" t="s">
        <v>39</v>
      </c>
      <c r="J68" s="5">
        <f>SUMIFS(Table5[quantity],Table5[order_id],Table3[[#This Row],[order_id]])</f>
        <v>14</v>
      </c>
    </row>
    <row r="69" spans="1:10">
      <c r="A69">
        <v>68</v>
      </c>
      <c r="B69">
        <v>1074</v>
      </c>
      <c r="C69" t="s">
        <v>36</v>
      </c>
      <c r="D69" t="s">
        <v>118</v>
      </c>
      <c r="E69" s="1">
        <v>46061</v>
      </c>
      <c r="F69" s="1">
        <v>46060</v>
      </c>
      <c r="G69" s="1">
        <v>46069</v>
      </c>
      <c r="H69">
        <v>18.84</v>
      </c>
      <c r="I69" t="s">
        <v>39</v>
      </c>
      <c r="J69" s="5">
        <f>SUMIFS(Table5[quantity],Table5[order_id],Table3[[#This Row],[order_id]])</f>
        <v>15</v>
      </c>
    </row>
    <row r="70" spans="1:10">
      <c r="A70">
        <v>69</v>
      </c>
      <c r="B70">
        <v>1075</v>
      </c>
      <c r="C70" t="s">
        <v>32</v>
      </c>
      <c r="D70" t="s">
        <v>118</v>
      </c>
      <c r="E70" s="1">
        <v>46052</v>
      </c>
      <c r="F70" s="1">
        <v>46049</v>
      </c>
      <c r="G70" s="1">
        <v>46059</v>
      </c>
      <c r="H70">
        <v>10.27</v>
      </c>
      <c r="I70" t="s">
        <v>39</v>
      </c>
      <c r="J70" s="5">
        <f>SUMIFS(Table5[quantity],Table5[order_id],Table3[[#This Row],[order_id]])</f>
        <v>12</v>
      </c>
    </row>
    <row r="71" spans="1:10">
      <c r="A71">
        <v>70</v>
      </c>
      <c r="B71">
        <v>1076</v>
      </c>
      <c r="C71" t="s">
        <v>33</v>
      </c>
      <c r="D71" t="s">
        <v>117</v>
      </c>
      <c r="E71" s="1">
        <v>46133</v>
      </c>
      <c r="F71" s="1">
        <v>46129</v>
      </c>
      <c r="G71" s="1">
        <v>46136</v>
      </c>
      <c r="H71">
        <v>75.28</v>
      </c>
      <c r="I71" t="s">
        <v>141</v>
      </c>
      <c r="J71" s="5">
        <f>SUMIFS(Table5[quantity],Table5[order_id],Table3[[#This Row],[order_id]])</f>
        <v>6</v>
      </c>
    </row>
    <row r="72" spans="1:10">
      <c r="A72">
        <v>71</v>
      </c>
      <c r="B72">
        <v>1077</v>
      </c>
      <c r="C72" t="s">
        <v>36</v>
      </c>
      <c r="D72" t="s">
        <v>120</v>
      </c>
      <c r="E72" s="1">
        <v>46123</v>
      </c>
      <c r="F72" s="1">
        <v>46128</v>
      </c>
      <c r="G72" s="1">
        <v>46129</v>
      </c>
      <c r="H72">
        <v>40.200000000000003</v>
      </c>
      <c r="I72" t="s">
        <v>488</v>
      </c>
      <c r="J72" s="5">
        <f>SUMIFS(Table5[quantity],Table5[order_id],Table3[[#This Row],[order_id]])</f>
        <v>2</v>
      </c>
    </row>
    <row r="73" spans="1:10">
      <c r="A73">
        <v>72</v>
      </c>
      <c r="B73">
        <v>1078</v>
      </c>
      <c r="C73" t="s">
        <v>36</v>
      </c>
      <c r="D73" t="s">
        <v>119</v>
      </c>
      <c r="E73" s="1">
        <v>46039</v>
      </c>
      <c r="F73" s="1">
        <v>46043</v>
      </c>
      <c r="G73" s="1">
        <v>46040</v>
      </c>
      <c r="H73">
        <v>47.52</v>
      </c>
      <c r="I73" t="s">
        <v>39</v>
      </c>
      <c r="J73" s="5">
        <f>SUMIFS(Table5[quantity],Table5[order_id],Table3[[#This Row],[order_id]])</f>
        <v>25</v>
      </c>
    </row>
    <row r="74" spans="1:10">
      <c r="A74">
        <v>73</v>
      </c>
      <c r="B74">
        <v>1079</v>
      </c>
      <c r="C74" t="s">
        <v>35</v>
      </c>
      <c r="D74" t="s">
        <v>119</v>
      </c>
      <c r="E74" s="1">
        <v>46035</v>
      </c>
      <c r="F74" s="1">
        <v>46041</v>
      </c>
      <c r="G74" s="1">
        <v>46040</v>
      </c>
      <c r="H74">
        <v>59.03</v>
      </c>
      <c r="I74" t="s">
        <v>39</v>
      </c>
      <c r="J74" s="5">
        <f>SUMIFS(Table5[quantity],Table5[order_id],Table3[[#This Row],[order_id]])</f>
        <v>2</v>
      </c>
    </row>
    <row r="75" spans="1:10">
      <c r="A75">
        <v>74</v>
      </c>
      <c r="B75">
        <v>1080</v>
      </c>
      <c r="C75" t="s">
        <v>34</v>
      </c>
      <c r="D75" t="s">
        <v>117</v>
      </c>
      <c r="E75" s="1">
        <v>46137</v>
      </c>
      <c r="F75" s="1">
        <v>46133</v>
      </c>
      <c r="G75" s="1">
        <v>46143</v>
      </c>
      <c r="H75">
        <v>85.6</v>
      </c>
      <c r="I75" t="s">
        <v>488</v>
      </c>
      <c r="J75" s="5">
        <f>SUMIFS(Table5[quantity],Table5[order_id],Table3[[#This Row],[order_id]])</f>
        <v>13</v>
      </c>
    </row>
    <row r="76" spans="1:10">
      <c r="A76">
        <v>75</v>
      </c>
      <c r="B76">
        <v>1081</v>
      </c>
      <c r="C76" t="s">
        <v>37</v>
      </c>
      <c r="D76" t="s">
        <v>118</v>
      </c>
      <c r="E76" s="1">
        <v>46146</v>
      </c>
      <c r="F76" s="1">
        <v>46152</v>
      </c>
      <c r="G76" s="1">
        <v>46148</v>
      </c>
      <c r="H76">
        <v>87.93</v>
      </c>
      <c r="I76" t="s">
        <v>141</v>
      </c>
      <c r="J76" s="5">
        <f>SUMIFS(Table5[quantity],Table5[order_id],Table3[[#This Row],[order_id]])</f>
        <v>2</v>
      </c>
    </row>
    <row r="77" spans="1:10">
      <c r="A77">
        <v>76</v>
      </c>
      <c r="B77">
        <v>1083</v>
      </c>
      <c r="C77" t="s">
        <v>35</v>
      </c>
      <c r="D77" t="s">
        <v>119</v>
      </c>
      <c r="E77" s="1">
        <v>46107</v>
      </c>
      <c r="F77" s="1">
        <v>46107</v>
      </c>
      <c r="G77" s="1">
        <v>46115</v>
      </c>
      <c r="H77">
        <v>114.79</v>
      </c>
      <c r="I77" t="s">
        <v>39</v>
      </c>
      <c r="J77" s="5">
        <f>SUMIFS(Table5[quantity],Table5[order_id],Table3[[#This Row],[order_id]])</f>
        <v>1</v>
      </c>
    </row>
    <row r="78" spans="1:10">
      <c r="A78">
        <v>77</v>
      </c>
      <c r="B78">
        <v>1084</v>
      </c>
      <c r="C78" t="s">
        <v>35</v>
      </c>
      <c r="D78" t="s">
        <v>118</v>
      </c>
      <c r="E78" s="1">
        <v>46114</v>
      </c>
      <c r="F78" s="1">
        <v>46116</v>
      </c>
      <c r="G78" s="1">
        <v>46115</v>
      </c>
      <c r="H78">
        <v>104.06</v>
      </c>
      <c r="I78" t="s">
        <v>141</v>
      </c>
      <c r="J78" s="5">
        <f>SUMIFS(Table5[quantity],Table5[order_id],Table3[[#This Row],[order_id]])</f>
        <v>18</v>
      </c>
    </row>
    <row r="79" spans="1:10">
      <c r="A79">
        <v>78</v>
      </c>
      <c r="B79">
        <v>1085</v>
      </c>
      <c r="C79" t="s">
        <v>35</v>
      </c>
      <c r="D79" t="s">
        <v>122</v>
      </c>
      <c r="E79" s="1">
        <v>46156</v>
      </c>
      <c r="F79" s="1">
        <v>46153</v>
      </c>
      <c r="G79" s="1">
        <v>46166</v>
      </c>
      <c r="H79">
        <v>87.96</v>
      </c>
      <c r="I79" t="s">
        <v>39</v>
      </c>
      <c r="J79" s="5">
        <f>SUMIFS(Table5[quantity],Table5[order_id],Table3[[#This Row],[order_id]])</f>
        <v>5</v>
      </c>
    </row>
    <row r="80" spans="1:10">
      <c r="A80">
        <v>79</v>
      </c>
      <c r="B80">
        <v>1086</v>
      </c>
      <c r="C80" t="s">
        <v>33</v>
      </c>
      <c r="D80" t="s">
        <v>122</v>
      </c>
      <c r="E80" s="1">
        <v>46054</v>
      </c>
      <c r="F80" s="1">
        <v>46052</v>
      </c>
      <c r="G80" s="1">
        <v>46062</v>
      </c>
      <c r="H80">
        <v>104.85</v>
      </c>
      <c r="I80" t="s">
        <v>488</v>
      </c>
      <c r="J80" s="5">
        <f>SUMIFS(Table5[quantity],Table5[order_id],Table3[[#This Row],[order_id]])</f>
        <v>7</v>
      </c>
    </row>
    <row r="81" spans="1:10">
      <c r="A81">
        <v>80</v>
      </c>
      <c r="B81">
        <v>1087</v>
      </c>
      <c r="C81" t="s">
        <v>35</v>
      </c>
      <c r="D81" t="s">
        <v>119</v>
      </c>
      <c r="E81" s="1">
        <v>46113</v>
      </c>
      <c r="F81" s="1">
        <v>46112</v>
      </c>
      <c r="G81" s="1">
        <v>46119</v>
      </c>
      <c r="H81">
        <v>17.77</v>
      </c>
      <c r="I81" t="s">
        <v>141</v>
      </c>
      <c r="J81" s="5">
        <f>SUMIFS(Table5[quantity],Table5[order_id],Table3[[#This Row],[order_id]])</f>
        <v>15</v>
      </c>
    </row>
    <row r="82" spans="1:10">
      <c r="A82">
        <v>81</v>
      </c>
      <c r="B82">
        <v>1088</v>
      </c>
      <c r="C82" t="s">
        <v>34</v>
      </c>
      <c r="D82" t="s">
        <v>118</v>
      </c>
      <c r="E82" s="1">
        <v>46135</v>
      </c>
      <c r="F82" s="1">
        <v>46133</v>
      </c>
      <c r="G82" s="1">
        <v>46143</v>
      </c>
      <c r="H82">
        <v>114.24</v>
      </c>
      <c r="I82" t="s">
        <v>141</v>
      </c>
      <c r="J82" s="5">
        <f>SUMIFS(Table5[quantity],Table5[order_id],Table3[[#This Row],[order_id]])</f>
        <v>5</v>
      </c>
    </row>
    <row r="83" spans="1:10">
      <c r="A83">
        <v>82</v>
      </c>
      <c r="B83">
        <v>1089</v>
      </c>
      <c r="C83" t="s">
        <v>33</v>
      </c>
      <c r="D83" t="s">
        <v>118</v>
      </c>
      <c r="E83" s="1">
        <v>46107</v>
      </c>
      <c r="F83" s="1">
        <v>46111</v>
      </c>
      <c r="G83" s="1">
        <v>46117</v>
      </c>
      <c r="H83">
        <v>26.73</v>
      </c>
      <c r="I83" t="s">
        <v>141</v>
      </c>
      <c r="J83" s="5">
        <f>SUMIFS(Table5[quantity],Table5[order_id],Table3[[#This Row],[order_id]])</f>
        <v>28</v>
      </c>
    </row>
    <row r="84" spans="1:10">
      <c r="A84">
        <v>83</v>
      </c>
      <c r="B84">
        <v>1090</v>
      </c>
      <c r="C84" t="s">
        <v>37</v>
      </c>
      <c r="D84" t="s">
        <v>117</v>
      </c>
      <c r="E84" s="1">
        <v>46072</v>
      </c>
      <c r="F84" s="1">
        <v>46073</v>
      </c>
      <c r="G84" s="1">
        <v>46079</v>
      </c>
      <c r="H84">
        <v>80.27</v>
      </c>
      <c r="I84" t="s">
        <v>141</v>
      </c>
      <c r="J84" s="5">
        <f>SUMIFS(Table5[quantity],Table5[order_id],Table3[[#This Row],[order_id]])</f>
        <v>15</v>
      </c>
    </row>
    <row r="85" spans="1:10">
      <c r="A85">
        <v>84</v>
      </c>
      <c r="B85">
        <v>1092</v>
      </c>
      <c r="C85" t="s">
        <v>32</v>
      </c>
      <c r="D85" t="s">
        <v>120</v>
      </c>
      <c r="E85" s="1">
        <v>46055</v>
      </c>
      <c r="F85" s="1">
        <v>46063</v>
      </c>
      <c r="G85" s="1">
        <v>46056</v>
      </c>
      <c r="H85">
        <v>27.19</v>
      </c>
      <c r="I85" t="s">
        <v>39</v>
      </c>
      <c r="J85" s="5">
        <f>SUMIFS(Table5[quantity],Table5[order_id],Table3[[#This Row],[order_id]])</f>
        <v>13</v>
      </c>
    </row>
    <row r="86" spans="1:10">
      <c r="A86">
        <v>85</v>
      </c>
      <c r="B86">
        <v>1093</v>
      </c>
      <c r="C86" t="s">
        <v>33</v>
      </c>
      <c r="D86" t="s">
        <v>117</v>
      </c>
      <c r="E86" s="1">
        <v>46062</v>
      </c>
      <c r="F86" s="1">
        <v>46066</v>
      </c>
      <c r="G86" s="1">
        <v>46067</v>
      </c>
      <c r="H86">
        <v>84.38</v>
      </c>
      <c r="I86" t="s">
        <v>141</v>
      </c>
      <c r="J86" s="5">
        <f>SUMIFS(Table5[quantity],Table5[order_id],Table3[[#This Row],[order_id]])</f>
        <v>5</v>
      </c>
    </row>
    <row r="87" spans="1:10">
      <c r="A87">
        <v>86</v>
      </c>
      <c r="B87">
        <v>1094</v>
      </c>
      <c r="C87" t="s">
        <v>37</v>
      </c>
      <c r="D87" t="s">
        <v>120</v>
      </c>
      <c r="E87" s="1">
        <v>46104</v>
      </c>
      <c r="F87" s="1">
        <v>46106</v>
      </c>
      <c r="G87" s="1">
        <v>46113</v>
      </c>
      <c r="H87">
        <v>17.850000000000001</v>
      </c>
      <c r="I87" t="s">
        <v>488</v>
      </c>
      <c r="J87" s="5">
        <f>SUMIFS(Table5[quantity],Table5[order_id],Table3[[#This Row],[order_id]])</f>
        <v>20</v>
      </c>
    </row>
    <row r="88" spans="1:10">
      <c r="A88">
        <v>87</v>
      </c>
      <c r="B88">
        <v>1095</v>
      </c>
      <c r="C88" t="s">
        <v>33</v>
      </c>
      <c r="D88" t="s">
        <v>119</v>
      </c>
      <c r="E88" s="1">
        <v>46071</v>
      </c>
      <c r="F88" s="1">
        <v>46066</v>
      </c>
      <c r="G88" s="1">
        <v>46080</v>
      </c>
      <c r="H88">
        <v>22.49</v>
      </c>
      <c r="I88" t="s">
        <v>39</v>
      </c>
      <c r="J88" s="5">
        <f>SUMIFS(Table5[quantity],Table5[order_id],Table3[[#This Row],[order_id]])</f>
        <v>14</v>
      </c>
    </row>
    <row r="89" spans="1:10">
      <c r="A89">
        <v>88</v>
      </c>
      <c r="B89">
        <v>1096</v>
      </c>
      <c r="C89" t="s">
        <v>34</v>
      </c>
      <c r="D89" t="s">
        <v>117</v>
      </c>
      <c r="E89" s="1">
        <v>46078</v>
      </c>
      <c r="F89" s="1">
        <v>46086</v>
      </c>
      <c r="G89" s="1">
        <v>46084</v>
      </c>
      <c r="H89">
        <v>48.24</v>
      </c>
      <c r="I89" t="s">
        <v>39</v>
      </c>
      <c r="J89" s="5">
        <f>SUMIFS(Table5[quantity],Table5[order_id],Table3[[#This Row],[order_id]])</f>
        <v>10</v>
      </c>
    </row>
    <row r="90" spans="1:10">
      <c r="A90">
        <v>89</v>
      </c>
      <c r="B90">
        <v>1097</v>
      </c>
      <c r="C90" t="s">
        <v>35</v>
      </c>
      <c r="D90" t="s">
        <v>118</v>
      </c>
      <c r="E90" s="1">
        <v>46102</v>
      </c>
      <c r="F90" s="1">
        <v>46102</v>
      </c>
      <c r="G90" s="1">
        <v>46109</v>
      </c>
      <c r="H90">
        <v>79</v>
      </c>
      <c r="I90" t="s">
        <v>141</v>
      </c>
      <c r="J90" s="5">
        <f>SUMIFS(Table5[quantity],Table5[order_id],Table3[[#This Row],[order_id]])</f>
        <v>11</v>
      </c>
    </row>
    <row r="91" spans="1:10">
      <c r="A91">
        <v>90</v>
      </c>
      <c r="B91">
        <v>1098</v>
      </c>
      <c r="C91" t="s">
        <v>33</v>
      </c>
      <c r="D91" t="s">
        <v>117</v>
      </c>
      <c r="E91" s="1">
        <v>46147</v>
      </c>
      <c r="F91" s="1">
        <v>46142</v>
      </c>
      <c r="G91" s="1">
        <v>46157</v>
      </c>
      <c r="H91">
        <v>99.31</v>
      </c>
      <c r="I91" t="s">
        <v>141</v>
      </c>
      <c r="J91" s="5">
        <f>SUMIFS(Table5[quantity],Table5[order_id],Table3[[#This Row],[order_id]])</f>
        <v>1</v>
      </c>
    </row>
    <row r="92" spans="1:10">
      <c r="A92">
        <v>91</v>
      </c>
      <c r="B92">
        <v>1099</v>
      </c>
      <c r="C92" t="s">
        <v>32</v>
      </c>
      <c r="D92" t="s">
        <v>117</v>
      </c>
      <c r="E92" s="1">
        <v>46131</v>
      </c>
      <c r="F92" s="1">
        <v>46131</v>
      </c>
      <c r="G92" s="1">
        <v>46132</v>
      </c>
      <c r="H92">
        <v>58.98</v>
      </c>
      <c r="I92" t="s">
        <v>39</v>
      </c>
      <c r="J92" s="5">
        <f>SUMIFS(Table5[quantity],Table5[order_id],Table3[[#This Row],[order_id]])</f>
        <v>9</v>
      </c>
    </row>
    <row r="93" spans="1:10">
      <c r="A93">
        <v>92</v>
      </c>
      <c r="B93">
        <v>1100</v>
      </c>
      <c r="C93" t="s">
        <v>36</v>
      </c>
      <c r="D93" t="s">
        <v>120</v>
      </c>
      <c r="E93" s="1">
        <v>46100</v>
      </c>
      <c r="F93" s="1">
        <v>46103</v>
      </c>
      <c r="G93" s="1">
        <v>46109</v>
      </c>
      <c r="H93">
        <v>20.52</v>
      </c>
      <c r="I93" t="s">
        <v>488</v>
      </c>
      <c r="J93" s="5">
        <f>SUMIFS(Table5[quantity],Table5[order_id],Table3[[#This Row],[order_id]])</f>
        <v>14</v>
      </c>
    </row>
    <row r="94" spans="1:10">
      <c r="A94">
        <v>93</v>
      </c>
      <c r="B94">
        <v>1101</v>
      </c>
      <c r="C94" t="s">
        <v>36</v>
      </c>
      <c r="D94" t="s">
        <v>117</v>
      </c>
      <c r="E94" s="1">
        <v>46055</v>
      </c>
      <c r="F94" s="1">
        <v>46059</v>
      </c>
      <c r="G94" s="1">
        <v>46057</v>
      </c>
      <c r="H94">
        <v>33.08</v>
      </c>
      <c r="I94" t="s">
        <v>39</v>
      </c>
      <c r="J94" s="5">
        <f>SUMIFS(Table5[quantity],Table5[order_id],Table3[[#This Row],[order_id]])</f>
        <v>8</v>
      </c>
    </row>
    <row r="95" spans="1:10">
      <c r="A95">
        <v>94</v>
      </c>
      <c r="B95">
        <v>1102</v>
      </c>
      <c r="C95" t="s">
        <v>33</v>
      </c>
      <c r="D95" t="s">
        <v>118</v>
      </c>
      <c r="E95" s="1">
        <v>46122</v>
      </c>
      <c r="F95" s="1">
        <v>46117</v>
      </c>
      <c r="G95" s="1">
        <v>46132</v>
      </c>
      <c r="H95">
        <v>69.760000000000005</v>
      </c>
      <c r="I95" t="s">
        <v>141</v>
      </c>
      <c r="J95" s="5">
        <f>SUMIFS(Table5[quantity],Table5[order_id],Table3[[#This Row],[order_id]])</f>
        <v>13</v>
      </c>
    </row>
    <row r="96" spans="1:10">
      <c r="A96">
        <v>95</v>
      </c>
      <c r="B96">
        <v>1103</v>
      </c>
      <c r="C96" t="s">
        <v>36</v>
      </c>
      <c r="D96" t="s">
        <v>119</v>
      </c>
      <c r="E96" s="1">
        <v>46106</v>
      </c>
      <c r="F96" s="1">
        <v>46110</v>
      </c>
      <c r="G96" s="1">
        <v>46108</v>
      </c>
      <c r="H96">
        <v>88.38</v>
      </c>
      <c r="I96" t="s">
        <v>39</v>
      </c>
      <c r="J96" s="5">
        <f>SUMIFS(Table5[quantity],Table5[order_id],Table3[[#This Row],[order_id]])</f>
        <v>19</v>
      </c>
    </row>
    <row r="97" spans="1:10">
      <c r="A97">
        <v>96</v>
      </c>
      <c r="B97">
        <v>1104</v>
      </c>
      <c r="C97" t="s">
        <v>36</v>
      </c>
      <c r="D97" t="s">
        <v>118</v>
      </c>
      <c r="E97" s="1">
        <v>46131</v>
      </c>
      <c r="F97" s="1">
        <v>46130</v>
      </c>
      <c r="G97" s="1">
        <v>46140</v>
      </c>
      <c r="H97">
        <v>5.23</v>
      </c>
      <c r="I97" t="s">
        <v>39</v>
      </c>
      <c r="J97" s="5">
        <f>SUMIFS(Table5[quantity],Table5[order_id],Table3[[#This Row],[order_id]])</f>
        <v>23</v>
      </c>
    </row>
    <row r="98" spans="1:10">
      <c r="A98">
        <v>97</v>
      </c>
      <c r="B98">
        <v>1105</v>
      </c>
      <c r="C98" t="s">
        <v>33</v>
      </c>
      <c r="D98" t="s">
        <v>117</v>
      </c>
      <c r="E98" s="1">
        <v>46057</v>
      </c>
      <c r="F98" s="1">
        <v>46065</v>
      </c>
      <c r="G98" s="1">
        <v>46061</v>
      </c>
      <c r="H98">
        <v>64.069999999999993</v>
      </c>
      <c r="I98" t="s">
        <v>141</v>
      </c>
      <c r="J98" s="5">
        <f>SUMIFS(Table5[quantity],Table5[order_id],Table3[[#This Row],[order_id]])</f>
        <v>8</v>
      </c>
    </row>
    <row r="99" spans="1:10">
      <c r="A99">
        <v>98</v>
      </c>
      <c r="B99">
        <v>1106</v>
      </c>
      <c r="C99" t="s">
        <v>37</v>
      </c>
      <c r="D99" t="s">
        <v>119</v>
      </c>
      <c r="E99" s="1">
        <v>46042</v>
      </c>
      <c r="F99" s="1">
        <v>46040</v>
      </c>
      <c r="G99" s="1">
        <v>46052</v>
      </c>
      <c r="H99">
        <v>24.17</v>
      </c>
      <c r="I99" t="s">
        <v>39</v>
      </c>
      <c r="J99" s="5">
        <f>SUMIFS(Table5[quantity],Table5[order_id],Table3[[#This Row],[order_id]])</f>
        <v>5</v>
      </c>
    </row>
    <row r="100" spans="1:10">
      <c r="A100">
        <v>99</v>
      </c>
      <c r="B100">
        <v>1107</v>
      </c>
      <c r="C100" t="s">
        <v>33</v>
      </c>
      <c r="D100" t="s">
        <v>117</v>
      </c>
      <c r="E100" s="1">
        <v>46096</v>
      </c>
      <c r="F100" s="1">
        <v>46090</v>
      </c>
      <c r="G100" s="1">
        <v>46103</v>
      </c>
      <c r="H100">
        <v>98.1</v>
      </c>
      <c r="I100" t="s">
        <v>141</v>
      </c>
      <c r="J100" s="5">
        <f>SUMIFS(Table5[quantity],Table5[order_id],Table3[[#This Row],[order_id]])</f>
        <v>20</v>
      </c>
    </row>
    <row r="101" spans="1:10">
      <c r="A101">
        <v>100</v>
      </c>
      <c r="B101">
        <v>1108</v>
      </c>
      <c r="C101" t="s">
        <v>33</v>
      </c>
      <c r="D101" t="s">
        <v>117</v>
      </c>
      <c r="E101" s="1">
        <v>46085</v>
      </c>
      <c r="F101" s="1">
        <v>46080</v>
      </c>
      <c r="G101" s="1">
        <v>46087</v>
      </c>
      <c r="H101">
        <v>29.12</v>
      </c>
      <c r="I101" t="s">
        <v>488</v>
      </c>
      <c r="J101" s="5">
        <f>SUMIFS(Table5[quantity],Table5[order_id],Table3[[#This Row],[order_id]])</f>
        <v>15</v>
      </c>
    </row>
    <row r="102" spans="1:10">
      <c r="A102">
        <v>101</v>
      </c>
      <c r="B102">
        <v>1109</v>
      </c>
      <c r="C102" t="s">
        <v>36</v>
      </c>
      <c r="D102" t="s">
        <v>117</v>
      </c>
      <c r="E102" s="1">
        <v>46080</v>
      </c>
      <c r="F102" s="1">
        <v>46081</v>
      </c>
      <c r="G102" s="1">
        <v>46081</v>
      </c>
      <c r="H102">
        <v>27.47</v>
      </c>
      <c r="I102" t="s">
        <v>488</v>
      </c>
      <c r="J102" s="5">
        <f>SUMIFS(Table5[quantity],Table5[order_id],Table3[[#This Row],[order_id]])</f>
        <v>7</v>
      </c>
    </row>
    <row r="103" spans="1:10">
      <c r="A103">
        <v>102</v>
      </c>
      <c r="B103">
        <v>1110</v>
      </c>
      <c r="C103" t="s">
        <v>35</v>
      </c>
      <c r="D103" t="s">
        <v>117</v>
      </c>
      <c r="E103" s="1">
        <v>46055</v>
      </c>
      <c r="F103" s="1">
        <v>46053</v>
      </c>
      <c r="G103" s="1">
        <v>46056</v>
      </c>
      <c r="H103">
        <v>108.05</v>
      </c>
      <c r="I103" t="s">
        <v>39</v>
      </c>
      <c r="J103" s="5">
        <f>SUMIFS(Table5[quantity],Table5[order_id],Table3[[#This Row],[order_id]])</f>
        <v>2</v>
      </c>
    </row>
    <row r="104" spans="1:10">
      <c r="A104">
        <v>103</v>
      </c>
      <c r="B104">
        <v>1112</v>
      </c>
      <c r="C104" t="s">
        <v>32</v>
      </c>
      <c r="D104" t="s">
        <v>117</v>
      </c>
      <c r="E104" s="1">
        <v>46061</v>
      </c>
      <c r="F104" s="1">
        <v>46057</v>
      </c>
      <c r="G104" s="1">
        <v>46071</v>
      </c>
      <c r="H104">
        <v>35.97</v>
      </c>
      <c r="I104" t="s">
        <v>39</v>
      </c>
      <c r="J104" s="5">
        <f>SUMIFS(Table5[quantity],Table5[order_id],Table3[[#This Row],[order_id]])</f>
        <v>12</v>
      </c>
    </row>
    <row r="105" spans="1:10">
      <c r="A105">
        <v>104</v>
      </c>
      <c r="B105">
        <v>1113</v>
      </c>
      <c r="C105" t="s">
        <v>34</v>
      </c>
      <c r="D105" t="s">
        <v>120</v>
      </c>
      <c r="E105" s="1">
        <v>46146</v>
      </c>
      <c r="F105" s="1">
        <v>46149</v>
      </c>
      <c r="G105" s="1">
        <v>46154</v>
      </c>
      <c r="H105">
        <v>111.4</v>
      </c>
      <c r="I105" t="s">
        <v>488</v>
      </c>
      <c r="J105" s="5">
        <f>SUMIFS(Table5[quantity],Table5[order_id],Table3[[#This Row],[order_id]])</f>
        <v>10</v>
      </c>
    </row>
    <row r="106" spans="1:10">
      <c r="A106">
        <v>105</v>
      </c>
      <c r="B106">
        <v>1114</v>
      </c>
      <c r="C106" t="s">
        <v>33</v>
      </c>
      <c r="D106" t="s">
        <v>117</v>
      </c>
      <c r="E106" s="1">
        <v>46118</v>
      </c>
      <c r="F106" s="1">
        <v>46119</v>
      </c>
      <c r="G106" s="1">
        <v>46123</v>
      </c>
      <c r="H106">
        <v>94.44</v>
      </c>
      <c r="I106" t="s">
        <v>39</v>
      </c>
      <c r="J106" s="5">
        <f>SUMIFS(Table5[quantity],Table5[order_id],Table3[[#This Row],[order_id]])</f>
        <v>19</v>
      </c>
    </row>
    <row r="107" spans="1:10">
      <c r="A107">
        <v>106</v>
      </c>
      <c r="B107">
        <v>1115</v>
      </c>
      <c r="C107" t="s">
        <v>33</v>
      </c>
      <c r="D107" t="s">
        <v>119</v>
      </c>
      <c r="E107" s="1">
        <v>46078</v>
      </c>
      <c r="F107" s="1">
        <v>46078</v>
      </c>
      <c r="G107" s="1">
        <v>46082</v>
      </c>
      <c r="H107">
        <v>74.34</v>
      </c>
      <c r="I107" t="s">
        <v>39</v>
      </c>
      <c r="J107" s="5">
        <f>SUMIFS(Table5[quantity],Table5[order_id],Table3[[#This Row],[order_id]])</f>
        <v>5</v>
      </c>
    </row>
    <row r="108" spans="1:10">
      <c r="A108">
        <v>107</v>
      </c>
      <c r="B108">
        <v>1116</v>
      </c>
      <c r="C108" t="s">
        <v>35</v>
      </c>
      <c r="D108" t="s">
        <v>117</v>
      </c>
      <c r="E108" s="1">
        <v>46074</v>
      </c>
      <c r="F108" s="1">
        <v>46071</v>
      </c>
      <c r="G108" s="1">
        <v>46083</v>
      </c>
      <c r="H108">
        <v>98.33</v>
      </c>
      <c r="I108" t="s">
        <v>141</v>
      </c>
      <c r="J108" s="5">
        <f>SUMIFS(Table5[quantity],Table5[order_id],Table3[[#This Row],[order_id]])</f>
        <v>5</v>
      </c>
    </row>
    <row r="109" spans="1:10">
      <c r="A109">
        <v>108</v>
      </c>
      <c r="B109">
        <v>1117</v>
      </c>
      <c r="C109" t="s">
        <v>33</v>
      </c>
      <c r="D109" t="s">
        <v>122</v>
      </c>
      <c r="E109" s="1">
        <v>46155</v>
      </c>
      <c r="F109" s="1">
        <v>46153</v>
      </c>
      <c r="G109" s="1">
        <v>46161</v>
      </c>
      <c r="H109">
        <v>12.82</v>
      </c>
      <c r="I109" t="s">
        <v>39</v>
      </c>
      <c r="J109" s="5">
        <f>SUMIFS(Table5[quantity],Table5[order_id],Table3[[#This Row],[order_id]])</f>
        <v>23</v>
      </c>
    </row>
    <row r="110" spans="1:10">
      <c r="A110">
        <v>109</v>
      </c>
      <c r="B110">
        <v>1118</v>
      </c>
      <c r="C110" t="s">
        <v>34</v>
      </c>
      <c r="D110" t="s">
        <v>117</v>
      </c>
      <c r="E110" s="1">
        <v>46086</v>
      </c>
      <c r="F110" s="1">
        <v>46082</v>
      </c>
      <c r="G110" s="1">
        <v>46089</v>
      </c>
      <c r="H110">
        <v>94.36</v>
      </c>
      <c r="I110" t="s">
        <v>39</v>
      </c>
      <c r="J110" s="5">
        <f>SUMIFS(Table5[quantity],Table5[order_id],Table3[[#This Row],[order_id]])</f>
        <v>8</v>
      </c>
    </row>
    <row r="111" spans="1:10">
      <c r="A111">
        <v>110</v>
      </c>
      <c r="B111">
        <v>1119</v>
      </c>
      <c r="C111" t="s">
        <v>36</v>
      </c>
      <c r="D111" t="s">
        <v>122</v>
      </c>
      <c r="E111" s="1">
        <v>46023</v>
      </c>
      <c r="F111" s="1">
        <v>46030</v>
      </c>
      <c r="G111" s="1">
        <v>46030</v>
      </c>
      <c r="H111">
        <v>59.49</v>
      </c>
      <c r="I111" t="s">
        <v>141</v>
      </c>
      <c r="J111" s="5">
        <f>SUMIFS(Table5[quantity],Table5[order_id],Table3[[#This Row],[order_id]])</f>
        <v>15</v>
      </c>
    </row>
    <row r="112" spans="1:10">
      <c r="A112">
        <v>111</v>
      </c>
      <c r="B112">
        <v>1120</v>
      </c>
      <c r="C112" t="s">
        <v>33</v>
      </c>
      <c r="D112" t="s">
        <v>118</v>
      </c>
      <c r="E112" s="1">
        <v>46069</v>
      </c>
      <c r="F112" s="1">
        <v>46072</v>
      </c>
      <c r="G112" s="1">
        <v>46075</v>
      </c>
      <c r="H112">
        <v>46.35</v>
      </c>
      <c r="I112" t="s">
        <v>39</v>
      </c>
      <c r="J112" s="5">
        <f>SUMIFS(Table5[quantity],Table5[order_id],Table3[[#This Row],[order_id]])</f>
        <v>14</v>
      </c>
    </row>
    <row r="113" spans="1:10">
      <c r="A113">
        <v>112</v>
      </c>
      <c r="B113">
        <v>1121</v>
      </c>
      <c r="C113" t="s">
        <v>32</v>
      </c>
      <c r="D113" t="s">
        <v>122</v>
      </c>
      <c r="E113" s="1">
        <v>46058</v>
      </c>
      <c r="F113" s="1">
        <v>46059</v>
      </c>
      <c r="G113" s="1">
        <v>46061</v>
      </c>
      <c r="H113">
        <v>531.84</v>
      </c>
      <c r="I113" t="s">
        <v>141</v>
      </c>
      <c r="J113" s="5">
        <f>SUMIFS(Table5[quantity],Table5[order_id],Table3[[#This Row],[order_id]])</f>
        <v>4</v>
      </c>
    </row>
    <row r="114" spans="1:10">
      <c r="A114">
        <v>113</v>
      </c>
      <c r="B114">
        <v>1123</v>
      </c>
      <c r="C114" t="s">
        <v>32</v>
      </c>
      <c r="D114" t="s">
        <v>118</v>
      </c>
      <c r="E114" s="1">
        <v>46094</v>
      </c>
      <c r="F114" s="1">
        <v>46090</v>
      </c>
      <c r="G114" s="1">
        <v>46101</v>
      </c>
      <c r="H114">
        <v>75.180000000000007</v>
      </c>
      <c r="I114" t="s">
        <v>39</v>
      </c>
      <c r="J114" s="5">
        <f>SUMIFS(Table5[quantity],Table5[order_id],Table3[[#This Row],[order_id]])</f>
        <v>15</v>
      </c>
    </row>
    <row r="115" spans="1:10">
      <c r="A115">
        <v>114</v>
      </c>
      <c r="B115">
        <v>1124</v>
      </c>
      <c r="C115" t="s">
        <v>35</v>
      </c>
      <c r="D115" t="s">
        <v>119</v>
      </c>
      <c r="E115" s="1">
        <v>46129</v>
      </c>
      <c r="F115" s="1">
        <v>46133</v>
      </c>
      <c r="G115" s="1">
        <v>46133</v>
      </c>
      <c r="H115">
        <v>80.790000000000006</v>
      </c>
      <c r="I115" t="s">
        <v>488</v>
      </c>
      <c r="J115" s="5">
        <f>SUMIFS(Table5[quantity],Table5[order_id],Table3[[#This Row],[order_id]])</f>
        <v>21</v>
      </c>
    </row>
    <row r="116" spans="1:10">
      <c r="A116">
        <v>115</v>
      </c>
      <c r="B116">
        <v>1125</v>
      </c>
      <c r="C116" t="s">
        <v>35</v>
      </c>
      <c r="D116" t="s">
        <v>117</v>
      </c>
      <c r="E116" s="1">
        <v>46072</v>
      </c>
      <c r="F116" s="1">
        <v>46067</v>
      </c>
      <c r="G116" s="1">
        <v>46074</v>
      </c>
      <c r="H116">
        <v>34.44</v>
      </c>
      <c r="I116" t="s">
        <v>39</v>
      </c>
      <c r="J116" s="5">
        <f>SUMIFS(Table5[quantity],Table5[order_id],Table3[[#This Row],[order_id]])</f>
        <v>1</v>
      </c>
    </row>
    <row r="117" spans="1:10">
      <c r="A117">
        <v>116</v>
      </c>
      <c r="B117">
        <v>1126</v>
      </c>
      <c r="C117" t="s">
        <v>36</v>
      </c>
      <c r="D117" t="s">
        <v>117</v>
      </c>
      <c r="E117" s="1">
        <v>46089</v>
      </c>
      <c r="F117" s="1">
        <v>46087</v>
      </c>
      <c r="G117" s="1">
        <v>46097</v>
      </c>
      <c r="H117">
        <v>77.2</v>
      </c>
      <c r="I117" t="s">
        <v>39</v>
      </c>
      <c r="J117" s="5">
        <f>SUMIFS(Table5[quantity],Table5[order_id],Table3[[#This Row],[order_id]])</f>
        <v>20</v>
      </c>
    </row>
    <row r="118" spans="1:10">
      <c r="A118">
        <v>117</v>
      </c>
      <c r="B118">
        <v>1129</v>
      </c>
      <c r="C118" t="s">
        <v>36</v>
      </c>
      <c r="D118" t="s">
        <v>120</v>
      </c>
      <c r="E118" s="1">
        <v>46087</v>
      </c>
      <c r="F118" s="1">
        <v>46089</v>
      </c>
      <c r="G118" s="1">
        <v>46091</v>
      </c>
      <c r="H118">
        <v>63.93</v>
      </c>
      <c r="I118" t="s">
        <v>39</v>
      </c>
      <c r="J118" s="5">
        <f>SUMIFS(Table5[quantity],Table5[order_id],Table3[[#This Row],[order_id]])</f>
        <v>14</v>
      </c>
    </row>
    <row r="119" spans="1:10">
      <c r="A119">
        <v>118</v>
      </c>
      <c r="B119">
        <v>1130</v>
      </c>
      <c r="C119" t="s">
        <v>34</v>
      </c>
      <c r="D119" t="s">
        <v>118</v>
      </c>
      <c r="E119" s="1">
        <v>46093</v>
      </c>
      <c r="F119" s="1">
        <v>46095</v>
      </c>
      <c r="G119" s="1">
        <v>46094</v>
      </c>
      <c r="H119">
        <v>21.65</v>
      </c>
      <c r="I119" t="s">
        <v>141</v>
      </c>
      <c r="J119" s="5">
        <f>SUMIFS(Table5[quantity],Table5[order_id],Table3[[#This Row],[order_id]])</f>
        <v>10</v>
      </c>
    </row>
    <row r="120" spans="1:10">
      <c r="A120">
        <v>119</v>
      </c>
      <c r="B120">
        <v>1131</v>
      </c>
      <c r="C120" t="s">
        <v>37</v>
      </c>
      <c r="D120" t="s">
        <v>117</v>
      </c>
      <c r="E120" s="1">
        <v>46100</v>
      </c>
      <c r="F120" s="1">
        <v>46097</v>
      </c>
      <c r="G120" s="1">
        <v>46109</v>
      </c>
      <c r="H120">
        <v>58.54</v>
      </c>
      <c r="I120" t="s">
        <v>141</v>
      </c>
      <c r="J120" s="5">
        <f>SUMIFS(Table5[quantity],Table5[order_id],Table3[[#This Row],[order_id]])</f>
        <v>16</v>
      </c>
    </row>
    <row r="121" spans="1:10">
      <c r="A121">
        <v>120</v>
      </c>
      <c r="B121">
        <v>1132</v>
      </c>
      <c r="C121" t="s">
        <v>34</v>
      </c>
      <c r="D121" t="s">
        <v>118</v>
      </c>
      <c r="E121" s="1">
        <v>46056</v>
      </c>
      <c r="F121" s="1">
        <v>46058</v>
      </c>
      <c r="G121" s="1">
        <v>46057</v>
      </c>
      <c r="H121">
        <v>104.18</v>
      </c>
      <c r="I121" t="s">
        <v>141</v>
      </c>
      <c r="J121" s="5">
        <f>SUMIFS(Table5[quantity],Table5[order_id],Table3[[#This Row],[order_id]])</f>
        <v>10</v>
      </c>
    </row>
    <row r="122" spans="1:10">
      <c r="A122">
        <v>121</v>
      </c>
      <c r="B122">
        <v>1133</v>
      </c>
      <c r="C122" t="s">
        <v>34</v>
      </c>
      <c r="D122" t="s">
        <v>118</v>
      </c>
      <c r="E122" s="1">
        <v>46114</v>
      </c>
      <c r="F122" s="1">
        <v>46113</v>
      </c>
      <c r="G122" s="1">
        <v>46122</v>
      </c>
      <c r="H122">
        <v>83.86</v>
      </c>
      <c r="I122" t="s">
        <v>488</v>
      </c>
      <c r="J122" s="5">
        <f>SUMIFS(Table5[quantity],Table5[order_id],Table3[[#This Row],[order_id]])</f>
        <v>4</v>
      </c>
    </row>
    <row r="123" spans="1:10">
      <c r="A123">
        <v>122</v>
      </c>
      <c r="B123">
        <v>1134</v>
      </c>
      <c r="C123" t="s">
        <v>34</v>
      </c>
      <c r="D123" t="s">
        <v>117</v>
      </c>
      <c r="E123" s="1">
        <v>46152</v>
      </c>
      <c r="F123" s="1">
        <v>46152</v>
      </c>
      <c r="G123" s="1">
        <v>46159</v>
      </c>
      <c r="H123">
        <v>45.55</v>
      </c>
      <c r="I123" t="s">
        <v>141</v>
      </c>
      <c r="J123" s="5">
        <f>SUMIFS(Table5[quantity],Table5[order_id],Table3[[#This Row],[order_id]])</f>
        <v>9</v>
      </c>
    </row>
    <row r="124" spans="1:10">
      <c r="A124">
        <v>123</v>
      </c>
      <c r="B124">
        <v>1135</v>
      </c>
      <c r="C124" t="s">
        <v>36</v>
      </c>
      <c r="D124" t="s">
        <v>122</v>
      </c>
      <c r="E124" s="1">
        <v>46098</v>
      </c>
      <c r="F124" s="1">
        <v>46104</v>
      </c>
      <c r="G124" s="1">
        <v>46101</v>
      </c>
      <c r="H124">
        <v>56.13</v>
      </c>
      <c r="I124" t="s">
        <v>141</v>
      </c>
      <c r="J124" s="5">
        <f>SUMIFS(Table5[quantity],Table5[order_id],Table3[[#This Row],[order_id]])</f>
        <v>8</v>
      </c>
    </row>
    <row r="125" spans="1:10">
      <c r="A125">
        <v>124</v>
      </c>
      <c r="B125">
        <v>1136</v>
      </c>
      <c r="C125" t="s">
        <v>37</v>
      </c>
      <c r="D125" t="s">
        <v>122</v>
      </c>
      <c r="E125" s="1">
        <v>46025</v>
      </c>
      <c r="F125" s="1">
        <v>46029</v>
      </c>
      <c r="G125" s="1">
        <v>46033</v>
      </c>
      <c r="H125">
        <v>92.83</v>
      </c>
      <c r="I125" t="s">
        <v>141</v>
      </c>
      <c r="J125" s="5">
        <f>SUMIFS(Table5[quantity],Table5[order_id],Table3[[#This Row],[order_id]])</f>
        <v>8</v>
      </c>
    </row>
    <row r="126" spans="1:10">
      <c r="A126">
        <v>125</v>
      </c>
      <c r="B126">
        <v>1137</v>
      </c>
      <c r="C126" t="s">
        <v>35</v>
      </c>
      <c r="D126" t="s">
        <v>117</v>
      </c>
      <c r="E126" s="1">
        <v>46107</v>
      </c>
      <c r="F126" s="1">
        <v>46107</v>
      </c>
      <c r="G126" s="1">
        <v>46115</v>
      </c>
      <c r="H126">
        <v>26.23</v>
      </c>
      <c r="I126" t="s">
        <v>141</v>
      </c>
      <c r="J126" s="5">
        <f>SUMIFS(Table5[quantity],Table5[order_id],Table3[[#This Row],[order_id]])</f>
        <v>3</v>
      </c>
    </row>
    <row r="127" spans="1:10">
      <c r="A127">
        <v>126</v>
      </c>
      <c r="B127">
        <v>1138</v>
      </c>
      <c r="C127" t="s">
        <v>33</v>
      </c>
      <c r="D127" t="s">
        <v>122</v>
      </c>
      <c r="E127" s="1">
        <v>46094</v>
      </c>
      <c r="F127" s="1">
        <v>46095</v>
      </c>
      <c r="G127" s="1">
        <v>46095</v>
      </c>
      <c r="H127">
        <v>45.87</v>
      </c>
      <c r="I127" t="s">
        <v>141</v>
      </c>
      <c r="J127" s="5">
        <f>SUMIFS(Table5[quantity],Table5[order_id],Table3[[#This Row],[order_id]])</f>
        <v>4</v>
      </c>
    </row>
    <row r="128" spans="1:10">
      <c r="A128">
        <v>127</v>
      </c>
      <c r="B128">
        <v>1139</v>
      </c>
      <c r="C128" t="s">
        <v>36</v>
      </c>
      <c r="D128" t="s">
        <v>118</v>
      </c>
      <c r="E128" s="1">
        <v>46091</v>
      </c>
      <c r="F128" s="1">
        <v>46098</v>
      </c>
      <c r="G128" s="1">
        <v>46095</v>
      </c>
      <c r="H128">
        <v>65.67</v>
      </c>
      <c r="I128" t="s">
        <v>39</v>
      </c>
      <c r="J128" s="5">
        <f>SUMIFS(Table5[quantity],Table5[order_id],Table3[[#This Row],[order_id]])</f>
        <v>2</v>
      </c>
    </row>
    <row r="129" spans="1:10">
      <c r="A129">
        <v>128</v>
      </c>
      <c r="B129">
        <v>1140</v>
      </c>
      <c r="C129" t="s">
        <v>32</v>
      </c>
      <c r="D129" t="s">
        <v>118</v>
      </c>
      <c r="E129" s="1">
        <v>46072</v>
      </c>
      <c r="F129" s="1">
        <v>46073</v>
      </c>
      <c r="G129" s="1">
        <v>46079</v>
      </c>
      <c r="H129">
        <v>99.83</v>
      </c>
      <c r="I129" t="s">
        <v>141</v>
      </c>
      <c r="J129" s="5">
        <f>SUMIFS(Table5[quantity],Table5[order_id],Table3[[#This Row],[order_id]])</f>
        <v>21</v>
      </c>
    </row>
    <row r="130" spans="1:10">
      <c r="A130">
        <v>129</v>
      </c>
      <c r="B130">
        <v>1142</v>
      </c>
      <c r="C130" t="s">
        <v>32</v>
      </c>
      <c r="D130" t="s">
        <v>119</v>
      </c>
      <c r="E130" s="1">
        <v>46155</v>
      </c>
      <c r="F130" s="1">
        <v>46157</v>
      </c>
      <c r="G130" s="1">
        <v>46160</v>
      </c>
      <c r="H130">
        <v>14.66</v>
      </c>
      <c r="I130" t="s">
        <v>39</v>
      </c>
      <c r="J130" s="5">
        <f>SUMIFS(Table5[quantity],Table5[order_id],Table3[[#This Row],[order_id]])</f>
        <v>6</v>
      </c>
    </row>
    <row r="131" spans="1:10">
      <c r="A131">
        <v>130</v>
      </c>
      <c r="B131">
        <v>1143</v>
      </c>
      <c r="C131" t="s">
        <v>33</v>
      </c>
      <c r="D131" t="s">
        <v>119</v>
      </c>
      <c r="E131" s="1">
        <v>46146</v>
      </c>
      <c r="F131" s="1">
        <v>46148</v>
      </c>
      <c r="G131" s="1">
        <v>46152</v>
      </c>
      <c r="H131">
        <v>44.36</v>
      </c>
      <c r="I131" t="s">
        <v>488</v>
      </c>
      <c r="J131" s="5">
        <f>SUMIFS(Table5[quantity],Table5[order_id],Table3[[#This Row],[order_id]])</f>
        <v>1</v>
      </c>
    </row>
    <row r="132" spans="1:10">
      <c r="A132">
        <v>131</v>
      </c>
      <c r="B132">
        <v>1144</v>
      </c>
      <c r="C132" t="s">
        <v>33</v>
      </c>
      <c r="D132" t="s">
        <v>117</v>
      </c>
      <c r="E132" s="1">
        <v>46029</v>
      </c>
      <c r="F132" s="1">
        <v>46031</v>
      </c>
      <c r="G132" s="1">
        <v>46033</v>
      </c>
      <c r="H132">
        <v>21.77</v>
      </c>
      <c r="I132" t="s">
        <v>39</v>
      </c>
      <c r="J132" s="5">
        <f>SUMIFS(Table5[quantity],Table5[order_id],Table3[[#This Row],[order_id]])</f>
        <v>1</v>
      </c>
    </row>
    <row r="133" spans="1:10">
      <c r="A133">
        <v>132</v>
      </c>
      <c r="B133">
        <v>1145</v>
      </c>
      <c r="C133" t="s">
        <v>36</v>
      </c>
      <c r="D133" t="s">
        <v>118</v>
      </c>
      <c r="E133" s="1">
        <v>46153</v>
      </c>
      <c r="F133" s="1">
        <v>46157</v>
      </c>
      <c r="G133" s="1">
        <v>46162</v>
      </c>
      <c r="H133">
        <v>26.98</v>
      </c>
      <c r="I133" t="s">
        <v>39</v>
      </c>
      <c r="J133" s="5">
        <f>SUMIFS(Table5[quantity],Table5[order_id],Table3[[#This Row],[order_id]])</f>
        <v>11</v>
      </c>
    </row>
    <row r="134" spans="1:10">
      <c r="A134">
        <v>133</v>
      </c>
      <c r="B134">
        <v>1146</v>
      </c>
      <c r="C134" t="s">
        <v>35</v>
      </c>
      <c r="D134" t="s">
        <v>119</v>
      </c>
      <c r="E134" s="1">
        <v>46085</v>
      </c>
      <c r="F134" s="1">
        <v>46089</v>
      </c>
      <c r="G134" s="1">
        <v>46089</v>
      </c>
      <c r="H134">
        <v>83.5</v>
      </c>
      <c r="I134" t="s">
        <v>141</v>
      </c>
      <c r="J134" s="5">
        <f>SUMIFS(Table5[quantity],Table5[order_id],Table3[[#This Row],[order_id]])</f>
        <v>17</v>
      </c>
    </row>
    <row r="135" spans="1:10">
      <c r="A135">
        <v>134</v>
      </c>
      <c r="B135">
        <v>1147</v>
      </c>
      <c r="C135" t="s">
        <v>35</v>
      </c>
      <c r="D135" t="s">
        <v>119</v>
      </c>
      <c r="E135" s="1">
        <v>46043</v>
      </c>
      <c r="F135" s="1">
        <v>46041</v>
      </c>
      <c r="G135" s="1">
        <v>46053</v>
      </c>
      <c r="H135">
        <v>88.67</v>
      </c>
      <c r="I135" t="s">
        <v>141</v>
      </c>
      <c r="J135" s="5">
        <f>SUMIFS(Table5[quantity],Table5[order_id],Table3[[#This Row],[order_id]])</f>
        <v>18</v>
      </c>
    </row>
    <row r="136" spans="1:10">
      <c r="A136">
        <v>135</v>
      </c>
      <c r="B136">
        <v>1149</v>
      </c>
      <c r="C136" t="s">
        <v>36</v>
      </c>
      <c r="D136" t="s">
        <v>120</v>
      </c>
      <c r="E136" s="1">
        <v>46119</v>
      </c>
      <c r="F136" s="1">
        <v>46124</v>
      </c>
      <c r="G136" s="1">
        <v>46125</v>
      </c>
      <c r="H136">
        <v>45.22</v>
      </c>
      <c r="I136" t="s">
        <v>141</v>
      </c>
      <c r="J136" s="5">
        <f>SUMIFS(Table5[quantity],Table5[order_id],Table3[[#This Row],[order_id]])</f>
        <v>11</v>
      </c>
    </row>
    <row r="137" spans="1:10">
      <c r="A137">
        <v>136</v>
      </c>
      <c r="B137">
        <v>1150</v>
      </c>
      <c r="C137" t="s">
        <v>35</v>
      </c>
      <c r="D137" t="s">
        <v>118</v>
      </c>
      <c r="E137" s="1">
        <v>46091</v>
      </c>
      <c r="F137" s="1">
        <v>46094</v>
      </c>
      <c r="G137" s="1">
        <v>46097</v>
      </c>
      <c r="H137">
        <v>56.1</v>
      </c>
      <c r="I137" t="s">
        <v>39</v>
      </c>
      <c r="J137" s="5">
        <f>SUMIFS(Table5[quantity],Table5[order_id],Table3[[#This Row],[order_id]])</f>
        <v>9</v>
      </c>
    </row>
    <row r="138" spans="1:10">
      <c r="A138">
        <v>137</v>
      </c>
      <c r="B138">
        <v>1151</v>
      </c>
      <c r="C138" t="s">
        <v>33</v>
      </c>
      <c r="D138" t="s">
        <v>117</v>
      </c>
      <c r="E138" s="1">
        <v>46075</v>
      </c>
      <c r="F138" s="1">
        <v>46078</v>
      </c>
      <c r="G138" s="1">
        <v>46078</v>
      </c>
      <c r="H138">
        <v>88.34</v>
      </c>
      <c r="I138" t="s">
        <v>39</v>
      </c>
      <c r="J138" s="5">
        <f>SUMIFS(Table5[quantity],Table5[order_id],Table3[[#This Row],[order_id]])</f>
        <v>5</v>
      </c>
    </row>
    <row r="139" spans="1:10">
      <c r="A139">
        <v>138</v>
      </c>
      <c r="B139">
        <v>1152</v>
      </c>
      <c r="C139" t="s">
        <v>33</v>
      </c>
      <c r="D139" t="s">
        <v>122</v>
      </c>
      <c r="E139" s="1">
        <v>46136</v>
      </c>
      <c r="F139" s="1">
        <v>46143</v>
      </c>
      <c r="G139" s="1">
        <v>46144</v>
      </c>
      <c r="H139">
        <v>19.55</v>
      </c>
      <c r="I139" t="s">
        <v>488</v>
      </c>
      <c r="J139" s="5">
        <f>SUMIFS(Table5[quantity],Table5[order_id],Table3[[#This Row],[order_id]])</f>
        <v>13</v>
      </c>
    </row>
    <row r="140" spans="1:10">
      <c r="A140">
        <v>139</v>
      </c>
      <c r="B140">
        <v>1153</v>
      </c>
      <c r="C140" t="s">
        <v>36</v>
      </c>
      <c r="D140" t="s">
        <v>117</v>
      </c>
      <c r="E140" s="1">
        <v>46124</v>
      </c>
      <c r="F140" s="1">
        <v>46124</v>
      </c>
      <c r="G140" s="1">
        <v>46127</v>
      </c>
      <c r="H140">
        <v>111.54</v>
      </c>
      <c r="I140" t="s">
        <v>39</v>
      </c>
      <c r="J140" s="5">
        <f>SUMIFS(Table5[quantity],Table5[order_id],Table3[[#This Row],[order_id]])</f>
        <v>11</v>
      </c>
    </row>
    <row r="141" spans="1:10">
      <c r="A141">
        <v>140</v>
      </c>
      <c r="B141">
        <v>1154</v>
      </c>
      <c r="C141" t="s">
        <v>32</v>
      </c>
      <c r="D141" t="s">
        <v>117</v>
      </c>
      <c r="E141" s="1">
        <v>46147</v>
      </c>
      <c r="F141" s="1">
        <v>46142</v>
      </c>
      <c r="G141" s="1">
        <v>46155</v>
      </c>
      <c r="H141">
        <v>57</v>
      </c>
      <c r="I141" t="s">
        <v>141</v>
      </c>
      <c r="J141" s="5">
        <f>SUMIFS(Table5[quantity],Table5[order_id],Table3[[#This Row],[order_id]])</f>
        <v>6</v>
      </c>
    </row>
    <row r="142" spans="1:10">
      <c r="A142">
        <v>141</v>
      </c>
      <c r="B142">
        <v>1155</v>
      </c>
      <c r="C142" t="s">
        <v>35</v>
      </c>
      <c r="D142" t="s">
        <v>117</v>
      </c>
      <c r="E142" s="1">
        <v>46130</v>
      </c>
      <c r="F142" s="1">
        <v>46124</v>
      </c>
      <c r="G142" s="1">
        <v>46139</v>
      </c>
      <c r="H142">
        <v>108.83</v>
      </c>
      <c r="I142" t="s">
        <v>141</v>
      </c>
      <c r="J142" s="5">
        <f>SUMIFS(Table5[quantity],Table5[order_id],Table3[[#This Row],[order_id]])</f>
        <v>16</v>
      </c>
    </row>
    <row r="143" spans="1:10">
      <c r="A143">
        <v>142</v>
      </c>
      <c r="B143">
        <v>1156</v>
      </c>
      <c r="C143" t="s">
        <v>35</v>
      </c>
      <c r="D143" t="s">
        <v>118</v>
      </c>
      <c r="E143" s="1">
        <v>46157</v>
      </c>
      <c r="F143" s="1">
        <v>46153</v>
      </c>
      <c r="G143" s="1">
        <v>46162</v>
      </c>
      <c r="H143">
        <v>41.59</v>
      </c>
      <c r="I143" t="s">
        <v>141</v>
      </c>
      <c r="J143" s="5">
        <f>SUMIFS(Table5[quantity],Table5[order_id],Table3[[#This Row],[order_id]])</f>
        <v>15</v>
      </c>
    </row>
    <row r="144" spans="1:10">
      <c r="A144">
        <v>143</v>
      </c>
      <c r="B144">
        <v>1157</v>
      </c>
      <c r="C144" t="s">
        <v>33</v>
      </c>
      <c r="D144" t="s">
        <v>120</v>
      </c>
      <c r="E144" s="1">
        <v>46047</v>
      </c>
      <c r="F144" s="1">
        <v>46053</v>
      </c>
      <c r="G144" s="1">
        <v>46048</v>
      </c>
      <c r="H144">
        <v>52.67</v>
      </c>
      <c r="I144" t="s">
        <v>488</v>
      </c>
      <c r="J144" s="5">
        <f>SUMIFS(Table5[quantity],Table5[order_id],Table3[[#This Row],[order_id]])</f>
        <v>17</v>
      </c>
    </row>
    <row r="145" spans="1:10">
      <c r="A145">
        <v>144</v>
      </c>
      <c r="B145">
        <v>1158</v>
      </c>
      <c r="C145" t="s">
        <v>32</v>
      </c>
      <c r="D145" t="s">
        <v>120</v>
      </c>
      <c r="E145" s="1">
        <v>46059</v>
      </c>
      <c r="F145" s="1">
        <v>46058</v>
      </c>
      <c r="G145" s="1">
        <v>46067</v>
      </c>
      <c r="H145">
        <v>13.21</v>
      </c>
      <c r="I145" t="s">
        <v>39</v>
      </c>
      <c r="J145" s="5">
        <f>SUMIFS(Table5[quantity],Table5[order_id],Table3[[#This Row],[order_id]])</f>
        <v>13</v>
      </c>
    </row>
    <row r="146" spans="1:10">
      <c r="A146">
        <v>145</v>
      </c>
      <c r="B146">
        <v>1159</v>
      </c>
      <c r="C146" t="s">
        <v>34</v>
      </c>
      <c r="D146" t="s">
        <v>119</v>
      </c>
      <c r="E146" s="1">
        <v>46085</v>
      </c>
      <c r="F146" s="1">
        <v>46082</v>
      </c>
      <c r="G146" s="1">
        <v>46095</v>
      </c>
      <c r="H146">
        <v>38.619999999999997</v>
      </c>
      <c r="I146" t="s">
        <v>141</v>
      </c>
      <c r="J146" s="5">
        <f>SUMIFS(Table5[quantity],Table5[order_id],Table3[[#This Row],[order_id]])</f>
        <v>1</v>
      </c>
    </row>
    <row r="147" spans="1:10">
      <c r="A147">
        <v>146</v>
      </c>
      <c r="B147">
        <v>1160</v>
      </c>
      <c r="C147" t="s">
        <v>34</v>
      </c>
      <c r="D147" t="s">
        <v>120</v>
      </c>
      <c r="E147" s="1">
        <v>46068</v>
      </c>
      <c r="F147" s="1">
        <v>46073</v>
      </c>
      <c r="G147" s="1">
        <v>46077</v>
      </c>
      <c r="H147">
        <v>11.53</v>
      </c>
      <c r="I147" t="s">
        <v>39</v>
      </c>
      <c r="J147" s="5">
        <f>SUMIFS(Table5[quantity],Table5[order_id],Table3[[#This Row],[order_id]])</f>
        <v>12</v>
      </c>
    </row>
    <row r="148" spans="1:10">
      <c r="A148">
        <v>147</v>
      </c>
      <c r="B148">
        <v>1161</v>
      </c>
      <c r="C148" t="s">
        <v>32</v>
      </c>
      <c r="D148" t="s">
        <v>117</v>
      </c>
      <c r="E148" s="1">
        <v>46131</v>
      </c>
      <c r="F148" s="1">
        <v>46134</v>
      </c>
      <c r="G148" s="1">
        <v>46141</v>
      </c>
      <c r="H148">
        <v>119.42</v>
      </c>
      <c r="I148" t="s">
        <v>39</v>
      </c>
      <c r="J148" s="5">
        <f>SUMIFS(Table5[quantity],Table5[order_id],Table3[[#This Row],[order_id]])</f>
        <v>7</v>
      </c>
    </row>
    <row r="149" spans="1:10">
      <c r="A149">
        <v>148</v>
      </c>
      <c r="B149">
        <v>1162</v>
      </c>
      <c r="C149" t="s">
        <v>35</v>
      </c>
      <c r="D149" t="s">
        <v>118</v>
      </c>
      <c r="E149" s="1">
        <v>46158</v>
      </c>
      <c r="F149" s="1">
        <v>46155</v>
      </c>
      <c r="G149" s="1">
        <v>46165</v>
      </c>
      <c r="H149">
        <v>9.2799999999999994</v>
      </c>
      <c r="I149" t="s">
        <v>141</v>
      </c>
      <c r="J149" s="5">
        <f>SUMIFS(Table5[quantity],Table5[order_id],Table3[[#This Row],[order_id]])</f>
        <v>6</v>
      </c>
    </row>
    <row r="150" spans="1:10">
      <c r="A150">
        <v>149</v>
      </c>
      <c r="B150">
        <v>1163</v>
      </c>
      <c r="C150" t="s">
        <v>36</v>
      </c>
      <c r="D150" t="s">
        <v>119</v>
      </c>
      <c r="E150" s="1">
        <v>46073</v>
      </c>
      <c r="F150" s="1">
        <v>46076</v>
      </c>
      <c r="G150" s="1">
        <v>46079</v>
      </c>
      <c r="H150">
        <v>43.6</v>
      </c>
      <c r="I150" t="s">
        <v>488</v>
      </c>
      <c r="J150" s="5">
        <f>SUMIFS(Table5[quantity],Table5[order_id],Table3[[#This Row],[order_id]])</f>
        <v>5</v>
      </c>
    </row>
    <row r="151" spans="1:10">
      <c r="A151">
        <v>150</v>
      </c>
      <c r="B151">
        <v>1165</v>
      </c>
      <c r="C151" t="s">
        <v>34</v>
      </c>
      <c r="D151" t="s">
        <v>117</v>
      </c>
      <c r="E151" s="1">
        <v>46030</v>
      </c>
      <c r="F151" s="1">
        <v>46034</v>
      </c>
      <c r="G151" s="1">
        <v>46036</v>
      </c>
      <c r="H151">
        <v>86.34</v>
      </c>
      <c r="I151" t="s">
        <v>488</v>
      </c>
      <c r="J151" s="5">
        <f>SUMIFS(Table5[quantity],Table5[order_id],Table3[[#This Row],[order_id]])</f>
        <v>15</v>
      </c>
    </row>
    <row r="152" spans="1:10">
      <c r="A152">
        <v>151</v>
      </c>
      <c r="B152">
        <v>1166</v>
      </c>
      <c r="C152" t="s">
        <v>36</v>
      </c>
      <c r="D152" t="s">
        <v>118</v>
      </c>
      <c r="E152" s="1">
        <v>46125</v>
      </c>
      <c r="F152" s="1">
        <v>46122</v>
      </c>
      <c r="G152" s="1">
        <v>46131</v>
      </c>
      <c r="H152">
        <v>20.62</v>
      </c>
      <c r="I152" t="s">
        <v>488</v>
      </c>
      <c r="J152" s="5">
        <f>SUMIFS(Table5[quantity],Table5[order_id],Table3[[#This Row],[order_id]])</f>
        <v>7</v>
      </c>
    </row>
    <row r="153" spans="1:10">
      <c r="A153">
        <v>152</v>
      </c>
      <c r="B153">
        <v>1167</v>
      </c>
      <c r="C153" t="s">
        <v>35</v>
      </c>
      <c r="D153" t="s">
        <v>120</v>
      </c>
      <c r="E153" s="1">
        <v>46036</v>
      </c>
      <c r="F153" s="1">
        <v>46037</v>
      </c>
      <c r="G153" s="1">
        <v>46037</v>
      </c>
      <c r="H153">
        <v>15.96</v>
      </c>
      <c r="I153" t="s">
        <v>141</v>
      </c>
      <c r="J153" s="5">
        <f>SUMIFS(Table5[quantity],Table5[order_id],Table3[[#This Row],[order_id]])</f>
        <v>5</v>
      </c>
    </row>
    <row r="154" spans="1:10">
      <c r="A154">
        <v>153</v>
      </c>
      <c r="B154">
        <v>1168</v>
      </c>
      <c r="C154" t="s">
        <v>34</v>
      </c>
      <c r="D154" t="s">
        <v>118</v>
      </c>
      <c r="E154" s="1">
        <v>46105</v>
      </c>
      <c r="F154" s="1">
        <v>46104</v>
      </c>
      <c r="G154" s="1">
        <v>46106</v>
      </c>
      <c r="H154">
        <v>115.16</v>
      </c>
      <c r="I154" t="s">
        <v>39</v>
      </c>
      <c r="J154" s="5">
        <f>SUMIFS(Table5[quantity],Table5[order_id],Table3[[#This Row],[order_id]])</f>
        <v>7</v>
      </c>
    </row>
    <row r="155" spans="1:10">
      <c r="A155">
        <v>154</v>
      </c>
      <c r="B155">
        <v>1169</v>
      </c>
      <c r="C155" t="s">
        <v>33</v>
      </c>
      <c r="D155" t="s">
        <v>117</v>
      </c>
      <c r="E155" s="1">
        <v>46118</v>
      </c>
      <c r="F155" s="1">
        <v>46119</v>
      </c>
      <c r="G155" s="1">
        <v>46119</v>
      </c>
      <c r="H155">
        <v>16.29</v>
      </c>
      <c r="I155" t="s">
        <v>488</v>
      </c>
      <c r="J155" s="5">
        <f>SUMIFS(Table5[quantity],Table5[order_id],Table3[[#This Row],[order_id]])</f>
        <v>12</v>
      </c>
    </row>
    <row r="156" spans="1:10">
      <c r="A156">
        <v>155</v>
      </c>
      <c r="B156">
        <v>1170</v>
      </c>
      <c r="C156" t="s">
        <v>37</v>
      </c>
      <c r="D156" t="s">
        <v>122</v>
      </c>
      <c r="E156" s="1">
        <v>46143</v>
      </c>
      <c r="F156" s="1">
        <v>46140</v>
      </c>
      <c r="G156" s="1">
        <v>46147</v>
      </c>
      <c r="H156">
        <v>20.67</v>
      </c>
      <c r="I156" t="s">
        <v>141</v>
      </c>
      <c r="J156" s="5">
        <f>SUMIFS(Table5[quantity],Table5[order_id],Table3[[#This Row],[order_id]])</f>
        <v>13</v>
      </c>
    </row>
    <row r="157" spans="1:10">
      <c r="A157">
        <v>156</v>
      </c>
      <c r="B157">
        <v>1171</v>
      </c>
      <c r="C157" t="s">
        <v>37</v>
      </c>
      <c r="D157" t="s">
        <v>119</v>
      </c>
      <c r="E157" s="1">
        <v>46076</v>
      </c>
      <c r="F157" s="1">
        <v>46071</v>
      </c>
      <c r="G157" s="1">
        <v>46083</v>
      </c>
      <c r="H157">
        <v>98.84</v>
      </c>
      <c r="I157" t="s">
        <v>39</v>
      </c>
      <c r="J157" s="5">
        <f>SUMIFS(Table5[quantity],Table5[order_id],Table3[[#This Row],[order_id]])</f>
        <v>20</v>
      </c>
    </row>
    <row r="158" spans="1:10">
      <c r="A158">
        <v>157</v>
      </c>
      <c r="B158">
        <v>1172</v>
      </c>
      <c r="C158" t="s">
        <v>35</v>
      </c>
      <c r="D158" t="s">
        <v>119</v>
      </c>
      <c r="E158" s="1">
        <v>46146</v>
      </c>
      <c r="F158" s="1">
        <v>46147</v>
      </c>
      <c r="G158" s="1">
        <v>46152</v>
      </c>
      <c r="H158">
        <v>67.17</v>
      </c>
      <c r="I158" t="s">
        <v>39</v>
      </c>
      <c r="J158" s="5">
        <f>SUMIFS(Table5[quantity],Table5[order_id],Table3[[#This Row],[order_id]])</f>
        <v>9</v>
      </c>
    </row>
    <row r="159" spans="1:10">
      <c r="A159">
        <v>158</v>
      </c>
      <c r="B159">
        <v>1173</v>
      </c>
      <c r="C159" t="s">
        <v>36</v>
      </c>
      <c r="D159" t="s">
        <v>117</v>
      </c>
      <c r="E159" s="1">
        <v>46148</v>
      </c>
      <c r="F159" s="1">
        <v>46154</v>
      </c>
      <c r="G159" s="1">
        <v>46151</v>
      </c>
      <c r="H159">
        <v>56.55</v>
      </c>
      <c r="I159" t="s">
        <v>488</v>
      </c>
      <c r="J159" s="5">
        <f>SUMIFS(Table5[quantity],Table5[order_id],Table3[[#This Row],[order_id]])</f>
        <v>19</v>
      </c>
    </row>
    <row r="160" spans="1:10">
      <c r="A160">
        <v>159</v>
      </c>
      <c r="B160">
        <v>1174</v>
      </c>
      <c r="C160" t="s">
        <v>37</v>
      </c>
      <c r="D160" t="s">
        <v>119</v>
      </c>
      <c r="E160" s="1">
        <v>46074</v>
      </c>
      <c r="F160" s="1">
        <v>46082</v>
      </c>
      <c r="G160" s="1">
        <v>46083</v>
      </c>
      <c r="H160">
        <v>99.21</v>
      </c>
      <c r="I160" t="s">
        <v>488</v>
      </c>
      <c r="J160" s="5">
        <f>SUMIFS(Table5[quantity],Table5[order_id],Table3[[#This Row],[order_id]])</f>
        <v>19</v>
      </c>
    </row>
    <row r="161" spans="1:10">
      <c r="A161">
        <v>160</v>
      </c>
      <c r="B161">
        <v>1175</v>
      </c>
      <c r="C161" t="s">
        <v>33</v>
      </c>
      <c r="D161" t="s">
        <v>117</v>
      </c>
      <c r="E161" s="1">
        <v>46134</v>
      </c>
      <c r="F161" s="1">
        <v>46135</v>
      </c>
      <c r="G161" s="1">
        <v>46136</v>
      </c>
      <c r="H161">
        <v>79.209999999999994</v>
      </c>
      <c r="I161" t="s">
        <v>488</v>
      </c>
      <c r="J161" s="5">
        <f>SUMIFS(Table5[quantity],Table5[order_id],Table3[[#This Row],[order_id]])</f>
        <v>22</v>
      </c>
    </row>
    <row r="162" spans="1:10">
      <c r="A162">
        <v>161</v>
      </c>
      <c r="B162">
        <v>1176</v>
      </c>
      <c r="C162" t="s">
        <v>36</v>
      </c>
      <c r="D162" t="s">
        <v>117</v>
      </c>
      <c r="E162" s="1">
        <v>46043</v>
      </c>
      <c r="F162" s="1">
        <v>46046</v>
      </c>
      <c r="G162" s="1">
        <v>46053</v>
      </c>
      <c r="H162">
        <v>60.06</v>
      </c>
      <c r="I162" t="s">
        <v>141</v>
      </c>
      <c r="J162" s="5">
        <f>SUMIFS(Table5[quantity],Table5[order_id],Table3[[#This Row],[order_id]])</f>
        <v>23</v>
      </c>
    </row>
    <row r="163" spans="1:10">
      <c r="A163">
        <v>162</v>
      </c>
      <c r="B163">
        <v>1177</v>
      </c>
      <c r="C163" t="s">
        <v>36</v>
      </c>
      <c r="D163" t="s">
        <v>122</v>
      </c>
      <c r="E163" s="1">
        <v>46066</v>
      </c>
      <c r="F163" s="1">
        <v>46061</v>
      </c>
      <c r="G163" s="1">
        <v>46074</v>
      </c>
      <c r="H163">
        <v>56.67</v>
      </c>
      <c r="I163" t="s">
        <v>141</v>
      </c>
      <c r="J163" s="5">
        <f>SUMIFS(Table5[quantity],Table5[order_id],Table3[[#This Row],[order_id]])</f>
        <v>15</v>
      </c>
    </row>
    <row r="164" spans="1:10">
      <c r="A164">
        <v>163</v>
      </c>
      <c r="B164">
        <v>1179</v>
      </c>
      <c r="C164" t="s">
        <v>37</v>
      </c>
      <c r="D164" t="s">
        <v>119</v>
      </c>
      <c r="E164" s="1">
        <v>46039</v>
      </c>
      <c r="F164" s="1">
        <v>46040</v>
      </c>
      <c r="G164" s="1">
        <v>46042</v>
      </c>
      <c r="H164">
        <v>75.430000000000007</v>
      </c>
      <c r="I164" t="s">
        <v>141</v>
      </c>
      <c r="J164" s="5">
        <f>SUMIFS(Table5[quantity],Table5[order_id],Table3[[#This Row],[order_id]])</f>
        <v>8</v>
      </c>
    </row>
    <row r="165" spans="1:10">
      <c r="A165">
        <v>164</v>
      </c>
      <c r="B165">
        <v>1180</v>
      </c>
      <c r="C165" t="s">
        <v>37</v>
      </c>
      <c r="D165" t="s">
        <v>119</v>
      </c>
      <c r="E165" s="1">
        <v>46076</v>
      </c>
      <c r="F165" s="1">
        <v>46072</v>
      </c>
      <c r="G165" s="1">
        <v>46079</v>
      </c>
      <c r="H165">
        <v>28.46</v>
      </c>
      <c r="I165" t="s">
        <v>39</v>
      </c>
      <c r="J165" s="5">
        <f>SUMIFS(Table5[quantity],Table5[order_id],Table3[[#This Row],[order_id]])</f>
        <v>15</v>
      </c>
    </row>
    <row r="166" spans="1:10">
      <c r="A166">
        <v>165</v>
      </c>
      <c r="B166">
        <v>1181</v>
      </c>
      <c r="C166" t="s">
        <v>35</v>
      </c>
      <c r="D166" t="s">
        <v>120</v>
      </c>
      <c r="E166" s="1">
        <v>46052</v>
      </c>
      <c r="F166" s="1">
        <v>46058</v>
      </c>
      <c r="G166" s="1">
        <v>46058</v>
      </c>
      <c r="H166">
        <v>114.92</v>
      </c>
      <c r="I166" t="s">
        <v>39</v>
      </c>
      <c r="J166" s="5">
        <f>SUMIFS(Table5[quantity],Table5[order_id],Table3[[#This Row],[order_id]])</f>
        <v>25</v>
      </c>
    </row>
    <row r="167" spans="1:10">
      <c r="A167">
        <v>166</v>
      </c>
      <c r="B167">
        <v>1183</v>
      </c>
      <c r="C167" t="s">
        <v>34</v>
      </c>
      <c r="D167" t="s">
        <v>118</v>
      </c>
      <c r="E167" s="1">
        <v>46117</v>
      </c>
      <c r="F167" s="1">
        <v>46119</v>
      </c>
      <c r="G167" s="1">
        <v>46127</v>
      </c>
      <c r="H167">
        <v>97.17</v>
      </c>
      <c r="I167" t="s">
        <v>39</v>
      </c>
      <c r="J167" s="5">
        <f>SUMIFS(Table5[quantity],Table5[order_id],Table3[[#This Row],[order_id]])</f>
        <v>7</v>
      </c>
    </row>
    <row r="168" spans="1:10">
      <c r="A168">
        <v>167</v>
      </c>
      <c r="B168">
        <v>1184</v>
      </c>
      <c r="C168" t="s">
        <v>34</v>
      </c>
      <c r="D168" t="s">
        <v>118</v>
      </c>
      <c r="E168" s="1">
        <v>46104</v>
      </c>
      <c r="F168" s="1">
        <v>46101</v>
      </c>
      <c r="G168" s="1">
        <v>46114</v>
      </c>
      <c r="H168">
        <v>49.55</v>
      </c>
      <c r="I168" t="s">
        <v>39</v>
      </c>
      <c r="J168" s="5">
        <f>SUMIFS(Table5[quantity],Table5[order_id],Table3[[#This Row],[order_id]])</f>
        <v>22</v>
      </c>
    </row>
    <row r="169" spans="1:10">
      <c r="A169">
        <v>168</v>
      </c>
      <c r="B169">
        <v>1185</v>
      </c>
      <c r="C169" t="s">
        <v>35</v>
      </c>
      <c r="D169" t="s">
        <v>119</v>
      </c>
      <c r="E169" s="1">
        <v>46133</v>
      </c>
      <c r="F169" s="1">
        <v>46139</v>
      </c>
      <c r="G169" s="1">
        <v>46138</v>
      </c>
      <c r="H169">
        <v>573.74</v>
      </c>
      <c r="I169" t="s">
        <v>141</v>
      </c>
      <c r="J169" s="5">
        <f>SUMIFS(Table5[quantity],Table5[order_id],Table3[[#This Row],[order_id]])</f>
        <v>5</v>
      </c>
    </row>
    <row r="170" spans="1:10">
      <c r="A170">
        <v>169</v>
      </c>
      <c r="B170">
        <v>1186</v>
      </c>
      <c r="C170" t="s">
        <v>35</v>
      </c>
      <c r="D170" t="s">
        <v>119</v>
      </c>
      <c r="E170" s="1">
        <v>46129</v>
      </c>
      <c r="F170" s="1">
        <v>46126</v>
      </c>
      <c r="G170" s="1">
        <v>46135</v>
      </c>
      <c r="H170">
        <v>83.09</v>
      </c>
      <c r="I170" t="s">
        <v>39</v>
      </c>
      <c r="J170" s="5">
        <f>SUMIFS(Table5[quantity],Table5[order_id],Table3[[#This Row],[order_id]])</f>
        <v>12</v>
      </c>
    </row>
    <row r="171" spans="1:10">
      <c r="A171">
        <v>170</v>
      </c>
      <c r="B171">
        <v>1187</v>
      </c>
      <c r="C171" t="s">
        <v>32</v>
      </c>
      <c r="D171" t="s">
        <v>119</v>
      </c>
      <c r="E171" s="1">
        <v>46116</v>
      </c>
      <c r="F171" s="1">
        <v>46112</v>
      </c>
      <c r="G171" s="1">
        <v>46124</v>
      </c>
      <c r="H171">
        <v>89.3</v>
      </c>
      <c r="I171" t="s">
        <v>39</v>
      </c>
      <c r="J171" s="5">
        <f>SUMIFS(Table5[quantity],Table5[order_id],Table3[[#This Row],[order_id]])</f>
        <v>8</v>
      </c>
    </row>
    <row r="172" spans="1:10">
      <c r="A172">
        <v>171</v>
      </c>
      <c r="B172">
        <v>1188</v>
      </c>
      <c r="C172" t="s">
        <v>34</v>
      </c>
      <c r="D172" t="s">
        <v>119</v>
      </c>
      <c r="E172" s="1">
        <v>46093</v>
      </c>
      <c r="F172" s="1">
        <v>46090</v>
      </c>
      <c r="G172" s="1">
        <v>46096</v>
      </c>
      <c r="H172">
        <v>89.96</v>
      </c>
      <c r="I172" t="s">
        <v>488</v>
      </c>
      <c r="J172" s="5">
        <f>SUMIFS(Table5[quantity],Table5[order_id],Table3[[#This Row],[order_id]])</f>
        <v>16</v>
      </c>
    </row>
    <row r="173" spans="1:10">
      <c r="A173">
        <v>172</v>
      </c>
      <c r="B173">
        <v>1189</v>
      </c>
      <c r="C173" t="s">
        <v>34</v>
      </c>
      <c r="D173" t="s">
        <v>119</v>
      </c>
      <c r="E173" s="1">
        <v>46151</v>
      </c>
      <c r="F173" s="1">
        <v>46150</v>
      </c>
      <c r="G173" s="1">
        <v>46159</v>
      </c>
      <c r="H173">
        <v>74.900000000000006</v>
      </c>
      <c r="I173" t="s">
        <v>141</v>
      </c>
      <c r="J173" s="5">
        <f>SUMIFS(Table5[quantity],Table5[order_id],Table3[[#This Row],[order_id]])</f>
        <v>3</v>
      </c>
    </row>
    <row r="174" spans="1:10">
      <c r="A174">
        <v>173</v>
      </c>
      <c r="B174">
        <v>1190</v>
      </c>
      <c r="C174" t="s">
        <v>32</v>
      </c>
      <c r="D174" t="s">
        <v>119</v>
      </c>
      <c r="E174" s="1">
        <v>46154</v>
      </c>
      <c r="F174" s="1">
        <v>46152</v>
      </c>
      <c r="G174" s="1">
        <v>46164</v>
      </c>
      <c r="H174">
        <v>67.319999999999993</v>
      </c>
      <c r="I174" t="s">
        <v>39</v>
      </c>
      <c r="J174" s="5">
        <f>SUMIFS(Table5[quantity],Table5[order_id],Table3[[#This Row],[order_id]])</f>
        <v>7</v>
      </c>
    </row>
    <row r="175" spans="1:10">
      <c r="A175">
        <v>174</v>
      </c>
      <c r="B175">
        <v>1192</v>
      </c>
      <c r="C175" t="s">
        <v>35</v>
      </c>
      <c r="D175" t="s">
        <v>120</v>
      </c>
      <c r="E175" s="1">
        <v>46032</v>
      </c>
      <c r="F175" s="1">
        <v>46034</v>
      </c>
      <c r="G175" s="1">
        <v>46040</v>
      </c>
      <c r="H175">
        <v>84.31</v>
      </c>
      <c r="I175" t="s">
        <v>39</v>
      </c>
      <c r="J175" s="5">
        <f>SUMIFS(Table5[quantity],Table5[order_id],Table3[[#This Row],[order_id]])</f>
        <v>2</v>
      </c>
    </row>
    <row r="176" spans="1:10">
      <c r="A176">
        <v>175</v>
      </c>
      <c r="B176">
        <v>1193</v>
      </c>
      <c r="C176" t="s">
        <v>32</v>
      </c>
      <c r="D176" t="s">
        <v>119</v>
      </c>
      <c r="E176" s="1">
        <v>46147</v>
      </c>
      <c r="F176" s="1">
        <v>46142</v>
      </c>
      <c r="G176" s="1">
        <v>46153</v>
      </c>
      <c r="H176">
        <v>52.58</v>
      </c>
      <c r="I176" t="s">
        <v>39</v>
      </c>
      <c r="J176" s="5">
        <f>SUMIFS(Table5[quantity],Table5[order_id],Table3[[#This Row],[order_id]])</f>
        <v>8</v>
      </c>
    </row>
    <row r="177" spans="1:10">
      <c r="A177">
        <v>176</v>
      </c>
      <c r="B177">
        <v>1194</v>
      </c>
      <c r="C177" t="s">
        <v>35</v>
      </c>
      <c r="D177" t="s">
        <v>122</v>
      </c>
      <c r="E177" s="1">
        <v>46053</v>
      </c>
      <c r="F177" s="1">
        <v>46050</v>
      </c>
      <c r="G177" s="1">
        <v>46056</v>
      </c>
      <c r="H177">
        <v>81.739999999999995</v>
      </c>
      <c r="I177" t="s">
        <v>39</v>
      </c>
      <c r="J177" s="5">
        <f>SUMIFS(Table5[quantity],Table5[order_id],Table3[[#This Row],[order_id]])</f>
        <v>7</v>
      </c>
    </row>
    <row r="178" spans="1:10">
      <c r="A178">
        <v>177</v>
      </c>
      <c r="B178">
        <v>1195</v>
      </c>
      <c r="C178" t="s">
        <v>33</v>
      </c>
      <c r="D178" t="s">
        <v>118</v>
      </c>
      <c r="E178" s="1">
        <v>46078</v>
      </c>
      <c r="F178" s="1">
        <v>46078</v>
      </c>
      <c r="G178" s="1">
        <v>46084</v>
      </c>
      <c r="H178">
        <v>30.42</v>
      </c>
      <c r="I178" t="s">
        <v>141</v>
      </c>
      <c r="J178" s="5">
        <f>SUMIFS(Table5[quantity],Table5[order_id],Table3[[#This Row],[order_id]])</f>
        <v>11</v>
      </c>
    </row>
    <row r="179" spans="1:10">
      <c r="A179">
        <v>178</v>
      </c>
      <c r="B179">
        <v>1196</v>
      </c>
      <c r="C179" t="s">
        <v>32</v>
      </c>
      <c r="D179" t="s">
        <v>122</v>
      </c>
      <c r="E179" s="1">
        <v>46082</v>
      </c>
      <c r="F179" s="1">
        <v>46082</v>
      </c>
      <c r="G179" s="1">
        <v>46084</v>
      </c>
      <c r="H179">
        <v>102.79</v>
      </c>
      <c r="I179" t="s">
        <v>488</v>
      </c>
      <c r="J179" s="5">
        <f>SUMIFS(Table5[quantity],Table5[order_id],Table3[[#This Row],[order_id]])</f>
        <v>23</v>
      </c>
    </row>
    <row r="180" spans="1:10">
      <c r="A180">
        <v>179</v>
      </c>
      <c r="B180">
        <v>1197</v>
      </c>
      <c r="C180" t="s">
        <v>37</v>
      </c>
      <c r="D180" t="s">
        <v>117</v>
      </c>
      <c r="E180" s="1">
        <v>46097</v>
      </c>
      <c r="F180" s="1">
        <v>46105</v>
      </c>
      <c r="G180" s="1">
        <v>46104</v>
      </c>
      <c r="H180">
        <v>89.4</v>
      </c>
      <c r="I180" t="s">
        <v>39</v>
      </c>
      <c r="J180" s="5">
        <f>SUMIFS(Table5[quantity],Table5[order_id],Table3[[#This Row],[order_id]])</f>
        <v>12</v>
      </c>
    </row>
    <row r="181" spans="1:10">
      <c r="A181">
        <v>180</v>
      </c>
      <c r="B181">
        <v>1198</v>
      </c>
      <c r="C181" t="s">
        <v>35</v>
      </c>
      <c r="D181" t="s">
        <v>119</v>
      </c>
      <c r="E181" s="1">
        <v>46086</v>
      </c>
      <c r="F181" s="1">
        <v>46081</v>
      </c>
      <c r="G181" s="1">
        <v>46093</v>
      </c>
      <c r="H181">
        <v>65.61</v>
      </c>
      <c r="I181" t="s">
        <v>141</v>
      </c>
      <c r="J181" s="5">
        <f>SUMIFS(Table5[quantity],Table5[order_id],Table3[[#This Row],[order_id]])</f>
        <v>1</v>
      </c>
    </row>
    <row r="182" spans="1:10">
      <c r="A182">
        <v>181</v>
      </c>
      <c r="B182">
        <v>1199</v>
      </c>
      <c r="C182" t="s">
        <v>32</v>
      </c>
      <c r="D182" t="s">
        <v>117</v>
      </c>
      <c r="E182" s="1">
        <v>46151</v>
      </c>
      <c r="F182" s="1">
        <v>46156</v>
      </c>
      <c r="G182" s="1">
        <v>46153</v>
      </c>
      <c r="H182">
        <v>5.85</v>
      </c>
      <c r="I182" t="s">
        <v>39</v>
      </c>
      <c r="J182" s="5">
        <f>SUMIFS(Table5[quantity],Table5[order_id],Table3[[#This Row],[order_id]])</f>
        <v>4</v>
      </c>
    </row>
    <row r="183" spans="1:10">
      <c r="A183">
        <v>182</v>
      </c>
      <c r="B183">
        <v>1200</v>
      </c>
      <c r="C183" t="s">
        <v>37</v>
      </c>
      <c r="D183" t="s">
        <v>119</v>
      </c>
      <c r="E183" s="1">
        <v>46037</v>
      </c>
      <c r="F183" s="1">
        <v>46033</v>
      </c>
      <c r="G183" s="1">
        <v>46038</v>
      </c>
      <c r="H183">
        <v>63.71</v>
      </c>
      <c r="I183" t="s">
        <v>141</v>
      </c>
      <c r="J183" s="5">
        <f>SUMIFS(Table5[quantity],Table5[order_id],Table3[[#This Row],[order_id]])</f>
        <v>18</v>
      </c>
    </row>
    <row r="184" spans="1:10">
      <c r="A184">
        <v>183</v>
      </c>
      <c r="B184">
        <v>1202</v>
      </c>
      <c r="C184" t="s">
        <v>34</v>
      </c>
      <c r="D184" t="s">
        <v>119</v>
      </c>
      <c r="E184" s="1">
        <v>46079</v>
      </c>
      <c r="F184" s="1">
        <v>46079</v>
      </c>
      <c r="G184" s="1">
        <v>46084</v>
      </c>
      <c r="H184">
        <v>62.41</v>
      </c>
      <c r="I184" t="s">
        <v>39</v>
      </c>
      <c r="J184" s="5">
        <f>SUMIFS(Table5[quantity],Table5[order_id],Table3[[#This Row],[order_id]])</f>
        <v>4</v>
      </c>
    </row>
    <row r="185" spans="1:10">
      <c r="A185">
        <v>184</v>
      </c>
      <c r="B185">
        <v>1203</v>
      </c>
      <c r="C185" t="s">
        <v>34</v>
      </c>
      <c r="D185" t="s">
        <v>119</v>
      </c>
      <c r="E185" s="1">
        <v>46120</v>
      </c>
      <c r="F185" s="1">
        <v>46118</v>
      </c>
      <c r="G185" s="1">
        <v>46122</v>
      </c>
      <c r="H185">
        <v>25.85</v>
      </c>
      <c r="I185" t="s">
        <v>141</v>
      </c>
      <c r="J185" s="5">
        <f>SUMIFS(Table5[quantity],Table5[order_id],Table3[[#This Row],[order_id]])</f>
        <v>5</v>
      </c>
    </row>
    <row r="186" spans="1:10">
      <c r="A186">
        <v>185</v>
      </c>
      <c r="B186">
        <v>1205</v>
      </c>
      <c r="C186" t="s">
        <v>34</v>
      </c>
      <c r="D186" t="s">
        <v>118</v>
      </c>
      <c r="E186" s="1">
        <v>46057</v>
      </c>
      <c r="F186" s="1">
        <v>46060</v>
      </c>
      <c r="G186" s="1">
        <v>46061</v>
      </c>
      <c r="H186">
        <v>60.17</v>
      </c>
      <c r="I186" t="s">
        <v>39</v>
      </c>
      <c r="J186" s="5">
        <f>SUMIFS(Table5[quantity],Table5[order_id],Table3[[#This Row],[order_id]])</f>
        <v>24</v>
      </c>
    </row>
    <row r="187" spans="1:10">
      <c r="A187">
        <v>186</v>
      </c>
      <c r="B187">
        <v>1206</v>
      </c>
      <c r="C187" t="s">
        <v>32</v>
      </c>
      <c r="D187" t="s">
        <v>119</v>
      </c>
      <c r="E187" s="1">
        <v>46099</v>
      </c>
      <c r="F187" s="1">
        <v>46101</v>
      </c>
      <c r="G187" s="1">
        <v>46102</v>
      </c>
      <c r="H187">
        <v>55.14</v>
      </c>
      <c r="I187" t="s">
        <v>39</v>
      </c>
      <c r="J187" s="5">
        <f>SUMIFS(Table5[quantity],Table5[order_id],Table3[[#This Row],[order_id]])</f>
        <v>8</v>
      </c>
    </row>
    <row r="188" spans="1:10">
      <c r="A188">
        <v>187</v>
      </c>
      <c r="B188">
        <v>1207</v>
      </c>
      <c r="C188" t="s">
        <v>36</v>
      </c>
      <c r="D188" t="s">
        <v>122</v>
      </c>
      <c r="E188" s="1">
        <v>46115</v>
      </c>
      <c r="F188" s="1">
        <v>46114</v>
      </c>
      <c r="G188" s="1">
        <v>46116</v>
      </c>
      <c r="H188">
        <v>116.54</v>
      </c>
      <c r="I188" t="s">
        <v>39</v>
      </c>
      <c r="J188" s="5">
        <f>SUMIFS(Table5[quantity],Table5[order_id],Table3[[#This Row],[order_id]])</f>
        <v>13</v>
      </c>
    </row>
    <row r="189" spans="1:10">
      <c r="A189">
        <v>188</v>
      </c>
      <c r="B189">
        <v>1209</v>
      </c>
      <c r="C189" t="s">
        <v>33</v>
      </c>
      <c r="D189" t="s">
        <v>122</v>
      </c>
      <c r="E189" s="1">
        <v>46134</v>
      </c>
      <c r="F189" s="1">
        <v>46132</v>
      </c>
      <c r="G189" s="1">
        <v>46136</v>
      </c>
      <c r="H189">
        <v>117.2</v>
      </c>
      <c r="I189" t="s">
        <v>39</v>
      </c>
      <c r="J189" s="5">
        <f>SUMIFS(Table5[quantity],Table5[order_id],Table3[[#This Row],[order_id]])</f>
        <v>11</v>
      </c>
    </row>
    <row r="190" spans="1:10">
      <c r="A190">
        <v>189</v>
      </c>
      <c r="B190">
        <v>1210</v>
      </c>
      <c r="C190" t="s">
        <v>37</v>
      </c>
      <c r="D190" t="s">
        <v>117</v>
      </c>
      <c r="E190" s="1">
        <v>46158</v>
      </c>
      <c r="F190" s="1">
        <v>46156</v>
      </c>
      <c r="G190" s="1">
        <v>46168</v>
      </c>
      <c r="H190">
        <v>73.36</v>
      </c>
      <c r="I190" t="s">
        <v>39</v>
      </c>
      <c r="J190" s="5">
        <f>SUMIFS(Table5[quantity],Table5[order_id],Table3[[#This Row],[order_id]])</f>
        <v>22</v>
      </c>
    </row>
    <row r="191" spans="1:10">
      <c r="A191">
        <v>190</v>
      </c>
      <c r="B191">
        <v>1211</v>
      </c>
      <c r="C191" t="s">
        <v>32</v>
      </c>
      <c r="D191" t="s">
        <v>118</v>
      </c>
      <c r="E191" s="1">
        <v>46113</v>
      </c>
      <c r="F191" s="1">
        <v>46111</v>
      </c>
      <c r="G191" s="1">
        <v>46122</v>
      </c>
      <c r="H191">
        <v>57.61</v>
      </c>
      <c r="I191" t="s">
        <v>488</v>
      </c>
      <c r="J191" s="5">
        <f>SUMIFS(Table5[quantity],Table5[order_id],Table3[[#This Row],[order_id]])</f>
        <v>7</v>
      </c>
    </row>
    <row r="192" spans="1:10">
      <c r="A192">
        <v>191</v>
      </c>
      <c r="B192">
        <v>1213</v>
      </c>
      <c r="C192" t="s">
        <v>37</v>
      </c>
      <c r="D192" t="s">
        <v>119</v>
      </c>
      <c r="E192" s="1">
        <v>46032</v>
      </c>
      <c r="F192" s="1">
        <v>46030</v>
      </c>
      <c r="G192" s="1">
        <v>46040</v>
      </c>
      <c r="H192">
        <v>117.01</v>
      </c>
      <c r="I192" t="s">
        <v>39</v>
      </c>
      <c r="J192" s="5">
        <f>SUMIFS(Table5[quantity],Table5[order_id],Table3[[#This Row],[order_id]])</f>
        <v>16</v>
      </c>
    </row>
    <row r="193" spans="1:10">
      <c r="A193">
        <v>192</v>
      </c>
      <c r="B193">
        <v>1214</v>
      </c>
      <c r="C193" t="s">
        <v>32</v>
      </c>
      <c r="D193" t="s">
        <v>122</v>
      </c>
      <c r="E193" s="1">
        <v>46071</v>
      </c>
      <c r="F193" s="1">
        <v>46067</v>
      </c>
      <c r="G193" s="1">
        <v>46074</v>
      </c>
      <c r="H193">
        <v>92.7</v>
      </c>
      <c r="I193" t="s">
        <v>39</v>
      </c>
      <c r="J193" s="5">
        <f>SUMIFS(Table5[quantity],Table5[order_id],Table3[[#This Row],[order_id]])</f>
        <v>14</v>
      </c>
    </row>
    <row r="194" spans="1:10">
      <c r="A194">
        <v>193</v>
      </c>
      <c r="B194">
        <v>1215</v>
      </c>
      <c r="C194" t="s">
        <v>36</v>
      </c>
      <c r="D194" t="s">
        <v>119</v>
      </c>
      <c r="E194" s="1">
        <v>46101</v>
      </c>
      <c r="F194" s="1">
        <v>46106</v>
      </c>
      <c r="G194" s="1">
        <v>46105</v>
      </c>
      <c r="H194">
        <v>100.46</v>
      </c>
      <c r="I194" t="s">
        <v>141</v>
      </c>
      <c r="J194" s="5">
        <f>SUMIFS(Table5[quantity],Table5[order_id],Table3[[#This Row],[order_id]])</f>
        <v>17</v>
      </c>
    </row>
    <row r="195" spans="1:10">
      <c r="A195">
        <v>194</v>
      </c>
      <c r="B195">
        <v>1216</v>
      </c>
      <c r="C195" t="s">
        <v>32</v>
      </c>
      <c r="D195" t="s">
        <v>120</v>
      </c>
      <c r="E195" s="1">
        <v>46141</v>
      </c>
      <c r="F195" s="1">
        <v>46145</v>
      </c>
      <c r="G195" s="1">
        <v>46151</v>
      </c>
      <c r="H195">
        <v>64.680000000000007</v>
      </c>
      <c r="I195" t="s">
        <v>141</v>
      </c>
      <c r="J195" s="5">
        <f>SUMIFS(Table5[quantity],Table5[order_id],Table3[[#This Row],[order_id]])</f>
        <v>6</v>
      </c>
    </row>
    <row r="196" spans="1:10">
      <c r="A196">
        <v>195</v>
      </c>
      <c r="B196">
        <v>1217</v>
      </c>
      <c r="C196" t="s">
        <v>36</v>
      </c>
      <c r="D196" t="s">
        <v>119</v>
      </c>
      <c r="E196" s="1">
        <v>46058</v>
      </c>
      <c r="F196" s="1">
        <v>46055</v>
      </c>
      <c r="G196" s="1">
        <v>46062</v>
      </c>
      <c r="H196">
        <v>16.510000000000002</v>
      </c>
      <c r="I196" t="s">
        <v>141</v>
      </c>
      <c r="J196" s="5">
        <f>SUMIFS(Table5[quantity],Table5[order_id],Table3[[#This Row],[order_id]])</f>
        <v>7</v>
      </c>
    </row>
    <row r="197" spans="1:10">
      <c r="A197">
        <v>196</v>
      </c>
      <c r="B197">
        <v>1219</v>
      </c>
      <c r="C197" t="s">
        <v>35</v>
      </c>
      <c r="D197" t="s">
        <v>117</v>
      </c>
      <c r="E197" s="1">
        <v>46119</v>
      </c>
      <c r="F197" s="1">
        <v>46114</v>
      </c>
      <c r="G197" s="1">
        <v>46121</v>
      </c>
      <c r="H197">
        <v>111.21</v>
      </c>
      <c r="I197" t="s">
        <v>39</v>
      </c>
      <c r="J197" s="5">
        <f>SUMIFS(Table5[quantity],Table5[order_id],Table3[[#This Row],[order_id]])</f>
        <v>6</v>
      </c>
    </row>
    <row r="198" spans="1:10">
      <c r="A198">
        <v>197</v>
      </c>
      <c r="B198">
        <v>1220</v>
      </c>
      <c r="C198" t="s">
        <v>37</v>
      </c>
      <c r="D198" t="s">
        <v>120</v>
      </c>
      <c r="E198" s="1">
        <v>46070</v>
      </c>
      <c r="F198" s="1">
        <v>46075</v>
      </c>
      <c r="G198" s="1">
        <v>46072</v>
      </c>
      <c r="H198">
        <v>64.290000000000006</v>
      </c>
      <c r="I198" t="s">
        <v>39</v>
      </c>
      <c r="J198" s="5">
        <f>SUMIFS(Table5[quantity],Table5[order_id],Table3[[#This Row],[order_id]])</f>
        <v>9</v>
      </c>
    </row>
    <row r="199" spans="1:10">
      <c r="A199">
        <v>198</v>
      </c>
      <c r="B199">
        <v>1221</v>
      </c>
      <c r="C199" t="s">
        <v>33</v>
      </c>
      <c r="D199" t="s">
        <v>118</v>
      </c>
      <c r="E199" s="1">
        <v>46042</v>
      </c>
      <c r="F199" s="1">
        <v>46038</v>
      </c>
      <c r="G199" s="1">
        <v>46046</v>
      </c>
      <c r="H199">
        <v>68.25</v>
      </c>
      <c r="I199" t="s">
        <v>141</v>
      </c>
      <c r="J199" s="5">
        <f>SUMIFS(Table5[quantity],Table5[order_id],Table3[[#This Row],[order_id]])</f>
        <v>5</v>
      </c>
    </row>
    <row r="200" spans="1:10">
      <c r="A200">
        <v>199</v>
      </c>
      <c r="B200">
        <v>1222</v>
      </c>
      <c r="C200" t="s">
        <v>34</v>
      </c>
      <c r="D200" t="s">
        <v>118</v>
      </c>
      <c r="E200" s="1">
        <v>46144</v>
      </c>
      <c r="F200" s="1">
        <v>46147</v>
      </c>
      <c r="G200" s="1">
        <v>46151</v>
      </c>
      <c r="H200">
        <v>50.47</v>
      </c>
      <c r="I200" t="s">
        <v>141</v>
      </c>
      <c r="J200" s="5">
        <f>SUMIFS(Table5[quantity],Table5[order_id],Table3[[#This Row],[order_id]])</f>
        <v>2</v>
      </c>
    </row>
    <row r="201" spans="1:10">
      <c r="A201">
        <v>200</v>
      </c>
      <c r="B201">
        <v>1223</v>
      </c>
      <c r="C201" t="s">
        <v>32</v>
      </c>
      <c r="D201" t="s">
        <v>119</v>
      </c>
      <c r="E201" s="1">
        <v>46116</v>
      </c>
      <c r="F201" s="1">
        <v>46118</v>
      </c>
      <c r="G201" s="1">
        <v>46121</v>
      </c>
      <c r="H201">
        <v>60.76</v>
      </c>
      <c r="I201" t="s">
        <v>141</v>
      </c>
      <c r="J201" s="5">
        <f>SUMIFS(Table5[quantity],Table5[order_id],Table3[[#This Row],[order_id]])</f>
        <v>22</v>
      </c>
    </row>
    <row r="202" spans="1:10">
      <c r="A202">
        <v>201</v>
      </c>
      <c r="B202">
        <v>1224</v>
      </c>
      <c r="C202" t="s">
        <v>35</v>
      </c>
      <c r="D202" t="s">
        <v>117</v>
      </c>
      <c r="E202" s="1">
        <v>46037</v>
      </c>
      <c r="F202" s="1">
        <v>46040</v>
      </c>
      <c r="G202" s="1">
        <v>46047</v>
      </c>
      <c r="H202">
        <v>76.290000000000006</v>
      </c>
      <c r="I202" t="s">
        <v>141</v>
      </c>
      <c r="J202" s="5">
        <f>SUMIFS(Table5[quantity],Table5[order_id],Table3[[#This Row],[order_id]])</f>
        <v>7</v>
      </c>
    </row>
    <row r="203" spans="1:10">
      <c r="A203">
        <v>202</v>
      </c>
      <c r="B203">
        <v>1226</v>
      </c>
      <c r="C203" t="s">
        <v>34</v>
      </c>
      <c r="D203" t="s">
        <v>119</v>
      </c>
      <c r="E203" s="1">
        <v>46108</v>
      </c>
      <c r="F203" s="1">
        <v>46107</v>
      </c>
      <c r="G203" s="1">
        <v>46114</v>
      </c>
      <c r="H203">
        <v>92.91</v>
      </c>
      <c r="I203" t="s">
        <v>39</v>
      </c>
      <c r="J203" s="5">
        <f>SUMIFS(Table5[quantity],Table5[order_id],Table3[[#This Row],[order_id]])</f>
        <v>24</v>
      </c>
    </row>
    <row r="204" spans="1:10">
      <c r="A204">
        <v>203</v>
      </c>
      <c r="B204">
        <v>1227</v>
      </c>
      <c r="C204" t="s">
        <v>32</v>
      </c>
      <c r="D204" t="s">
        <v>120</v>
      </c>
      <c r="E204" s="1">
        <v>46038</v>
      </c>
      <c r="F204" s="1">
        <v>46039</v>
      </c>
      <c r="G204" s="1">
        <v>46044</v>
      </c>
      <c r="H204">
        <v>10.55</v>
      </c>
      <c r="I204" t="s">
        <v>39</v>
      </c>
      <c r="J204" s="5">
        <f>SUMIFS(Table5[quantity],Table5[order_id],Table3[[#This Row],[order_id]])</f>
        <v>7</v>
      </c>
    </row>
    <row r="205" spans="1:10">
      <c r="A205">
        <v>204</v>
      </c>
      <c r="B205">
        <v>1228</v>
      </c>
      <c r="C205" t="s">
        <v>37</v>
      </c>
      <c r="D205" t="s">
        <v>119</v>
      </c>
      <c r="E205" s="1">
        <v>46043</v>
      </c>
      <c r="F205" s="1">
        <v>46049</v>
      </c>
      <c r="G205" s="1">
        <v>46050</v>
      </c>
      <c r="H205">
        <v>69.89</v>
      </c>
      <c r="I205" t="s">
        <v>141</v>
      </c>
      <c r="J205" s="5">
        <f>SUMIFS(Table5[quantity],Table5[order_id],Table3[[#This Row],[order_id]])</f>
        <v>3</v>
      </c>
    </row>
    <row r="206" spans="1:10">
      <c r="A206">
        <v>205</v>
      </c>
      <c r="B206">
        <v>1231</v>
      </c>
      <c r="C206" t="s">
        <v>33</v>
      </c>
      <c r="D206" t="s">
        <v>119</v>
      </c>
      <c r="E206" s="1">
        <v>46103</v>
      </c>
      <c r="F206" s="1">
        <v>46107</v>
      </c>
      <c r="G206" s="1">
        <v>46112</v>
      </c>
      <c r="H206">
        <v>97.84</v>
      </c>
      <c r="I206" t="s">
        <v>39</v>
      </c>
      <c r="J206" s="5">
        <f>SUMIFS(Table5[quantity],Table5[order_id],Table3[[#This Row],[order_id]])</f>
        <v>18</v>
      </c>
    </row>
    <row r="207" spans="1:10">
      <c r="A207">
        <v>206</v>
      </c>
      <c r="B207">
        <v>1233</v>
      </c>
      <c r="C207" t="s">
        <v>34</v>
      </c>
      <c r="D207" t="s">
        <v>118</v>
      </c>
      <c r="E207" s="1">
        <v>46102</v>
      </c>
      <c r="F207" s="1">
        <v>46101</v>
      </c>
      <c r="G207" s="1">
        <v>46111</v>
      </c>
      <c r="H207">
        <v>118.99</v>
      </c>
      <c r="I207" t="s">
        <v>488</v>
      </c>
      <c r="J207" s="5">
        <f>SUMIFS(Table5[quantity],Table5[order_id],Table3[[#This Row],[order_id]])</f>
        <v>8</v>
      </c>
    </row>
    <row r="208" spans="1:10">
      <c r="A208">
        <v>207</v>
      </c>
      <c r="B208">
        <v>1234</v>
      </c>
      <c r="C208" t="s">
        <v>32</v>
      </c>
      <c r="D208" t="s">
        <v>118</v>
      </c>
      <c r="E208" s="1">
        <v>46096</v>
      </c>
      <c r="F208" s="1">
        <v>46099</v>
      </c>
      <c r="G208" s="1">
        <v>46098</v>
      </c>
      <c r="H208">
        <v>50.04</v>
      </c>
      <c r="I208" t="s">
        <v>141</v>
      </c>
      <c r="J208" s="5">
        <f>SUMIFS(Table5[quantity],Table5[order_id],Table3[[#This Row],[order_id]])</f>
        <v>9</v>
      </c>
    </row>
    <row r="209" spans="1:10">
      <c r="A209">
        <v>208</v>
      </c>
      <c r="B209">
        <v>1235</v>
      </c>
      <c r="C209" t="s">
        <v>36</v>
      </c>
      <c r="D209" t="s">
        <v>119</v>
      </c>
      <c r="E209" s="1">
        <v>46152</v>
      </c>
      <c r="F209" s="1">
        <v>46154</v>
      </c>
      <c r="G209" s="1">
        <v>46157</v>
      </c>
      <c r="H209">
        <v>54.98</v>
      </c>
      <c r="I209" t="s">
        <v>141</v>
      </c>
      <c r="J209" s="5">
        <f>SUMIFS(Table5[quantity],Table5[order_id],Table3[[#This Row],[order_id]])</f>
        <v>15</v>
      </c>
    </row>
    <row r="210" spans="1:10">
      <c r="A210">
        <v>209</v>
      </c>
      <c r="B210">
        <v>1236</v>
      </c>
      <c r="C210" t="s">
        <v>36</v>
      </c>
      <c r="D210" t="s">
        <v>118</v>
      </c>
      <c r="E210" s="1">
        <v>46127</v>
      </c>
      <c r="F210" s="1">
        <v>46125</v>
      </c>
      <c r="G210" s="1">
        <v>46133</v>
      </c>
      <c r="H210">
        <v>108.77</v>
      </c>
      <c r="I210" t="s">
        <v>141</v>
      </c>
      <c r="J210" s="5">
        <f>SUMIFS(Table5[quantity],Table5[order_id],Table3[[#This Row],[order_id]])</f>
        <v>18</v>
      </c>
    </row>
    <row r="211" spans="1:10">
      <c r="A211">
        <v>210</v>
      </c>
      <c r="B211">
        <v>1237</v>
      </c>
      <c r="C211" t="s">
        <v>33</v>
      </c>
      <c r="D211" t="s">
        <v>119</v>
      </c>
      <c r="E211" s="1">
        <v>46128</v>
      </c>
      <c r="F211" s="1">
        <v>46129</v>
      </c>
      <c r="G211" s="1">
        <v>46135</v>
      </c>
      <c r="H211">
        <v>111.47</v>
      </c>
      <c r="I211" t="s">
        <v>488</v>
      </c>
      <c r="J211" s="5">
        <f>SUMIFS(Table5[quantity],Table5[order_id],Table3[[#This Row],[order_id]])</f>
        <v>15</v>
      </c>
    </row>
    <row r="212" spans="1:10">
      <c r="A212">
        <v>211</v>
      </c>
      <c r="B212">
        <v>1238</v>
      </c>
      <c r="C212" t="s">
        <v>37</v>
      </c>
      <c r="D212" t="s">
        <v>117</v>
      </c>
      <c r="E212" s="1">
        <v>46096</v>
      </c>
      <c r="F212" s="1">
        <v>46096</v>
      </c>
      <c r="G212" s="1">
        <v>46099</v>
      </c>
      <c r="H212">
        <v>102.25</v>
      </c>
      <c r="I212" t="s">
        <v>141</v>
      </c>
      <c r="J212" s="5">
        <f>SUMIFS(Table5[quantity],Table5[order_id],Table3[[#This Row],[order_id]])</f>
        <v>18</v>
      </c>
    </row>
    <row r="213" spans="1:10">
      <c r="A213">
        <v>212</v>
      </c>
      <c r="B213">
        <v>1240</v>
      </c>
      <c r="C213" t="s">
        <v>33</v>
      </c>
      <c r="D213" t="s">
        <v>117</v>
      </c>
      <c r="E213" s="1">
        <v>46149</v>
      </c>
      <c r="F213" s="1">
        <v>46143</v>
      </c>
      <c r="G213" s="1">
        <v>46150</v>
      </c>
      <c r="H213">
        <v>87.36</v>
      </c>
      <c r="I213" t="s">
        <v>141</v>
      </c>
      <c r="J213" s="5">
        <f>SUMIFS(Table5[quantity],Table5[order_id],Table3[[#This Row],[order_id]])</f>
        <v>9</v>
      </c>
    </row>
    <row r="214" spans="1:10">
      <c r="A214">
        <v>213</v>
      </c>
      <c r="B214">
        <v>1241</v>
      </c>
      <c r="C214" t="s">
        <v>32</v>
      </c>
      <c r="D214" t="s">
        <v>122</v>
      </c>
      <c r="E214" s="1">
        <v>46079</v>
      </c>
      <c r="F214" s="1">
        <v>46084</v>
      </c>
      <c r="G214" s="1">
        <v>46084</v>
      </c>
      <c r="H214">
        <v>31.32</v>
      </c>
      <c r="I214" t="s">
        <v>39</v>
      </c>
      <c r="J214" s="5">
        <f>SUMIFS(Table5[quantity],Table5[order_id],Table3[[#This Row],[order_id]])</f>
        <v>19</v>
      </c>
    </row>
    <row r="215" spans="1:10">
      <c r="A215">
        <v>214</v>
      </c>
      <c r="B215">
        <v>1242</v>
      </c>
      <c r="C215" t="s">
        <v>36</v>
      </c>
      <c r="D215" t="s">
        <v>119</v>
      </c>
      <c r="E215" s="1">
        <v>46139</v>
      </c>
      <c r="F215" s="1">
        <v>46144</v>
      </c>
      <c r="G215" s="1">
        <v>46143</v>
      </c>
      <c r="H215">
        <v>58.63</v>
      </c>
      <c r="I215" t="s">
        <v>141</v>
      </c>
      <c r="J215" s="5">
        <f>SUMIFS(Table5[quantity],Table5[order_id],Table3[[#This Row],[order_id]])</f>
        <v>12</v>
      </c>
    </row>
    <row r="216" spans="1:10">
      <c r="A216">
        <v>215</v>
      </c>
      <c r="B216">
        <v>1243</v>
      </c>
      <c r="C216" t="s">
        <v>32</v>
      </c>
      <c r="D216" t="s">
        <v>117</v>
      </c>
      <c r="E216" s="1">
        <v>46094</v>
      </c>
      <c r="F216" s="1">
        <v>46092</v>
      </c>
      <c r="G216" s="1">
        <v>46097</v>
      </c>
      <c r="H216">
        <v>34.21</v>
      </c>
      <c r="I216" t="s">
        <v>39</v>
      </c>
      <c r="J216" s="5">
        <f>SUMIFS(Table5[quantity],Table5[order_id],Table3[[#This Row],[order_id]])</f>
        <v>17</v>
      </c>
    </row>
    <row r="217" spans="1:10">
      <c r="A217">
        <v>216</v>
      </c>
      <c r="B217">
        <v>1244</v>
      </c>
      <c r="C217" t="s">
        <v>35</v>
      </c>
      <c r="D217" t="s">
        <v>117</v>
      </c>
      <c r="E217" s="1">
        <v>46114</v>
      </c>
      <c r="F217" s="1">
        <v>46118</v>
      </c>
      <c r="G217" s="1">
        <v>46117</v>
      </c>
      <c r="H217">
        <v>8.16</v>
      </c>
      <c r="I217" t="s">
        <v>141</v>
      </c>
      <c r="J217" s="5">
        <f>SUMIFS(Table5[quantity],Table5[order_id],Table3[[#This Row],[order_id]])</f>
        <v>22</v>
      </c>
    </row>
    <row r="218" spans="1:10">
      <c r="A218">
        <v>217</v>
      </c>
      <c r="B218">
        <v>1245</v>
      </c>
      <c r="C218" t="s">
        <v>34</v>
      </c>
      <c r="D218" t="s">
        <v>118</v>
      </c>
      <c r="E218" s="1">
        <v>46060</v>
      </c>
      <c r="F218" s="1">
        <v>46059</v>
      </c>
      <c r="G218" s="1">
        <v>46070</v>
      </c>
      <c r="H218">
        <v>28.64</v>
      </c>
      <c r="I218" t="s">
        <v>141</v>
      </c>
      <c r="J218" s="5">
        <f>SUMIFS(Table5[quantity],Table5[order_id],Table3[[#This Row],[order_id]])</f>
        <v>13</v>
      </c>
    </row>
    <row r="219" spans="1:10">
      <c r="A219">
        <v>218</v>
      </c>
      <c r="B219">
        <v>1246</v>
      </c>
      <c r="C219" t="s">
        <v>37</v>
      </c>
      <c r="D219" t="s">
        <v>118</v>
      </c>
      <c r="E219" s="1">
        <v>46047</v>
      </c>
      <c r="F219" s="1">
        <v>46046</v>
      </c>
      <c r="G219" s="1">
        <v>46057</v>
      </c>
      <c r="H219">
        <v>111.78</v>
      </c>
      <c r="I219" t="s">
        <v>141</v>
      </c>
      <c r="J219" s="5">
        <f>SUMIFS(Table5[quantity],Table5[order_id],Table3[[#This Row],[order_id]])</f>
        <v>1</v>
      </c>
    </row>
    <row r="220" spans="1:10">
      <c r="A220">
        <v>219</v>
      </c>
      <c r="B220">
        <v>1247</v>
      </c>
      <c r="C220" t="s">
        <v>32</v>
      </c>
      <c r="D220" t="s">
        <v>117</v>
      </c>
      <c r="E220" s="1">
        <v>46050</v>
      </c>
      <c r="F220" s="1">
        <v>46049</v>
      </c>
      <c r="G220" s="1">
        <v>46057</v>
      </c>
      <c r="H220">
        <v>14.74</v>
      </c>
      <c r="I220" t="s">
        <v>141</v>
      </c>
      <c r="J220" s="5">
        <f>SUMIFS(Table5[quantity],Table5[order_id],Table3[[#This Row],[order_id]])</f>
        <v>15</v>
      </c>
    </row>
    <row r="221" spans="1:10">
      <c r="A221">
        <v>220</v>
      </c>
      <c r="B221">
        <v>1248</v>
      </c>
      <c r="C221" t="s">
        <v>37</v>
      </c>
      <c r="D221" t="s">
        <v>118</v>
      </c>
      <c r="E221" s="1">
        <v>46031</v>
      </c>
      <c r="F221" s="1">
        <v>46034</v>
      </c>
      <c r="G221" s="1">
        <v>46041</v>
      </c>
      <c r="H221">
        <v>53.08</v>
      </c>
      <c r="I221" t="s">
        <v>141</v>
      </c>
      <c r="J221" s="5">
        <f>SUMIFS(Table5[quantity],Table5[order_id],Table3[[#This Row],[order_id]])</f>
        <v>18</v>
      </c>
    </row>
    <row r="222" spans="1:10">
      <c r="A222">
        <v>221</v>
      </c>
      <c r="B222">
        <v>1249</v>
      </c>
      <c r="C222" t="s">
        <v>34</v>
      </c>
      <c r="D222" t="s">
        <v>119</v>
      </c>
      <c r="E222" s="1">
        <v>46141</v>
      </c>
      <c r="F222" s="1">
        <v>46136</v>
      </c>
      <c r="G222" s="1">
        <v>46145</v>
      </c>
      <c r="H222">
        <v>64.680000000000007</v>
      </c>
      <c r="I222" t="s">
        <v>141</v>
      </c>
      <c r="J222" s="5">
        <f>SUMIFS(Table5[quantity],Table5[order_id],Table3[[#This Row],[order_id]])</f>
        <v>14</v>
      </c>
    </row>
    <row r="223" spans="1:10">
      <c r="A223">
        <v>222</v>
      </c>
      <c r="B223">
        <v>1250</v>
      </c>
      <c r="C223" t="s">
        <v>32</v>
      </c>
      <c r="D223" t="s">
        <v>117</v>
      </c>
      <c r="E223" s="1">
        <v>46057</v>
      </c>
      <c r="F223" s="1">
        <v>46052</v>
      </c>
      <c r="G223" s="1">
        <v>46059</v>
      </c>
      <c r="H223">
        <v>89.9</v>
      </c>
      <c r="I223" t="s">
        <v>141</v>
      </c>
      <c r="J223" s="5">
        <f>SUMIFS(Table5[quantity],Table5[order_id],Table3[[#This Row],[order_id]])</f>
        <v>5</v>
      </c>
    </row>
    <row r="224" spans="1:10">
      <c r="A224">
        <v>223</v>
      </c>
      <c r="B224">
        <v>1251</v>
      </c>
      <c r="C224" t="s">
        <v>33</v>
      </c>
      <c r="D224" t="s">
        <v>117</v>
      </c>
      <c r="E224" s="1">
        <v>46043</v>
      </c>
      <c r="F224" s="1">
        <v>46049</v>
      </c>
      <c r="G224" s="1">
        <v>46045</v>
      </c>
      <c r="H224">
        <v>5.54</v>
      </c>
      <c r="I224" t="s">
        <v>39</v>
      </c>
      <c r="J224" s="5">
        <f>SUMIFS(Table5[quantity],Table5[order_id],Table3[[#This Row],[order_id]])</f>
        <v>13</v>
      </c>
    </row>
    <row r="225" spans="1:10">
      <c r="A225">
        <v>224</v>
      </c>
      <c r="B225">
        <v>1253</v>
      </c>
      <c r="C225" t="s">
        <v>33</v>
      </c>
      <c r="D225" t="s">
        <v>117</v>
      </c>
      <c r="E225" s="1">
        <v>46133</v>
      </c>
      <c r="F225" s="1">
        <v>46136</v>
      </c>
      <c r="G225" s="1">
        <v>46136</v>
      </c>
      <c r="H225">
        <v>108.68</v>
      </c>
      <c r="I225" t="s">
        <v>141</v>
      </c>
      <c r="J225" s="5">
        <f>SUMIFS(Table5[quantity],Table5[order_id],Table3[[#This Row],[order_id]])</f>
        <v>8</v>
      </c>
    </row>
    <row r="226" spans="1:10">
      <c r="A226">
        <v>225</v>
      </c>
      <c r="B226">
        <v>1254</v>
      </c>
      <c r="C226" t="s">
        <v>33</v>
      </c>
      <c r="D226" t="s">
        <v>117</v>
      </c>
      <c r="E226" s="1">
        <v>46036</v>
      </c>
      <c r="F226" s="1">
        <v>46034</v>
      </c>
      <c r="G226" s="1">
        <v>46045</v>
      </c>
      <c r="H226">
        <v>119.89</v>
      </c>
      <c r="I226" t="s">
        <v>39</v>
      </c>
      <c r="J226" s="5">
        <f>SUMIFS(Table5[quantity],Table5[order_id],Table3[[#This Row],[order_id]])</f>
        <v>14</v>
      </c>
    </row>
    <row r="227" spans="1:10">
      <c r="A227">
        <v>226</v>
      </c>
      <c r="B227">
        <v>1255</v>
      </c>
      <c r="C227" t="s">
        <v>35</v>
      </c>
      <c r="D227" t="s">
        <v>122</v>
      </c>
      <c r="E227" s="1">
        <v>46156</v>
      </c>
      <c r="F227" s="1">
        <v>46152</v>
      </c>
      <c r="G227" s="1">
        <v>46164</v>
      </c>
      <c r="H227">
        <v>17.57</v>
      </c>
      <c r="I227" t="s">
        <v>141</v>
      </c>
      <c r="J227" s="5">
        <f>SUMIFS(Table5[quantity],Table5[order_id],Table3[[#This Row],[order_id]])</f>
        <v>6</v>
      </c>
    </row>
    <row r="228" spans="1:10">
      <c r="A228">
        <v>227</v>
      </c>
      <c r="B228">
        <v>1256</v>
      </c>
      <c r="C228" t="s">
        <v>32</v>
      </c>
      <c r="D228" t="s">
        <v>118</v>
      </c>
      <c r="E228" s="1">
        <v>46139</v>
      </c>
      <c r="F228" s="1">
        <v>46139</v>
      </c>
      <c r="G228" s="1">
        <v>46145</v>
      </c>
      <c r="H228">
        <v>96.33</v>
      </c>
      <c r="I228" t="s">
        <v>39</v>
      </c>
      <c r="J228" s="5">
        <f>SUMIFS(Table5[quantity],Table5[order_id],Table3[[#This Row],[order_id]])</f>
        <v>14</v>
      </c>
    </row>
    <row r="229" spans="1:10">
      <c r="A229">
        <v>228</v>
      </c>
      <c r="B229">
        <v>1257</v>
      </c>
      <c r="C229" t="s">
        <v>35</v>
      </c>
      <c r="D229" t="s">
        <v>118</v>
      </c>
      <c r="E229" s="1">
        <v>46052</v>
      </c>
      <c r="F229" s="1">
        <v>46047</v>
      </c>
      <c r="G229" s="1">
        <v>46053</v>
      </c>
      <c r="H229">
        <v>45.62</v>
      </c>
      <c r="I229" t="s">
        <v>488</v>
      </c>
      <c r="J229" s="5">
        <f>SUMIFS(Table5[quantity],Table5[order_id],Table3[[#This Row],[order_id]])</f>
        <v>11</v>
      </c>
    </row>
    <row r="230" spans="1:10">
      <c r="A230">
        <v>229</v>
      </c>
      <c r="B230">
        <v>1258</v>
      </c>
      <c r="C230" t="s">
        <v>36</v>
      </c>
      <c r="D230" t="s">
        <v>119</v>
      </c>
      <c r="E230" s="1">
        <v>46151</v>
      </c>
      <c r="F230" s="1">
        <v>46157</v>
      </c>
      <c r="G230" s="1">
        <v>46161</v>
      </c>
      <c r="H230">
        <v>94.73</v>
      </c>
      <c r="I230" t="s">
        <v>39</v>
      </c>
      <c r="J230" s="5">
        <f>SUMIFS(Table5[quantity],Table5[order_id],Table3[[#This Row],[order_id]])</f>
        <v>22</v>
      </c>
    </row>
    <row r="231" spans="1:10">
      <c r="A231">
        <v>230</v>
      </c>
      <c r="B231">
        <v>1259</v>
      </c>
      <c r="C231" t="s">
        <v>32</v>
      </c>
      <c r="D231" t="s">
        <v>117</v>
      </c>
      <c r="E231" s="1">
        <v>46050</v>
      </c>
      <c r="F231" s="1">
        <v>46056</v>
      </c>
      <c r="G231" s="1">
        <v>46056</v>
      </c>
      <c r="H231">
        <v>42.81</v>
      </c>
      <c r="I231" t="s">
        <v>141</v>
      </c>
      <c r="J231" s="5">
        <f>SUMIFS(Table5[quantity],Table5[order_id],Table3[[#This Row],[order_id]])</f>
        <v>11</v>
      </c>
    </row>
    <row r="232" spans="1:10">
      <c r="A232">
        <v>231</v>
      </c>
      <c r="B232">
        <v>1260</v>
      </c>
      <c r="C232" t="s">
        <v>36</v>
      </c>
      <c r="D232" t="s">
        <v>122</v>
      </c>
      <c r="E232" s="1">
        <v>46029</v>
      </c>
      <c r="F232" s="1">
        <v>46029</v>
      </c>
      <c r="G232" s="1">
        <v>46036</v>
      </c>
      <c r="H232">
        <v>108.18</v>
      </c>
      <c r="I232" t="s">
        <v>141</v>
      </c>
      <c r="J232" s="5">
        <f>SUMIFS(Table5[quantity],Table5[order_id],Table3[[#This Row],[order_id]])</f>
        <v>16</v>
      </c>
    </row>
    <row r="233" spans="1:10">
      <c r="A233">
        <v>232</v>
      </c>
      <c r="B233">
        <v>1261</v>
      </c>
      <c r="C233" t="s">
        <v>35</v>
      </c>
      <c r="D233" t="s">
        <v>118</v>
      </c>
      <c r="E233" s="1">
        <v>46141</v>
      </c>
      <c r="F233" s="1">
        <v>46138</v>
      </c>
      <c r="G233" s="1">
        <v>46148</v>
      </c>
      <c r="H233">
        <v>92.07</v>
      </c>
      <c r="I233" t="s">
        <v>39</v>
      </c>
      <c r="J233" s="5">
        <f>SUMIFS(Table5[quantity],Table5[order_id],Table3[[#This Row],[order_id]])</f>
        <v>6</v>
      </c>
    </row>
    <row r="234" spans="1:10">
      <c r="A234">
        <v>233</v>
      </c>
      <c r="B234">
        <v>1262</v>
      </c>
      <c r="C234" t="s">
        <v>33</v>
      </c>
      <c r="D234" t="s">
        <v>122</v>
      </c>
      <c r="E234" s="1">
        <v>46046</v>
      </c>
      <c r="F234" s="1">
        <v>46040</v>
      </c>
      <c r="G234" s="1">
        <v>46055</v>
      </c>
      <c r="H234">
        <v>76.430000000000007</v>
      </c>
      <c r="I234" t="s">
        <v>141</v>
      </c>
      <c r="J234" s="5">
        <f>SUMIFS(Table5[quantity],Table5[order_id],Table3[[#This Row],[order_id]])</f>
        <v>16</v>
      </c>
    </row>
    <row r="235" spans="1:10">
      <c r="A235">
        <v>234</v>
      </c>
      <c r="B235">
        <v>1263</v>
      </c>
      <c r="C235" t="s">
        <v>35</v>
      </c>
      <c r="D235" t="s">
        <v>117</v>
      </c>
      <c r="E235" s="1">
        <v>46080</v>
      </c>
      <c r="F235" s="1">
        <v>46079</v>
      </c>
      <c r="G235" s="1">
        <v>46085</v>
      </c>
      <c r="H235">
        <v>32</v>
      </c>
      <c r="I235" t="s">
        <v>39</v>
      </c>
      <c r="J235" s="5">
        <f>SUMIFS(Table5[quantity],Table5[order_id],Table3[[#This Row],[order_id]])</f>
        <v>11</v>
      </c>
    </row>
    <row r="236" spans="1:10">
      <c r="A236">
        <v>235</v>
      </c>
      <c r="B236">
        <v>1264</v>
      </c>
      <c r="C236" t="s">
        <v>36</v>
      </c>
      <c r="D236" t="s">
        <v>118</v>
      </c>
      <c r="E236" s="1">
        <v>46055</v>
      </c>
      <c r="F236" s="1">
        <v>46055</v>
      </c>
      <c r="G236" s="1">
        <v>46060</v>
      </c>
      <c r="H236">
        <v>81.36</v>
      </c>
      <c r="I236" t="s">
        <v>141</v>
      </c>
      <c r="J236" s="5">
        <f>SUMIFS(Table5[quantity],Table5[order_id],Table3[[#This Row],[order_id]])</f>
        <v>17</v>
      </c>
    </row>
    <row r="237" spans="1:10">
      <c r="A237">
        <v>236</v>
      </c>
      <c r="B237">
        <v>1265</v>
      </c>
      <c r="C237" t="s">
        <v>36</v>
      </c>
      <c r="D237" t="s">
        <v>117</v>
      </c>
      <c r="E237" s="1">
        <v>46087</v>
      </c>
      <c r="F237" s="1">
        <v>46091</v>
      </c>
      <c r="G237" s="1">
        <v>46091</v>
      </c>
      <c r="H237">
        <v>55.76</v>
      </c>
      <c r="I237" t="s">
        <v>39</v>
      </c>
      <c r="J237" s="5">
        <f>SUMIFS(Table5[quantity],Table5[order_id],Table3[[#This Row],[order_id]])</f>
        <v>10</v>
      </c>
    </row>
    <row r="238" spans="1:10">
      <c r="A238">
        <v>237</v>
      </c>
      <c r="B238">
        <v>1267</v>
      </c>
      <c r="C238" t="s">
        <v>37</v>
      </c>
      <c r="D238" t="s">
        <v>120</v>
      </c>
      <c r="E238" s="1">
        <v>46124</v>
      </c>
      <c r="F238" s="1">
        <v>46120</v>
      </c>
      <c r="G238" s="1">
        <v>46126</v>
      </c>
      <c r="H238">
        <v>47.09</v>
      </c>
      <c r="I238" t="s">
        <v>141</v>
      </c>
      <c r="J238" s="5">
        <f>SUMIFS(Table5[quantity],Table5[order_id],Table3[[#This Row],[order_id]])</f>
        <v>6</v>
      </c>
    </row>
    <row r="239" spans="1:10">
      <c r="A239">
        <v>238</v>
      </c>
      <c r="B239">
        <v>1268</v>
      </c>
      <c r="C239" t="s">
        <v>35</v>
      </c>
      <c r="D239" t="s">
        <v>117</v>
      </c>
      <c r="E239" s="1">
        <v>46036</v>
      </c>
      <c r="F239" s="1">
        <v>46037</v>
      </c>
      <c r="G239" s="1">
        <v>46046</v>
      </c>
      <c r="H239">
        <v>19.41</v>
      </c>
      <c r="I239" t="s">
        <v>141</v>
      </c>
      <c r="J239" s="5">
        <f>SUMIFS(Table5[quantity],Table5[order_id],Table3[[#This Row],[order_id]])</f>
        <v>22</v>
      </c>
    </row>
    <row r="240" spans="1:10">
      <c r="A240">
        <v>239</v>
      </c>
      <c r="B240">
        <v>1269</v>
      </c>
      <c r="C240" t="s">
        <v>35</v>
      </c>
      <c r="D240" t="s">
        <v>120</v>
      </c>
      <c r="E240" s="1">
        <v>46141</v>
      </c>
      <c r="F240" s="1">
        <v>46143</v>
      </c>
      <c r="G240" s="1">
        <v>46142</v>
      </c>
      <c r="H240">
        <v>115.14</v>
      </c>
      <c r="I240" t="s">
        <v>141</v>
      </c>
      <c r="J240" s="5">
        <f>SUMIFS(Table5[quantity],Table5[order_id],Table3[[#This Row],[order_id]])</f>
        <v>7</v>
      </c>
    </row>
    <row r="241" spans="1:10">
      <c r="A241">
        <v>240</v>
      </c>
      <c r="B241">
        <v>1270</v>
      </c>
      <c r="C241" t="s">
        <v>36</v>
      </c>
      <c r="D241" t="s">
        <v>117</v>
      </c>
      <c r="E241" s="1">
        <v>46064</v>
      </c>
      <c r="F241" s="1">
        <v>46069</v>
      </c>
      <c r="G241" s="1">
        <v>46068</v>
      </c>
      <c r="H241">
        <v>32.450000000000003</v>
      </c>
      <c r="I241" t="s">
        <v>141</v>
      </c>
      <c r="J241" s="5">
        <f>SUMIFS(Table5[quantity],Table5[order_id],Table3[[#This Row],[order_id]])</f>
        <v>4</v>
      </c>
    </row>
    <row r="242" spans="1:10">
      <c r="A242">
        <v>241</v>
      </c>
      <c r="B242">
        <v>1271</v>
      </c>
      <c r="C242" t="s">
        <v>37</v>
      </c>
      <c r="D242" t="s">
        <v>118</v>
      </c>
      <c r="E242" s="1">
        <v>46106</v>
      </c>
      <c r="F242" s="1">
        <v>46109</v>
      </c>
      <c r="G242" s="1">
        <v>46113</v>
      </c>
      <c r="H242">
        <v>82.72</v>
      </c>
      <c r="I242" t="s">
        <v>141</v>
      </c>
      <c r="J242" s="5">
        <f>SUMIFS(Table5[quantity],Table5[order_id],Table3[[#This Row],[order_id]])</f>
        <v>17</v>
      </c>
    </row>
    <row r="243" spans="1:10">
      <c r="A243">
        <v>242</v>
      </c>
      <c r="B243">
        <v>1273</v>
      </c>
      <c r="C243" t="s">
        <v>36</v>
      </c>
      <c r="D243" t="s">
        <v>117</v>
      </c>
      <c r="E243" s="1">
        <v>46092</v>
      </c>
      <c r="F243" s="1">
        <v>46095</v>
      </c>
      <c r="G243" s="1">
        <v>46101</v>
      </c>
      <c r="H243">
        <v>118.3</v>
      </c>
      <c r="I243" t="s">
        <v>39</v>
      </c>
      <c r="J243" s="5">
        <f>SUMIFS(Table5[quantity],Table5[order_id],Table3[[#This Row],[order_id]])</f>
        <v>18</v>
      </c>
    </row>
    <row r="244" spans="1:10">
      <c r="A244">
        <v>243</v>
      </c>
      <c r="B244">
        <v>1274</v>
      </c>
      <c r="C244" t="s">
        <v>33</v>
      </c>
      <c r="D244" t="s">
        <v>119</v>
      </c>
      <c r="E244" s="1">
        <v>46137</v>
      </c>
      <c r="F244" s="1">
        <v>46141</v>
      </c>
      <c r="G244" s="1">
        <v>46146</v>
      </c>
      <c r="H244">
        <v>69.319999999999993</v>
      </c>
      <c r="I244" t="s">
        <v>488</v>
      </c>
      <c r="J244" s="5">
        <f>SUMIFS(Table5[quantity],Table5[order_id],Table3[[#This Row],[order_id]])</f>
        <v>10</v>
      </c>
    </row>
    <row r="245" spans="1:10">
      <c r="A245">
        <v>244</v>
      </c>
      <c r="B245">
        <v>1275</v>
      </c>
      <c r="C245" t="s">
        <v>34</v>
      </c>
      <c r="D245" t="s">
        <v>118</v>
      </c>
      <c r="E245" s="1">
        <v>46093</v>
      </c>
      <c r="F245" s="1">
        <v>46101</v>
      </c>
      <c r="G245" s="1">
        <v>46096</v>
      </c>
      <c r="H245">
        <v>562.09</v>
      </c>
      <c r="I245" t="s">
        <v>141</v>
      </c>
      <c r="J245" s="5">
        <f>SUMIFS(Table5[quantity],Table5[order_id],Table3[[#This Row],[order_id]])</f>
        <v>13</v>
      </c>
    </row>
    <row r="246" spans="1:10">
      <c r="A246">
        <v>245</v>
      </c>
      <c r="B246">
        <v>1276</v>
      </c>
      <c r="C246" t="s">
        <v>36</v>
      </c>
      <c r="D246" t="s">
        <v>122</v>
      </c>
      <c r="E246" s="1">
        <v>46157</v>
      </c>
      <c r="F246" s="1">
        <v>46150</v>
      </c>
      <c r="G246" s="1">
        <v>46163</v>
      </c>
      <c r="H246">
        <v>116.76</v>
      </c>
      <c r="I246" t="s">
        <v>141</v>
      </c>
      <c r="J246" s="5">
        <f>SUMIFS(Table5[quantity],Table5[order_id],Table3[[#This Row],[order_id]])</f>
        <v>1</v>
      </c>
    </row>
    <row r="247" spans="1:10">
      <c r="A247">
        <v>246</v>
      </c>
      <c r="B247">
        <v>1277</v>
      </c>
      <c r="C247" t="s">
        <v>32</v>
      </c>
      <c r="D247" t="s">
        <v>119</v>
      </c>
      <c r="E247" s="1">
        <v>46067</v>
      </c>
      <c r="F247" s="1">
        <v>46072</v>
      </c>
      <c r="G247" s="1">
        <v>46075</v>
      </c>
      <c r="H247">
        <v>108.92</v>
      </c>
      <c r="I247" t="s">
        <v>488</v>
      </c>
      <c r="J247" s="5">
        <f>SUMIFS(Table5[quantity],Table5[order_id],Table3[[#This Row],[order_id]])</f>
        <v>15</v>
      </c>
    </row>
    <row r="248" spans="1:10">
      <c r="A248">
        <v>247</v>
      </c>
      <c r="B248">
        <v>1278</v>
      </c>
      <c r="C248" t="s">
        <v>35</v>
      </c>
      <c r="D248" t="s">
        <v>119</v>
      </c>
      <c r="E248" s="1">
        <v>46133</v>
      </c>
      <c r="F248" s="1">
        <v>46130</v>
      </c>
      <c r="G248" s="1">
        <v>46141</v>
      </c>
      <c r="H248">
        <v>4.2300000000000004</v>
      </c>
      <c r="I248" t="s">
        <v>39</v>
      </c>
      <c r="J248" s="5">
        <f>SUMIFS(Table5[quantity],Table5[order_id],Table3[[#This Row],[order_id]])</f>
        <v>12</v>
      </c>
    </row>
    <row r="249" spans="1:10">
      <c r="A249">
        <v>248</v>
      </c>
      <c r="B249">
        <v>1279</v>
      </c>
      <c r="C249" t="s">
        <v>32</v>
      </c>
      <c r="D249" t="s">
        <v>118</v>
      </c>
      <c r="E249" s="1">
        <v>46135</v>
      </c>
      <c r="F249" s="1">
        <v>46140</v>
      </c>
      <c r="G249" s="1">
        <v>46142</v>
      </c>
      <c r="H249">
        <v>115.1</v>
      </c>
      <c r="I249" t="s">
        <v>39</v>
      </c>
      <c r="J249" s="5">
        <f>SUMIFS(Table5[quantity],Table5[order_id],Table3[[#This Row],[order_id]])</f>
        <v>21</v>
      </c>
    </row>
    <row r="250" spans="1:10">
      <c r="A250">
        <v>249</v>
      </c>
      <c r="B250">
        <v>1280</v>
      </c>
      <c r="C250" t="s">
        <v>33</v>
      </c>
      <c r="D250" t="s">
        <v>118</v>
      </c>
      <c r="E250" s="1">
        <v>46110</v>
      </c>
      <c r="F250" s="1">
        <v>46109</v>
      </c>
      <c r="G250" s="1">
        <v>46116</v>
      </c>
      <c r="H250">
        <v>101.5</v>
      </c>
      <c r="I250" t="s">
        <v>39</v>
      </c>
      <c r="J250" s="5">
        <f>SUMIFS(Table5[quantity],Table5[order_id],Table3[[#This Row],[order_id]])</f>
        <v>8</v>
      </c>
    </row>
    <row r="251" spans="1:10">
      <c r="A251">
        <v>250</v>
      </c>
      <c r="B251">
        <v>1281</v>
      </c>
      <c r="C251" t="s">
        <v>34</v>
      </c>
      <c r="D251" t="s">
        <v>118</v>
      </c>
      <c r="E251" s="1">
        <v>46035</v>
      </c>
      <c r="F251" s="1">
        <v>46038</v>
      </c>
      <c r="G251" s="1">
        <v>46042</v>
      </c>
      <c r="H251">
        <v>40.340000000000003</v>
      </c>
      <c r="I251" t="s">
        <v>141</v>
      </c>
      <c r="J251" s="5">
        <f>SUMIFS(Table5[quantity],Table5[order_id],Table3[[#This Row],[order_id]])</f>
        <v>2</v>
      </c>
    </row>
    <row r="252" spans="1:10">
      <c r="A252">
        <v>251</v>
      </c>
      <c r="B252">
        <v>1282</v>
      </c>
      <c r="C252" t="s">
        <v>34</v>
      </c>
      <c r="D252" t="s">
        <v>119</v>
      </c>
      <c r="E252" s="1">
        <v>46142</v>
      </c>
      <c r="F252" s="1">
        <v>46142</v>
      </c>
      <c r="G252" s="1">
        <v>46148</v>
      </c>
      <c r="H252">
        <v>72.19</v>
      </c>
      <c r="I252" t="s">
        <v>39</v>
      </c>
      <c r="J252" s="5">
        <f>SUMIFS(Table5[quantity],Table5[order_id],Table3[[#This Row],[order_id]])</f>
        <v>12</v>
      </c>
    </row>
    <row r="253" spans="1:10">
      <c r="A253">
        <v>252</v>
      </c>
      <c r="B253">
        <v>1283</v>
      </c>
      <c r="C253" t="s">
        <v>32</v>
      </c>
      <c r="D253" t="s">
        <v>118</v>
      </c>
      <c r="E253" s="1">
        <v>46079</v>
      </c>
      <c r="F253" s="1">
        <v>46079</v>
      </c>
      <c r="G253" s="1">
        <v>46085</v>
      </c>
      <c r="H253">
        <v>40.1</v>
      </c>
      <c r="I253" t="s">
        <v>141</v>
      </c>
      <c r="J253" s="5">
        <f>SUMIFS(Table5[quantity],Table5[order_id],Table3[[#This Row],[order_id]])</f>
        <v>14</v>
      </c>
    </row>
    <row r="254" spans="1:10">
      <c r="A254">
        <v>253</v>
      </c>
      <c r="B254">
        <v>1284</v>
      </c>
      <c r="C254" t="s">
        <v>37</v>
      </c>
      <c r="D254" t="s">
        <v>120</v>
      </c>
      <c r="E254" s="1">
        <v>46108</v>
      </c>
      <c r="F254" s="1">
        <v>46108</v>
      </c>
      <c r="G254" s="1">
        <v>46114</v>
      </c>
      <c r="H254">
        <v>102.83</v>
      </c>
      <c r="I254" t="s">
        <v>141</v>
      </c>
      <c r="J254" s="5">
        <f>SUMIFS(Table5[quantity],Table5[order_id],Table3[[#This Row],[order_id]])</f>
        <v>11</v>
      </c>
    </row>
    <row r="255" spans="1:10">
      <c r="A255">
        <v>254</v>
      </c>
      <c r="B255">
        <v>1285</v>
      </c>
      <c r="C255" t="s">
        <v>37</v>
      </c>
      <c r="D255" t="s">
        <v>117</v>
      </c>
      <c r="E255" s="1">
        <v>46109</v>
      </c>
      <c r="F255" s="1">
        <v>46112</v>
      </c>
      <c r="G255" s="1">
        <v>46119</v>
      </c>
      <c r="H255">
        <v>28.72</v>
      </c>
      <c r="I255" t="s">
        <v>488</v>
      </c>
      <c r="J255" s="5">
        <f>SUMIFS(Table5[quantity],Table5[order_id],Table3[[#This Row],[order_id]])</f>
        <v>4</v>
      </c>
    </row>
    <row r="256" spans="1:10">
      <c r="A256">
        <v>255</v>
      </c>
      <c r="B256">
        <v>1286</v>
      </c>
      <c r="C256" t="s">
        <v>37</v>
      </c>
      <c r="D256" t="s">
        <v>119</v>
      </c>
      <c r="E256" s="1">
        <v>46126</v>
      </c>
      <c r="F256" s="1">
        <v>46129</v>
      </c>
      <c r="G256" s="1">
        <v>46134</v>
      </c>
      <c r="H256">
        <v>26.55</v>
      </c>
      <c r="I256" t="s">
        <v>141</v>
      </c>
      <c r="J256" s="5">
        <f>SUMIFS(Table5[quantity],Table5[order_id],Table3[[#This Row],[order_id]])</f>
        <v>6</v>
      </c>
    </row>
    <row r="257" spans="1:10">
      <c r="A257">
        <v>256</v>
      </c>
      <c r="B257">
        <v>1287</v>
      </c>
      <c r="C257" t="s">
        <v>34</v>
      </c>
      <c r="D257" t="s">
        <v>122</v>
      </c>
      <c r="E257" s="1">
        <v>46073</v>
      </c>
      <c r="F257" s="1">
        <v>46075</v>
      </c>
      <c r="G257" s="1">
        <v>46076</v>
      </c>
      <c r="H257">
        <v>47.96</v>
      </c>
      <c r="I257" t="s">
        <v>488</v>
      </c>
      <c r="J257" s="5">
        <f>SUMIFS(Table5[quantity],Table5[order_id],Table3[[#This Row],[order_id]])</f>
        <v>7</v>
      </c>
    </row>
    <row r="258" spans="1:10">
      <c r="A258">
        <v>257</v>
      </c>
      <c r="B258">
        <v>1288</v>
      </c>
      <c r="C258" t="s">
        <v>34</v>
      </c>
      <c r="D258" t="s">
        <v>118</v>
      </c>
      <c r="E258" s="1">
        <v>46105</v>
      </c>
      <c r="F258" s="1">
        <v>46107</v>
      </c>
      <c r="G258" s="1">
        <v>46112</v>
      </c>
      <c r="H258">
        <v>117.33</v>
      </c>
      <c r="I258" t="s">
        <v>39</v>
      </c>
      <c r="J258" s="5">
        <f>SUMIFS(Table5[quantity],Table5[order_id],Table3[[#This Row],[order_id]])</f>
        <v>14</v>
      </c>
    </row>
    <row r="259" spans="1:10">
      <c r="A259">
        <v>258</v>
      </c>
      <c r="B259">
        <v>1289</v>
      </c>
      <c r="C259" t="s">
        <v>36</v>
      </c>
      <c r="D259" t="s">
        <v>119</v>
      </c>
      <c r="E259" s="1">
        <v>46100</v>
      </c>
      <c r="F259" s="1">
        <v>46105</v>
      </c>
      <c r="G259" s="1">
        <v>46102</v>
      </c>
      <c r="H259">
        <v>95.02</v>
      </c>
      <c r="I259" t="s">
        <v>488</v>
      </c>
      <c r="J259" s="5">
        <f>SUMIFS(Table5[quantity],Table5[order_id],Table3[[#This Row],[order_id]])</f>
        <v>3</v>
      </c>
    </row>
    <row r="260" spans="1:10">
      <c r="A260">
        <v>259</v>
      </c>
      <c r="B260">
        <v>1290</v>
      </c>
      <c r="C260" t="s">
        <v>32</v>
      </c>
      <c r="D260" t="s">
        <v>120</v>
      </c>
      <c r="E260" s="1">
        <v>46155</v>
      </c>
      <c r="F260" s="1">
        <v>46156</v>
      </c>
      <c r="G260" s="1">
        <v>46159</v>
      </c>
      <c r="H260">
        <v>56.44</v>
      </c>
      <c r="I260" t="s">
        <v>141</v>
      </c>
      <c r="J260" s="5">
        <f>SUMIFS(Table5[quantity],Table5[order_id],Table3[[#This Row],[order_id]])</f>
        <v>21</v>
      </c>
    </row>
    <row r="261" spans="1:10">
      <c r="A261">
        <v>260</v>
      </c>
      <c r="B261">
        <v>1291</v>
      </c>
      <c r="C261" t="s">
        <v>33</v>
      </c>
      <c r="D261" t="s">
        <v>122</v>
      </c>
      <c r="E261" s="1">
        <v>46124</v>
      </c>
      <c r="F261" s="1">
        <v>46124</v>
      </c>
      <c r="G261" s="1">
        <v>46132</v>
      </c>
      <c r="H261">
        <v>54.17</v>
      </c>
      <c r="I261" t="s">
        <v>39</v>
      </c>
      <c r="J261" s="5">
        <f>SUMIFS(Table5[quantity],Table5[order_id],Table3[[#This Row],[order_id]])</f>
        <v>11</v>
      </c>
    </row>
    <row r="262" spans="1:10">
      <c r="A262">
        <v>261</v>
      </c>
      <c r="B262">
        <v>1292</v>
      </c>
      <c r="C262" t="s">
        <v>37</v>
      </c>
      <c r="D262" t="s">
        <v>118</v>
      </c>
      <c r="E262" s="1">
        <v>46120</v>
      </c>
      <c r="F262" s="1">
        <v>46122</v>
      </c>
      <c r="G262" s="1">
        <v>46122</v>
      </c>
      <c r="H262">
        <v>45.79</v>
      </c>
      <c r="I262" t="s">
        <v>39</v>
      </c>
      <c r="J262" s="5">
        <f>SUMIFS(Table5[quantity],Table5[order_id],Table3[[#This Row],[order_id]])</f>
        <v>4</v>
      </c>
    </row>
    <row r="263" spans="1:10">
      <c r="A263">
        <v>262</v>
      </c>
      <c r="B263">
        <v>1294</v>
      </c>
      <c r="C263" t="s">
        <v>36</v>
      </c>
      <c r="D263" t="s">
        <v>119</v>
      </c>
      <c r="E263" s="1">
        <v>46063</v>
      </c>
      <c r="F263" s="1">
        <v>46066</v>
      </c>
      <c r="G263" s="1">
        <v>46070</v>
      </c>
      <c r="H263">
        <v>28.31</v>
      </c>
      <c r="I263" t="s">
        <v>39</v>
      </c>
      <c r="J263" s="5">
        <f>SUMIFS(Table5[quantity],Table5[order_id],Table3[[#This Row],[order_id]])</f>
        <v>10</v>
      </c>
    </row>
    <row r="264" spans="1:10">
      <c r="A264">
        <v>263</v>
      </c>
      <c r="B264">
        <v>1295</v>
      </c>
      <c r="C264" t="s">
        <v>37</v>
      </c>
      <c r="D264" t="s">
        <v>122</v>
      </c>
      <c r="E264" s="1">
        <v>46063</v>
      </c>
      <c r="F264" s="1">
        <v>46065</v>
      </c>
      <c r="G264" s="1">
        <v>46070</v>
      </c>
      <c r="H264">
        <v>92.49</v>
      </c>
      <c r="I264" t="s">
        <v>39</v>
      </c>
      <c r="J264" s="5">
        <f>SUMIFS(Table5[quantity],Table5[order_id],Table3[[#This Row],[order_id]])</f>
        <v>6</v>
      </c>
    </row>
    <row r="265" spans="1:10">
      <c r="A265">
        <v>264</v>
      </c>
      <c r="B265">
        <v>1296</v>
      </c>
      <c r="C265" t="s">
        <v>37</v>
      </c>
      <c r="D265" t="s">
        <v>119</v>
      </c>
      <c r="E265" s="1">
        <v>46034</v>
      </c>
      <c r="F265" s="1">
        <v>46030</v>
      </c>
      <c r="G265" s="1">
        <v>46040</v>
      </c>
      <c r="H265">
        <v>70.06</v>
      </c>
      <c r="I265" t="s">
        <v>488</v>
      </c>
      <c r="J265" s="5">
        <f>SUMIFS(Table5[quantity],Table5[order_id],Table3[[#This Row],[order_id]])</f>
        <v>9</v>
      </c>
    </row>
    <row r="266" spans="1:10">
      <c r="A266">
        <v>265</v>
      </c>
      <c r="B266">
        <v>1297</v>
      </c>
      <c r="C266" t="s">
        <v>34</v>
      </c>
      <c r="D266" t="s">
        <v>117</v>
      </c>
      <c r="E266" s="1">
        <v>46054</v>
      </c>
      <c r="F266" s="1">
        <v>46053</v>
      </c>
      <c r="G266" s="1">
        <v>46058</v>
      </c>
      <c r="H266">
        <v>31.03</v>
      </c>
      <c r="I266" t="s">
        <v>141</v>
      </c>
      <c r="J266" s="5">
        <f>SUMIFS(Table5[quantity],Table5[order_id],Table3[[#This Row],[order_id]])</f>
        <v>1</v>
      </c>
    </row>
    <row r="267" spans="1:10">
      <c r="A267">
        <v>266</v>
      </c>
      <c r="B267">
        <v>1298</v>
      </c>
      <c r="C267" t="s">
        <v>37</v>
      </c>
      <c r="D267" t="s">
        <v>118</v>
      </c>
      <c r="E267" s="1">
        <v>46120</v>
      </c>
      <c r="F267" s="1">
        <v>46122</v>
      </c>
      <c r="G267" s="1">
        <v>46128</v>
      </c>
      <c r="H267">
        <v>22.42</v>
      </c>
      <c r="I267" t="s">
        <v>39</v>
      </c>
      <c r="J267" s="5">
        <f>SUMIFS(Table5[quantity],Table5[order_id],Table3[[#This Row],[order_id]])</f>
        <v>18</v>
      </c>
    </row>
    <row r="268" spans="1:10">
      <c r="A268">
        <v>267</v>
      </c>
      <c r="B268">
        <v>1300</v>
      </c>
      <c r="C268" t="s">
        <v>35</v>
      </c>
      <c r="D268" t="s">
        <v>118</v>
      </c>
      <c r="E268" s="1">
        <v>46036</v>
      </c>
      <c r="F268" s="1">
        <v>46040</v>
      </c>
      <c r="G268" s="1">
        <v>46045</v>
      </c>
      <c r="H268">
        <v>37.86</v>
      </c>
      <c r="I268" t="s">
        <v>141</v>
      </c>
      <c r="J268" s="5">
        <f>SUMIFS(Table5[quantity],Table5[order_id],Table3[[#This Row],[order_id]])</f>
        <v>17</v>
      </c>
    </row>
    <row r="269" spans="1:10">
      <c r="A269">
        <v>268</v>
      </c>
      <c r="B269">
        <v>1301</v>
      </c>
      <c r="C269" t="s">
        <v>35</v>
      </c>
      <c r="D269" t="s">
        <v>117</v>
      </c>
      <c r="E269" s="1">
        <v>46131</v>
      </c>
      <c r="F269" s="1">
        <v>46131</v>
      </c>
      <c r="G269" s="1">
        <v>46140</v>
      </c>
      <c r="H269">
        <v>9.18</v>
      </c>
      <c r="I269" t="s">
        <v>141</v>
      </c>
      <c r="J269" s="5">
        <f>SUMIFS(Table5[quantity],Table5[order_id],Table3[[#This Row],[order_id]])</f>
        <v>6</v>
      </c>
    </row>
    <row r="270" spans="1:10">
      <c r="A270">
        <v>269</v>
      </c>
      <c r="B270">
        <v>1302</v>
      </c>
      <c r="C270" t="s">
        <v>36</v>
      </c>
      <c r="D270" t="s">
        <v>117</v>
      </c>
      <c r="E270" s="1">
        <v>46111</v>
      </c>
      <c r="F270" s="1">
        <v>46112</v>
      </c>
      <c r="G270" s="1">
        <v>46121</v>
      </c>
      <c r="H270">
        <v>15.66</v>
      </c>
      <c r="I270" t="s">
        <v>488</v>
      </c>
      <c r="J270" s="5">
        <f>SUMIFS(Table5[quantity],Table5[order_id],Table3[[#This Row],[order_id]])</f>
        <v>21</v>
      </c>
    </row>
    <row r="271" spans="1:10">
      <c r="A271">
        <v>270</v>
      </c>
      <c r="B271">
        <v>1303</v>
      </c>
      <c r="C271" t="s">
        <v>32</v>
      </c>
      <c r="D271" t="s">
        <v>118</v>
      </c>
      <c r="E271" s="1">
        <v>46048</v>
      </c>
      <c r="F271" s="1">
        <v>46044</v>
      </c>
      <c r="G271" s="1">
        <v>46058</v>
      </c>
      <c r="H271">
        <v>4.54</v>
      </c>
      <c r="I271" t="s">
        <v>39</v>
      </c>
      <c r="J271" s="5">
        <f>SUMIFS(Table5[quantity],Table5[order_id],Table3[[#This Row],[order_id]])</f>
        <v>14</v>
      </c>
    </row>
    <row r="272" spans="1:10">
      <c r="A272">
        <v>271</v>
      </c>
      <c r="B272">
        <v>1304</v>
      </c>
      <c r="C272" t="s">
        <v>32</v>
      </c>
      <c r="D272" t="s">
        <v>118</v>
      </c>
      <c r="E272" s="1">
        <v>46092</v>
      </c>
      <c r="F272" s="1">
        <v>46087</v>
      </c>
      <c r="G272" s="1">
        <v>46101</v>
      </c>
      <c r="H272">
        <v>49.83</v>
      </c>
      <c r="I272" t="s">
        <v>141</v>
      </c>
      <c r="J272" s="5">
        <f>SUMIFS(Table5[quantity],Table5[order_id],Table3[[#This Row],[order_id]])</f>
        <v>14</v>
      </c>
    </row>
    <row r="273" spans="1:10">
      <c r="A273">
        <v>272</v>
      </c>
      <c r="B273">
        <v>1306</v>
      </c>
      <c r="C273" t="s">
        <v>36</v>
      </c>
      <c r="D273" t="s">
        <v>117</v>
      </c>
      <c r="E273" s="1">
        <v>46058</v>
      </c>
      <c r="F273" s="1">
        <v>46054</v>
      </c>
      <c r="G273" s="1">
        <v>46060</v>
      </c>
      <c r="H273">
        <v>42.87</v>
      </c>
      <c r="I273" t="s">
        <v>141</v>
      </c>
      <c r="J273" s="5">
        <f>SUMIFS(Table5[quantity],Table5[order_id],Table3[[#This Row],[order_id]])</f>
        <v>8</v>
      </c>
    </row>
    <row r="274" spans="1:10">
      <c r="A274">
        <v>273</v>
      </c>
      <c r="B274">
        <v>1307</v>
      </c>
      <c r="C274" t="s">
        <v>34</v>
      </c>
      <c r="D274" t="s">
        <v>118</v>
      </c>
      <c r="E274" s="1">
        <v>46156</v>
      </c>
      <c r="F274" s="1">
        <v>46156</v>
      </c>
      <c r="G274" s="1">
        <v>46163</v>
      </c>
      <c r="H274">
        <v>91.84</v>
      </c>
      <c r="I274" t="s">
        <v>39</v>
      </c>
      <c r="J274" s="5">
        <f>SUMIFS(Table5[quantity],Table5[order_id],Table3[[#This Row],[order_id]])</f>
        <v>1</v>
      </c>
    </row>
    <row r="275" spans="1:10">
      <c r="A275">
        <v>274</v>
      </c>
      <c r="B275">
        <v>1309</v>
      </c>
      <c r="C275" t="s">
        <v>32</v>
      </c>
      <c r="D275" t="s">
        <v>118</v>
      </c>
      <c r="E275" s="1">
        <v>46075</v>
      </c>
      <c r="F275" s="1">
        <v>46078</v>
      </c>
      <c r="G275" s="1">
        <v>46076</v>
      </c>
      <c r="H275">
        <v>77.59</v>
      </c>
      <c r="I275" t="s">
        <v>141</v>
      </c>
      <c r="J275" s="5">
        <f>SUMIFS(Table5[quantity],Table5[order_id],Table3[[#This Row],[order_id]])</f>
        <v>8</v>
      </c>
    </row>
    <row r="276" spans="1:10">
      <c r="A276">
        <v>275</v>
      </c>
      <c r="B276">
        <v>1310</v>
      </c>
      <c r="C276" t="s">
        <v>33</v>
      </c>
      <c r="D276" t="s">
        <v>118</v>
      </c>
      <c r="E276" s="1">
        <v>46072</v>
      </c>
      <c r="F276" s="1">
        <v>46070</v>
      </c>
      <c r="G276" s="1">
        <v>46082</v>
      </c>
      <c r="H276">
        <v>32.880000000000003</v>
      </c>
      <c r="I276" t="s">
        <v>39</v>
      </c>
      <c r="J276" s="5">
        <f>SUMIFS(Table5[quantity],Table5[order_id],Table3[[#This Row],[order_id]])</f>
        <v>5</v>
      </c>
    </row>
    <row r="277" spans="1:10">
      <c r="A277">
        <v>276</v>
      </c>
      <c r="B277">
        <v>1311</v>
      </c>
      <c r="C277" t="s">
        <v>36</v>
      </c>
      <c r="D277" t="s">
        <v>117</v>
      </c>
      <c r="E277" s="1">
        <v>46149</v>
      </c>
      <c r="F277" s="1">
        <v>46151</v>
      </c>
      <c r="G277" s="1">
        <v>46157</v>
      </c>
      <c r="H277">
        <v>39.479999999999997</v>
      </c>
      <c r="I277" t="s">
        <v>141</v>
      </c>
      <c r="J277" s="5">
        <f>SUMIFS(Table5[quantity],Table5[order_id],Table3[[#This Row],[order_id]])</f>
        <v>21</v>
      </c>
    </row>
    <row r="278" spans="1:10">
      <c r="A278">
        <v>277</v>
      </c>
      <c r="B278">
        <v>1312</v>
      </c>
      <c r="C278" t="s">
        <v>34</v>
      </c>
      <c r="D278" t="s">
        <v>117</v>
      </c>
      <c r="E278" s="1">
        <v>46112</v>
      </c>
      <c r="F278" s="1">
        <v>46113</v>
      </c>
      <c r="G278" s="1">
        <v>46120</v>
      </c>
      <c r="H278">
        <v>39.71</v>
      </c>
      <c r="I278" t="s">
        <v>141</v>
      </c>
      <c r="J278" s="5">
        <f>SUMIFS(Table5[quantity],Table5[order_id],Table3[[#This Row],[order_id]])</f>
        <v>11</v>
      </c>
    </row>
    <row r="279" spans="1:10">
      <c r="A279">
        <v>278</v>
      </c>
      <c r="B279">
        <v>1313</v>
      </c>
      <c r="C279" t="s">
        <v>32</v>
      </c>
      <c r="D279" t="s">
        <v>117</v>
      </c>
      <c r="E279" s="1">
        <v>46053</v>
      </c>
      <c r="F279" s="1">
        <v>46061</v>
      </c>
      <c r="G279" s="1">
        <v>46060</v>
      </c>
      <c r="H279">
        <v>111.48</v>
      </c>
      <c r="I279" t="s">
        <v>141</v>
      </c>
      <c r="J279" s="5">
        <f>SUMIFS(Table5[quantity],Table5[order_id],Table3[[#This Row],[order_id]])</f>
        <v>13</v>
      </c>
    </row>
    <row r="280" spans="1:10">
      <c r="A280">
        <v>279</v>
      </c>
      <c r="B280">
        <v>1314</v>
      </c>
      <c r="C280" t="s">
        <v>32</v>
      </c>
      <c r="D280" t="s">
        <v>119</v>
      </c>
      <c r="E280" s="1">
        <v>46118</v>
      </c>
      <c r="F280" s="1">
        <v>46118</v>
      </c>
      <c r="G280" s="1">
        <v>46128</v>
      </c>
      <c r="H280">
        <v>71.09</v>
      </c>
      <c r="I280" t="s">
        <v>141</v>
      </c>
      <c r="J280" s="5">
        <f>SUMIFS(Table5[quantity],Table5[order_id],Table3[[#This Row],[order_id]])</f>
        <v>5</v>
      </c>
    </row>
    <row r="281" spans="1:10">
      <c r="A281">
        <v>280</v>
      </c>
      <c r="B281">
        <v>1315</v>
      </c>
      <c r="C281" t="s">
        <v>33</v>
      </c>
      <c r="D281" t="s">
        <v>119</v>
      </c>
      <c r="E281" s="1">
        <v>46048</v>
      </c>
      <c r="F281" s="1">
        <v>46053</v>
      </c>
      <c r="G281" s="1">
        <v>46055</v>
      </c>
      <c r="H281">
        <v>392.62</v>
      </c>
      <c r="I281" t="s">
        <v>141</v>
      </c>
      <c r="J281" s="5">
        <f>SUMIFS(Table5[quantity],Table5[order_id],Table3[[#This Row],[order_id]])</f>
        <v>22</v>
      </c>
    </row>
    <row r="282" spans="1:10">
      <c r="A282">
        <v>281</v>
      </c>
      <c r="B282">
        <v>1316</v>
      </c>
      <c r="C282" t="s">
        <v>34</v>
      </c>
      <c r="D282" t="s">
        <v>118</v>
      </c>
      <c r="E282" s="1">
        <v>46042</v>
      </c>
      <c r="F282" s="1">
        <v>46044</v>
      </c>
      <c r="G282" s="1">
        <v>46049</v>
      </c>
      <c r="H282">
        <v>55.12</v>
      </c>
      <c r="I282" t="s">
        <v>141</v>
      </c>
      <c r="J282" s="5">
        <f>SUMIFS(Table5[quantity],Table5[order_id],Table3[[#This Row],[order_id]])</f>
        <v>16</v>
      </c>
    </row>
    <row r="283" spans="1:10">
      <c r="A283">
        <v>282</v>
      </c>
      <c r="B283">
        <v>1317</v>
      </c>
      <c r="C283" t="s">
        <v>34</v>
      </c>
      <c r="D283" t="s">
        <v>117</v>
      </c>
      <c r="E283" s="1">
        <v>46107</v>
      </c>
      <c r="F283" s="1">
        <v>46104</v>
      </c>
      <c r="G283" s="1">
        <v>46108</v>
      </c>
      <c r="H283">
        <v>15.23</v>
      </c>
      <c r="I283" t="s">
        <v>39</v>
      </c>
      <c r="J283" s="5">
        <f>SUMIFS(Table5[quantity],Table5[order_id],Table3[[#This Row],[order_id]])</f>
        <v>15</v>
      </c>
    </row>
    <row r="284" spans="1:10">
      <c r="A284">
        <v>283</v>
      </c>
      <c r="B284">
        <v>1318</v>
      </c>
      <c r="C284" t="s">
        <v>35</v>
      </c>
      <c r="D284" t="s">
        <v>118</v>
      </c>
      <c r="E284" s="1">
        <v>46092</v>
      </c>
      <c r="F284" s="1">
        <v>46093</v>
      </c>
      <c r="G284" s="1">
        <v>46102</v>
      </c>
      <c r="H284">
        <v>18.260000000000002</v>
      </c>
      <c r="I284" t="s">
        <v>39</v>
      </c>
      <c r="J284" s="5">
        <f>SUMIFS(Table5[quantity],Table5[order_id],Table3[[#This Row],[order_id]])</f>
        <v>12</v>
      </c>
    </row>
    <row r="285" spans="1:10">
      <c r="A285">
        <v>284</v>
      </c>
      <c r="B285">
        <v>1319</v>
      </c>
      <c r="C285" t="s">
        <v>32</v>
      </c>
      <c r="D285" t="s">
        <v>118</v>
      </c>
      <c r="E285" s="1">
        <v>46147</v>
      </c>
      <c r="F285" s="1">
        <v>46145</v>
      </c>
      <c r="G285" s="1">
        <v>46149</v>
      </c>
      <c r="H285">
        <v>89.18</v>
      </c>
      <c r="I285" t="s">
        <v>39</v>
      </c>
      <c r="J285" s="5">
        <f>SUMIFS(Table5[quantity],Table5[order_id],Table3[[#This Row],[order_id]])</f>
        <v>18</v>
      </c>
    </row>
    <row r="286" spans="1:10">
      <c r="A286">
        <v>285</v>
      </c>
      <c r="B286">
        <v>1320</v>
      </c>
      <c r="C286" t="s">
        <v>35</v>
      </c>
      <c r="D286" t="s">
        <v>119</v>
      </c>
      <c r="E286" s="1">
        <v>46152</v>
      </c>
      <c r="F286" s="1">
        <v>46157</v>
      </c>
      <c r="G286" s="1">
        <v>46161</v>
      </c>
      <c r="H286">
        <v>31.94</v>
      </c>
      <c r="I286" t="s">
        <v>141</v>
      </c>
      <c r="J286" s="5">
        <f>SUMIFS(Table5[quantity],Table5[order_id],Table3[[#This Row],[order_id]])</f>
        <v>8</v>
      </c>
    </row>
    <row r="287" spans="1:10">
      <c r="A287">
        <v>286</v>
      </c>
      <c r="B287">
        <v>1321</v>
      </c>
      <c r="C287" t="s">
        <v>35</v>
      </c>
      <c r="D287" t="s">
        <v>117</v>
      </c>
      <c r="E287" s="1">
        <v>46143</v>
      </c>
      <c r="F287" s="1">
        <v>46138</v>
      </c>
      <c r="G287" s="1">
        <v>46150</v>
      </c>
      <c r="H287">
        <v>109.58</v>
      </c>
      <c r="I287" t="s">
        <v>39</v>
      </c>
      <c r="J287" s="5">
        <f>SUMIFS(Table5[quantity],Table5[order_id],Table3[[#This Row],[order_id]])</f>
        <v>13</v>
      </c>
    </row>
    <row r="288" spans="1:10">
      <c r="A288">
        <v>287</v>
      </c>
      <c r="B288">
        <v>1322</v>
      </c>
      <c r="C288" t="s">
        <v>37</v>
      </c>
      <c r="D288" t="s">
        <v>117</v>
      </c>
      <c r="E288" s="1">
        <v>46142</v>
      </c>
      <c r="F288" s="1">
        <v>46137</v>
      </c>
      <c r="G288" s="1">
        <v>46144</v>
      </c>
      <c r="H288">
        <v>70.45</v>
      </c>
      <c r="I288" t="s">
        <v>39</v>
      </c>
      <c r="J288" s="5">
        <f>SUMIFS(Table5[quantity],Table5[order_id],Table3[[#This Row],[order_id]])</f>
        <v>2</v>
      </c>
    </row>
    <row r="289" spans="1:10">
      <c r="A289">
        <v>288</v>
      </c>
      <c r="B289">
        <v>1328</v>
      </c>
      <c r="C289" t="s">
        <v>35</v>
      </c>
      <c r="D289" t="s">
        <v>119</v>
      </c>
      <c r="E289" s="1">
        <v>46075</v>
      </c>
      <c r="F289" s="1">
        <v>46073</v>
      </c>
      <c r="G289" s="1">
        <v>46082</v>
      </c>
      <c r="H289">
        <v>94</v>
      </c>
      <c r="I289" t="s">
        <v>141</v>
      </c>
      <c r="J289" s="5">
        <f>SUMIFS(Table5[quantity],Table5[order_id],Table3[[#This Row],[order_id]])</f>
        <v>10</v>
      </c>
    </row>
    <row r="290" spans="1:10">
      <c r="A290">
        <v>289</v>
      </c>
      <c r="B290">
        <v>1330</v>
      </c>
      <c r="C290" t="s">
        <v>34</v>
      </c>
      <c r="D290" t="s">
        <v>117</v>
      </c>
      <c r="E290" s="1">
        <v>46064</v>
      </c>
      <c r="F290" s="1">
        <v>46057</v>
      </c>
      <c r="G290" s="1">
        <v>46067</v>
      </c>
      <c r="H290">
        <v>103.99</v>
      </c>
      <c r="I290" t="s">
        <v>39</v>
      </c>
      <c r="J290" s="5">
        <f>SUMIFS(Table5[quantity],Table5[order_id],Table3[[#This Row],[order_id]])</f>
        <v>3</v>
      </c>
    </row>
    <row r="291" spans="1:10">
      <c r="A291">
        <v>290</v>
      </c>
      <c r="B291">
        <v>1331</v>
      </c>
      <c r="C291" t="s">
        <v>32</v>
      </c>
      <c r="D291" t="s">
        <v>120</v>
      </c>
      <c r="E291" s="1">
        <v>46061</v>
      </c>
      <c r="F291" s="1">
        <v>46057</v>
      </c>
      <c r="G291" s="1">
        <v>46068</v>
      </c>
      <c r="H291">
        <v>117.34</v>
      </c>
      <c r="I291" t="s">
        <v>141</v>
      </c>
      <c r="J291" s="5">
        <f>SUMIFS(Table5[quantity],Table5[order_id],Table3[[#This Row],[order_id]])</f>
        <v>4</v>
      </c>
    </row>
    <row r="292" spans="1:10">
      <c r="A292">
        <v>291</v>
      </c>
      <c r="B292">
        <v>1332</v>
      </c>
      <c r="C292" t="s">
        <v>32</v>
      </c>
      <c r="D292" t="s">
        <v>118</v>
      </c>
      <c r="E292" s="1">
        <v>46100</v>
      </c>
      <c r="F292" s="1">
        <v>46100</v>
      </c>
      <c r="G292" s="1">
        <v>46104</v>
      </c>
      <c r="H292">
        <v>20.43</v>
      </c>
      <c r="I292" t="s">
        <v>39</v>
      </c>
      <c r="J292" s="5">
        <f>SUMIFS(Table5[quantity],Table5[order_id],Table3[[#This Row],[order_id]])</f>
        <v>12</v>
      </c>
    </row>
    <row r="293" spans="1:10">
      <c r="A293">
        <v>292</v>
      </c>
      <c r="B293">
        <v>1333</v>
      </c>
      <c r="C293" t="s">
        <v>32</v>
      </c>
      <c r="D293" t="s">
        <v>119</v>
      </c>
      <c r="E293" s="1">
        <v>46081</v>
      </c>
      <c r="F293" s="1">
        <v>46085</v>
      </c>
      <c r="G293" s="1">
        <v>46088</v>
      </c>
      <c r="H293">
        <v>113.06</v>
      </c>
      <c r="I293" t="s">
        <v>39</v>
      </c>
      <c r="J293" s="5">
        <f>SUMIFS(Table5[quantity],Table5[order_id],Table3[[#This Row],[order_id]])</f>
        <v>5</v>
      </c>
    </row>
    <row r="294" spans="1:10">
      <c r="A294">
        <v>293</v>
      </c>
      <c r="B294">
        <v>1334</v>
      </c>
      <c r="C294" t="s">
        <v>33</v>
      </c>
      <c r="D294" t="s">
        <v>119</v>
      </c>
      <c r="E294" s="1">
        <v>46072</v>
      </c>
      <c r="F294" s="1">
        <v>46076</v>
      </c>
      <c r="G294" s="1">
        <v>46074</v>
      </c>
      <c r="H294">
        <v>65.650000000000006</v>
      </c>
      <c r="I294" t="s">
        <v>39</v>
      </c>
      <c r="J294" s="5">
        <f>SUMIFS(Table5[quantity],Table5[order_id],Table3[[#This Row],[order_id]])</f>
        <v>4</v>
      </c>
    </row>
    <row r="295" spans="1:10">
      <c r="A295">
        <v>294</v>
      </c>
      <c r="B295">
        <v>1335</v>
      </c>
      <c r="C295" t="s">
        <v>36</v>
      </c>
      <c r="D295" t="s">
        <v>120</v>
      </c>
      <c r="E295" s="1">
        <v>46048</v>
      </c>
      <c r="F295" s="1">
        <v>46051</v>
      </c>
      <c r="G295" s="1">
        <v>46056</v>
      </c>
      <c r="H295">
        <v>15.08</v>
      </c>
      <c r="I295" t="s">
        <v>39</v>
      </c>
      <c r="J295" s="5">
        <f>SUMIFS(Table5[quantity],Table5[order_id],Table3[[#This Row],[order_id]])</f>
        <v>12</v>
      </c>
    </row>
    <row r="296" spans="1:10">
      <c r="A296">
        <v>295</v>
      </c>
      <c r="B296">
        <v>1336</v>
      </c>
      <c r="C296" t="s">
        <v>34</v>
      </c>
      <c r="D296" t="s">
        <v>122</v>
      </c>
      <c r="E296" s="1">
        <v>46101</v>
      </c>
      <c r="F296" s="1">
        <v>46095</v>
      </c>
      <c r="G296" s="1">
        <v>46104</v>
      </c>
      <c r="H296">
        <v>47.94</v>
      </c>
      <c r="I296" t="s">
        <v>488</v>
      </c>
      <c r="J296" s="5">
        <f>SUMIFS(Table5[quantity],Table5[order_id],Table3[[#This Row],[order_id]])</f>
        <v>10</v>
      </c>
    </row>
    <row r="297" spans="1:10">
      <c r="A297">
        <v>296</v>
      </c>
      <c r="B297">
        <v>1337</v>
      </c>
      <c r="C297" t="s">
        <v>33</v>
      </c>
      <c r="D297" t="s">
        <v>119</v>
      </c>
      <c r="E297" s="1">
        <v>46131</v>
      </c>
      <c r="F297" s="1">
        <v>46136</v>
      </c>
      <c r="G297" s="1">
        <v>46132</v>
      </c>
      <c r="H297">
        <v>13.81</v>
      </c>
      <c r="I297" t="s">
        <v>141</v>
      </c>
      <c r="J297" s="5">
        <f>SUMIFS(Table5[quantity],Table5[order_id],Table3[[#This Row],[order_id]])</f>
        <v>21</v>
      </c>
    </row>
    <row r="298" spans="1:10">
      <c r="A298">
        <v>297</v>
      </c>
      <c r="B298">
        <v>1338</v>
      </c>
      <c r="C298" t="s">
        <v>33</v>
      </c>
      <c r="D298" t="s">
        <v>118</v>
      </c>
      <c r="E298" s="1">
        <v>46154</v>
      </c>
      <c r="F298" s="1">
        <v>46159</v>
      </c>
      <c r="G298" s="1">
        <v>46160</v>
      </c>
      <c r="H298">
        <v>114.49</v>
      </c>
      <c r="I298" t="s">
        <v>39</v>
      </c>
      <c r="J298" s="5">
        <f>SUMIFS(Table5[quantity],Table5[order_id],Table3[[#This Row],[order_id]])</f>
        <v>14</v>
      </c>
    </row>
    <row r="299" spans="1:10">
      <c r="A299">
        <v>298</v>
      </c>
      <c r="B299">
        <v>1340</v>
      </c>
      <c r="C299" t="s">
        <v>37</v>
      </c>
      <c r="D299" t="s">
        <v>118</v>
      </c>
      <c r="E299" s="1">
        <v>46131</v>
      </c>
      <c r="F299" s="1">
        <v>46128</v>
      </c>
      <c r="G299" s="1">
        <v>46137</v>
      </c>
      <c r="H299">
        <v>38.61</v>
      </c>
      <c r="I299" t="s">
        <v>141</v>
      </c>
      <c r="J299" s="5">
        <f>SUMIFS(Table5[quantity],Table5[order_id],Table3[[#This Row],[order_id]])</f>
        <v>8</v>
      </c>
    </row>
    <row r="300" spans="1:10">
      <c r="A300">
        <v>299</v>
      </c>
      <c r="B300">
        <v>1341</v>
      </c>
      <c r="C300" t="s">
        <v>33</v>
      </c>
      <c r="D300" t="s">
        <v>118</v>
      </c>
      <c r="E300" s="1">
        <v>46120</v>
      </c>
      <c r="F300" s="1">
        <v>46117</v>
      </c>
      <c r="G300" s="1">
        <v>46122</v>
      </c>
      <c r="H300">
        <v>118.77</v>
      </c>
      <c r="I300" t="s">
        <v>488</v>
      </c>
      <c r="J300" s="5">
        <f>SUMIFS(Table5[quantity],Table5[order_id],Table3[[#This Row],[order_id]])</f>
        <v>14</v>
      </c>
    </row>
    <row r="301" spans="1:10">
      <c r="A301">
        <v>300</v>
      </c>
      <c r="B301">
        <v>1342</v>
      </c>
      <c r="C301" t="s">
        <v>35</v>
      </c>
      <c r="D301" t="s">
        <v>118</v>
      </c>
      <c r="E301" s="1">
        <v>46122</v>
      </c>
      <c r="F301" s="1">
        <v>46117</v>
      </c>
      <c r="G301" s="1">
        <v>46124</v>
      </c>
      <c r="H301">
        <v>52.85</v>
      </c>
      <c r="I301" t="s">
        <v>39</v>
      </c>
      <c r="J301" s="5">
        <f>SUMIFS(Table5[quantity],Table5[order_id],Table3[[#This Row],[order_id]])</f>
        <v>12</v>
      </c>
    </row>
    <row r="302" spans="1:10">
      <c r="A302">
        <v>301</v>
      </c>
      <c r="B302">
        <v>1343</v>
      </c>
      <c r="C302" t="s">
        <v>32</v>
      </c>
      <c r="D302" t="s">
        <v>118</v>
      </c>
      <c r="E302" s="1">
        <v>46128</v>
      </c>
      <c r="F302" s="1">
        <v>46130</v>
      </c>
      <c r="G302" s="1">
        <v>46130</v>
      </c>
      <c r="H302">
        <v>92.26</v>
      </c>
      <c r="I302" t="s">
        <v>488</v>
      </c>
      <c r="J302" s="5">
        <f>SUMIFS(Table5[quantity],Table5[order_id],Table3[[#This Row],[order_id]])</f>
        <v>7</v>
      </c>
    </row>
    <row r="303" spans="1:10">
      <c r="A303">
        <v>302</v>
      </c>
      <c r="B303">
        <v>1344</v>
      </c>
      <c r="C303" t="s">
        <v>32</v>
      </c>
      <c r="D303" t="s">
        <v>118</v>
      </c>
      <c r="E303" s="1">
        <v>46096</v>
      </c>
      <c r="F303" s="1">
        <v>46096</v>
      </c>
      <c r="G303" s="1">
        <v>46099</v>
      </c>
      <c r="H303">
        <v>50.55</v>
      </c>
      <c r="I303" t="s">
        <v>141</v>
      </c>
      <c r="J303" s="5">
        <f>SUMIFS(Table5[quantity],Table5[order_id],Table3[[#This Row],[order_id]])</f>
        <v>7</v>
      </c>
    </row>
    <row r="304" spans="1:10">
      <c r="A304">
        <v>303</v>
      </c>
      <c r="B304">
        <v>1345</v>
      </c>
      <c r="C304" t="s">
        <v>35</v>
      </c>
      <c r="D304" t="s">
        <v>119</v>
      </c>
      <c r="E304" s="1">
        <v>46029</v>
      </c>
      <c r="F304" s="1">
        <v>46031</v>
      </c>
      <c r="G304" s="1">
        <v>46036</v>
      </c>
      <c r="H304">
        <v>59.59</v>
      </c>
      <c r="I304" t="s">
        <v>39</v>
      </c>
      <c r="J304" s="5">
        <f>SUMIFS(Table5[quantity],Table5[order_id],Table3[[#This Row],[order_id]])</f>
        <v>7</v>
      </c>
    </row>
    <row r="305" spans="1:10">
      <c r="A305">
        <v>304</v>
      </c>
      <c r="B305">
        <v>1347</v>
      </c>
      <c r="C305" t="s">
        <v>35</v>
      </c>
      <c r="D305" t="s">
        <v>119</v>
      </c>
      <c r="E305" s="1">
        <v>46089</v>
      </c>
      <c r="F305" s="1">
        <v>46093</v>
      </c>
      <c r="G305" s="1">
        <v>46096</v>
      </c>
      <c r="H305">
        <v>14.12</v>
      </c>
      <c r="I305" t="s">
        <v>141</v>
      </c>
      <c r="J305" s="5">
        <f>SUMIFS(Table5[quantity],Table5[order_id],Table3[[#This Row],[order_id]])</f>
        <v>14</v>
      </c>
    </row>
    <row r="306" spans="1:10">
      <c r="A306">
        <v>305</v>
      </c>
      <c r="B306">
        <v>1348</v>
      </c>
      <c r="C306" t="s">
        <v>36</v>
      </c>
      <c r="D306" t="s">
        <v>120</v>
      </c>
      <c r="E306" s="1">
        <v>46073</v>
      </c>
      <c r="F306" s="1">
        <v>46077</v>
      </c>
      <c r="G306" s="1">
        <v>46076</v>
      </c>
      <c r="H306">
        <v>9.08</v>
      </c>
      <c r="I306" t="s">
        <v>39</v>
      </c>
      <c r="J306" s="5">
        <f>SUMIFS(Table5[quantity],Table5[order_id],Table3[[#This Row],[order_id]])</f>
        <v>6</v>
      </c>
    </row>
    <row r="307" spans="1:10">
      <c r="A307">
        <v>306</v>
      </c>
      <c r="B307">
        <v>1349</v>
      </c>
      <c r="C307" t="s">
        <v>34</v>
      </c>
      <c r="D307" t="s">
        <v>118</v>
      </c>
      <c r="E307" s="1">
        <v>46114</v>
      </c>
      <c r="F307" s="1">
        <v>46118</v>
      </c>
      <c r="G307" s="1">
        <v>46117</v>
      </c>
      <c r="H307">
        <v>37.6</v>
      </c>
      <c r="I307" t="s">
        <v>141</v>
      </c>
      <c r="J307" s="5">
        <f>SUMIFS(Table5[quantity],Table5[order_id],Table3[[#This Row],[order_id]])</f>
        <v>2</v>
      </c>
    </row>
    <row r="308" spans="1:10">
      <c r="A308">
        <v>307</v>
      </c>
      <c r="B308">
        <v>1350</v>
      </c>
      <c r="C308" t="s">
        <v>34</v>
      </c>
      <c r="D308" t="s">
        <v>118</v>
      </c>
      <c r="E308" s="1">
        <v>46156</v>
      </c>
      <c r="F308" s="1">
        <v>46154</v>
      </c>
      <c r="G308" s="1">
        <v>46163</v>
      </c>
      <c r="H308">
        <v>74.44</v>
      </c>
      <c r="I308" t="s">
        <v>39</v>
      </c>
      <c r="J308" s="5">
        <f>SUMIFS(Table5[quantity],Table5[order_id],Table3[[#This Row],[order_id]])</f>
        <v>8</v>
      </c>
    </row>
    <row r="309" spans="1:10">
      <c r="A309">
        <v>308</v>
      </c>
      <c r="B309">
        <v>1351</v>
      </c>
      <c r="C309" t="s">
        <v>32</v>
      </c>
      <c r="D309" t="s">
        <v>119</v>
      </c>
      <c r="E309" s="1">
        <v>46079</v>
      </c>
      <c r="F309" s="1">
        <v>46082</v>
      </c>
      <c r="G309" s="1">
        <v>46080</v>
      </c>
      <c r="H309">
        <v>78.52</v>
      </c>
      <c r="I309" t="s">
        <v>141</v>
      </c>
      <c r="J309" s="5">
        <f>SUMIFS(Table5[quantity],Table5[order_id],Table3[[#This Row],[order_id]])</f>
        <v>14</v>
      </c>
    </row>
    <row r="310" spans="1:10">
      <c r="A310">
        <v>309</v>
      </c>
      <c r="B310">
        <v>1352</v>
      </c>
      <c r="C310" t="s">
        <v>36</v>
      </c>
      <c r="D310" t="s">
        <v>119</v>
      </c>
      <c r="E310" s="1">
        <v>46112</v>
      </c>
      <c r="F310" s="1">
        <v>46115</v>
      </c>
      <c r="G310" s="1">
        <v>46113</v>
      </c>
      <c r="H310">
        <v>66.34</v>
      </c>
      <c r="I310" t="s">
        <v>141</v>
      </c>
      <c r="J310" s="5">
        <f>SUMIFS(Table5[quantity],Table5[order_id],Table3[[#This Row],[order_id]])</f>
        <v>15</v>
      </c>
    </row>
    <row r="311" spans="1:10">
      <c r="A311">
        <v>310</v>
      </c>
      <c r="B311">
        <v>1353</v>
      </c>
      <c r="C311" t="s">
        <v>32</v>
      </c>
      <c r="D311" t="s">
        <v>117</v>
      </c>
      <c r="E311" s="1">
        <v>46093</v>
      </c>
      <c r="F311" s="1">
        <v>46092</v>
      </c>
      <c r="G311" s="1">
        <v>46096</v>
      </c>
      <c r="H311">
        <v>108.65</v>
      </c>
      <c r="I311" t="s">
        <v>488</v>
      </c>
      <c r="J311" s="5">
        <f>SUMIFS(Table5[quantity],Table5[order_id],Table3[[#This Row],[order_id]])</f>
        <v>11</v>
      </c>
    </row>
    <row r="312" spans="1:10">
      <c r="A312">
        <v>311</v>
      </c>
      <c r="B312">
        <v>1354</v>
      </c>
      <c r="C312" t="s">
        <v>34</v>
      </c>
      <c r="D312" t="s">
        <v>118</v>
      </c>
      <c r="E312" s="1">
        <v>46073</v>
      </c>
      <c r="F312" s="1">
        <v>46071</v>
      </c>
      <c r="G312" s="1">
        <v>46081</v>
      </c>
      <c r="H312">
        <v>109.46</v>
      </c>
      <c r="I312" t="s">
        <v>141</v>
      </c>
      <c r="J312" s="5">
        <f>SUMIFS(Table5[quantity],Table5[order_id],Table3[[#This Row],[order_id]])</f>
        <v>5</v>
      </c>
    </row>
    <row r="313" spans="1:10">
      <c r="A313">
        <v>312</v>
      </c>
      <c r="B313">
        <v>1355</v>
      </c>
      <c r="C313" t="s">
        <v>34</v>
      </c>
      <c r="D313" t="s">
        <v>122</v>
      </c>
      <c r="E313" s="1">
        <v>46051</v>
      </c>
      <c r="F313" s="1">
        <v>46051</v>
      </c>
      <c r="G313" s="1">
        <v>46061</v>
      </c>
      <c r="H313">
        <v>5.57</v>
      </c>
      <c r="I313" t="s">
        <v>141</v>
      </c>
      <c r="J313" s="5">
        <f>SUMIFS(Table5[quantity],Table5[order_id],Table3[[#This Row],[order_id]])</f>
        <v>1</v>
      </c>
    </row>
    <row r="314" spans="1:10">
      <c r="A314">
        <v>313</v>
      </c>
      <c r="B314">
        <v>1356</v>
      </c>
      <c r="C314" t="s">
        <v>32</v>
      </c>
      <c r="D314" t="s">
        <v>122</v>
      </c>
      <c r="E314" s="1">
        <v>46075</v>
      </c>
      <c r="F314" s="1">
        <v>46076</v>
      </c>
      <c r="G314" s="1">
        <v>46079</v>
      </c>
      <c r="H314">
        <v>6.78</v>
      </c>
      <c r="I314" t="s">
        <v>39</v>
      </c>
      <c r="J314" s="5">
        <f>SUMIFS(Table5[quantity],Table5[order_id],Table3[[#This Row],[order_id]])</f>
        <v>13</v>
      </c>
    </row>
    <row r="315" spans="1:10">
      <c r="A315">
        <v>314</v>
      </c>
      <c r="B315">
        <v>1357</v>
      </c>
      <c r="C315" t="s">
        <v>37</v>
      </c>
      <c r="D315" t="s">
        <v>119</v>
      </c>
      <c r="E315" s="1">
        <v>46080</v>
      </c>
      <c r="F315" s="1">
        <v>46084</v>
      </c>
      <c r="G315" s="1">
        <v>46086</v>
      </c>
      <c r="H315">
        <v>12.85</v>
      </c>
      <c r="I315" t="s">
        <v>141</v>
      </c>
      <c r="J315" s="5">
        <f>SUMIFS(Table5[quantity],Table5[order_id],Table3[[#This Row],[order_id]])</f>
        <v>3</v>
      </c>
    </row>
    <row r="316" spans="1:10">
      <c r="A316">
        <v>315</v>
      </c>
      <c r="B316">
        <v>1358</v>
      </c>
      <c r="C316" t="s">
        <v>35</v>
      </c>
      <c r="D316" t="s">
        <v>117</v>
      </c>
      <c r="E316" s="1">
        <v>46060</v>
      </c>
      <c r="F316" s="1">
        <v>46064</v>
      </c>
      <c r="G316" s="1">
        <v>46063</v>
      </c>
      <c r="H316">
        <v>41.15</v>
      </c>
      <c r="I316" t="s">
        <v>141</v>
      </c>
      <c r="J316" s="5">
        <f>SUMIFS(Table5[quantity],Table5[order_id],Table3[[#This Row],[order_id]])</f>
        <v>19</v>
      </c>
    </row>
    <row r="317" spans="1:10">
      <c r="A317">
        <v>316</v>
      </c>
      <c r="B317">
        <v>1359</v>
      </c>
      <c r="C317" t="s">
        <v>32</v>
      </c>
      <c r="D317" t="s">
        <v>117</v>
      </c>
      <c r="E317" s="1">
        <v>46059</v>
      </c>
      <c r="F317" s="1">
        <v>46058</v>
      </c>
      <c r="G317" s="1">
        <v>46065</v>
      </c>
      <c r="H317">
        <v>20.03</v>
      </c>
      <c r="I317" t="s">
        <v>141</v>
      </c>
      <c r="J317" s="5">
        <f>SUMIFS(Table5[quantity],Table5[order_id],Table3[[#This Row],[order_id]])</f>
        <v>17</v>
      </c>
    </row>
    <row r="318" spans="1:10">
      <c r="A318">
        <v>317</v>
      </c>
      <c r="B318">
        <v>1360</v>
      </c>
      <c r="C318" t="s">
        <v>32</v>
      </c>
      <c r="D318" t="s">
        <v>119</v>
      </c>
      <c r="E318" s="1">
        <v>46154</v>
      </c>
      <c r="F318" s="1">
        <v>46152</v>
      </c>
      <c r="G318" s="1">
        <v>46158</v>
      </c>
      <c r="H318">
        <v>607.11</v>
      </c>
      <c r="I318" t="s">
        <v>141</v>
      </c>
      <c r="J318" s="5">
        <f>SUMIFS(Table5[quantity],Table5[order_id],Table3[[#This Row],[order_id]])</f>
        <v>6</v>
      </c>
    </row>
    <row r="319" spans="1:10">
      <c r="A319">
        <v>318</v>
      </c>
      <c r="B319">
        <v>1362</v>
      </c>
      <c r="C319" t="s">
        <v>33</v>
      </c>
      <c r="D319" t="s">
        <v>119</v>
      </c>
      <c r="E319" s="1">
        <v>46070</v>
      </c>
      <c r="F319" s="1">
        <v>46070</v>
      </c>
      <c r="G319" s="1">
        <v>46075</v>
      </c>
      <c r="H319">
        <v>58.54</v>
      </c>
      <c r="I319" t="s">
        <v>39</v>
      </c>
      <c r="J319" s="5">
        <f>SUMIFS(Table5[quantity],Table5[order_id],Table3[[#This Row],[order_id]])</f>
        <v>7</v>
      </c>
    </row>
    <row r="320" spans="1:10">
      <c r="A320">
        <v>319</v>
      </c>
      <c r="B320">
        <v>1363</v>
      </c>
      <c r="C320" t="s">
        <v>36</v>
      </c>
      <c r="D320" t="s">
        <v>120</v>
      </c>
      <c r="E320" s="1">
        <v>46060</v>
      </c>
      <c r="F320" s="1">
        <v>46056</v>
      </c>
      <c r="G320" s="1">
        <v>46069</v>
      </c>
      <c r="H320">
        <v>86.52</v>
      </c>
      <c r="I320" t="s">
        <v>488</v>
      </c>
      <c r="J320" s="5">
        <f>SUMIFS(Table5[quantity],Table5[order_id],Table3[[#This Row],[order_id]])</f>
        <v>3</v>
      </c>
    </row>
    <row r="321" spans="1:10">
      <c r="A321">
        <v>320</v>
      </c>
      <c r="B321">
        <v>1364</v>
      </c>
      <c r="C321" t="s">
        <v>37</v>
      </c>
      <c r="D321" t="s">
        <v>122</v>
      </c>
      <c r="E321" s="1">
        <v>46140</v>
      </c>
      <c r="F321" s="1">
        <v>46136</v>
      </c>
      <c r="G321" s="1">
        <v>46144</v>
      </c>
      <c r="H321">
        <v>35.31</v>
      </c>
      <c r="I321" t="s">
        <v>141</v>
      </c>
      <c r="J321" s="5">
        <f>SUMIFS(Table5[quantity],Table5[order_id],Table3[[#This Row],[order_id]])</f>
        <v>22</v>
      </c>
    </row>
    <row r="322" spans="1:10">
      <c r="A322">
        <v>321</v>
      </c>
      <c r="B322">
        <v>1365</v>
      </c>
      <c r="C322" t="s">
        <v>36</v>
      </c>
      <c r="D322" t="s">
        <v>119</v>
      </c>
      <c r="E322" s="1">
        <v>46086</v>
      </c>
      <c r="F322" s="1">
        <v>46091</v>
      </c>
      <c r="G322" s="1">
        <v>46087</v>
      </c>
      <c r="H322">
        <v>31.88</v>
      </c>
      <c r="I322" t="s">
        <v>39</v>
      </c>
      <c r="J322" s="5">
        <f>SUMIFS(Table5[quantity],Table5[order_id],Table3[[#This Row],[order_id]])</f>
        <v>4</v>
      </c>
    </row>
    <row r="323" spans="1:10">
      <c r="A323">
        <v>322</v>
      </c>
      <c r="B323">
        <v>1366</v>
      </c>
      <c r="C323" t="s">
        <v>37</v>
      </c>
      <c r="D323" t="s">
        <v>118</v>
      </c>
      <c r="E323" s="1">
        <v>46151</v>
      </c>
      <c r="F323" s="1">
        <v>46152</v>
      </c>
      <c r="G323" s="1">
        <v>46155</v>
      </c>
      <c r="H323">
        <v>40.479999999999997</v>
      </c>
      <c r="I323" t="s">
        <v>141</v>
      </c>
      <c r="J323" s="5">
        <f>SUMIFS(Table5[quantity],Table5[order_id],Table3[[#This Row],[order_id]])</f>
        <v>1</v>
      </c>
    </row>
    <row r="324" spans="1:10">
      <c r="A324">
        <v>323</v>
      </c>
      <c r="B324">
        <v>1367</v>
      </c>
      <c r="C324" t="s">
        <v>33</v>
      </c>
      <c r="D324" t="s">
        <v>119</v>
      </c>
      <c r="E324" s="1">
        <v>46113</v>
      </c>
      <c r="F324" s="1">
        <v>46113</v>
      </c>
      <c r="G324" s="1">
        <v>46114</v>
      </c>
      <c r="H324">
        <v>37.65</v>
      </c>
      <c r="I324" t="s">
        <v>141</v>
      </c>
      <c r="J324" s="5">
        <f>SUMIFS(Table5[quantity],Table5[order_id],Table3[[#This Row],[order_id]])</f>
        <v>3</v>
      </c>
    </row>
    <row r="325" spans="1:10">
      <c r="A325">
        <v>324</v>
      </c>
      <c r="B325">
        <v>1368</v>
      </c>
      <c r="C325" t="s">
        <v>36</v>
      </c>
      <c r="D325" t="s">
        <v>119</v>
      </c>
      <c r="E325" s="1">
        <v>46081</v>
      </c>
      <c r="F325" s="1">
        <v>46089</v>
      </c>
      <c r="G325" s="1">
        <v>46088</v>
      </c>
      <c r="H325">
        <v>31.74</v>
      </c>
      <c r="I325" t="s">
        <v>488</v>
      </c>
      <c r="J325" s="5">
        <f>SUMIFS(Table5[quantity],Table5[order_id],Table3[[#This Row],[order_id]])</f>
        <v>11</v>
      </c>
    </row>
    <row r="326" spans="1:10">
      <c r="A326">
        <v>325</v>
      </c>
      <c r="B326">
        <v>1369</v>
      </c>
      <c r="C326" t="s">
        <v>33</v>
      </c>
      <c r="D326" t="s">
        <v>120</v>
      </c>
      <c r="E326" s="1">
        <v>46150</v>
      </c>
      <c r="F326" s="1">
        <v>46152</v>
      </c>
      <c r="G326" s="1">
        <v>46153</v>
      </c>
      <c r="H326">
        <v>86.44</v>
      </c>
      <c r="I326" t="s">
        <v>141</v>
      </c>
      <c r="J326" s="5">
        <f>SUMIFS(Table5[quantity],Table5[order_id],Table3[[#This Row],[order_id]])</f>
        <v>10</v>
      </c>
    </row>
    <row r="327" spans="1:10">
      <c r="A327">
        <v>326</v>
      </c>
      <c r="B327">
        <v>1370</v>
      </c>
      <c r="C327" t="s">
        <v>37</v>
      </c>
      <c r="D327" t="s">
        <v>119</v>
      </c>
      <c r="E327" s="1">
        <v>46064</v>
      </c>
      <c r="F327" s="1">
        <v>46062</v>
      </c>
      <c r="G327" s="1">
        <v>46073</v>
      </c>
      <c r="H327">
        <v>102</v>
      </c>
      <c r="I327" t="s">
        <v>141</v>
      </c>
      <c r="J327" s="5">
        <f>SUMIFS(Table5[quantity],Table5[order_id],Table3[[#This Row],[order_id]])</f>
        <v>5</v>
      </c>
    </row>
    <row r="328" spans="1:10">
      <c r="A328">
        <v>327</v>
      </c>
      <c r="B328">
        <v>1371</v>
      </c>
      <c r="C328" t="s">
        <v>34</v>
      </c>
      <c r="D328" t="s">
        <v>118</v>
      </c>
      <c r="E328" s="1">
        <v>46153</v>
      </c>
      <c r="F328" s="1">
        <v>46154</v>
      </c>
      <c r="G328" s="1">
        <v>46158</v>
      </c>
      <c r="H328">
        <v>47.6</v>
      </c>
      <c r="I328" t="s">
        <v>141</v>
      </c>
      <c r="J328" s="5">
        <f>SUMIFS(Table5[quantity],Table5[order_id],Table3[[#This Row],[order_id]])</f>
        <v>4</v>
      </c>
    </row>
    <row r="329" spans="1:10">
      <c r="A329">
        <v>328</v>
      </c>
      <c r="B329">
        <v>1372</v>
      </c>
      <c r="C329" t="s">
        <v>33</v>
      </c>
      <c r="D329" t="s">
        <v>118</v>
      </c>
      <c r="E329" s="1">
        <v>46141</v>
      </c>
      <c r="F329" s="1">
        <v>46145</v>
      </c>
      <c r="G329" s="1">
        <v>46149</v>
      </c>
      <c r="H329">
        <v>8.44</v>
      </c>
      <c r="I329" t="s">
        <v>488</v>
      </c>
      <c r="J329" s="5">
        <f>SUMIFS(Table5[quantity],Table5[order_id],Table3[[#This Row],[order_id]])</f>
        <v>25</v>
      </c>
    </row>
    <row r="330" spans="1:10">
      <c r="A330">
        <v>329</v>
      </c>
      <c r="B330">
        <v>1373</v>
      </c>
      <c r="C330" t="s">
        <v>35</v>
      </c>
      <c r="D330" t="s">
        <v>120</v>
      </c>
      <c r="E330" s="1">
        <v>46104</v>
      </c>
      <c r="F330" s="1">
        <v>46108</v>
      </c>
      <c r="G330" s="1">
        <v>46112</v>
      </c>
      <c r="H330">
        <v>105.07</v>
      </c>
      <c r="I330" t="s">
        <v>488</v>
      </c>
      <c r="J330" s="5">
        <f>SUMIFS(Table5[quantity],Table5[order_id],Table3[[#This Row],[order_id]])</f>
        <v>15</v>
      </c>
    </row>
    <row r="331" spans="1:10">
      <c r="A331">
        <v>330</v>
      </c>
      <c r="B331">
        <v>1374</v>
      </c>
      <c r="C331" t="s">
        <v>36</v>
      </c>
      <c r="D331" t="s">
        <v>118</v>
      </c>
      <c r="E331" s="1">
        <v>46035</v>
      </c>
      <c r="F331" s="1">
        <v>46042</v>
      </c>
      <c r="G331" s="1">
        <v>46045</v>
      </c>
      <c r="H331">
        <v>27.03</v>
      </c>
      <c r="I331" t="s">
        <v>39</v>
      </c>
      <c r="J331" s="5">
        <f>SUMIFS(Table5[quantity],Table5[order_id],Table3[[#This Row],[order_id]])</f>
        <v>18</v>
      </c>
    </row>
    <row r="332" spans="1:10">
      <c r="A332">
        <v>331</v>
      </c>
      <c r="B332">
        <v>1375</v>
      </c>
      <c r="C332" t="s">
        <v>32</v>
      </c>
      <c r="D332" t="s">
        <v>117</v>
      </c>
      <c r="E332" s="1">
        <v>46113</v>
      </c>
      <c r="F332" s="1">
        <v>46109</v>
      </c>
      <c r="G332" s="1">
        <v>46123</v>
      </c>
      <c r="H332">
        <v>15.3</v>
      </c>
      <c r="I332" t="s">
        <v>39</v>
      </c>
      <c r="J332" s="5">
        <f>SUMIFS(Table5[quantity],Table5[order_id],Table3[[#This Row],[order_id]])</f>
        <v>7</v>
      </c>
    </row>
    <row r="333" spans="1:10">
      <c r="A333">
        <v>332</v>
      </c>
      <c r="B333">
        <v>1376</v>
      </c>
      <c r="C333" t="s">
        <v>36</v>
      </c>
      <c r="D333" t="s">
        <v>122</v>
      </c>
      <c r="E333" s="1">
        <v>46070</v>
      </c>
      <c r="F333" s="1">
        <v>46070</v>
      </c>
      <c r="G333" s="1">
        <v>46076</v>
      </c>
      <c r="H333">
        <v>44.86</v>
      </c>
      <c r="I333" t="s">
        <v>141</v>
      </c>
      <c r="J333" s="5">
        <f>SUMIFS(Table5[quantity],Table5[order_id],Table3[[#This Row],[order_id]])</f>
        <v>12</v>
      </c>
    </row>
    <row r="334" spans="1:10">
      <c r="A334">
        <v>333</v>
      </c>
      <c r="B334">
        <v>1377</v>
      </c>
      <c r="C334" t="s">
        <v>33</v>
      </c>
      <c r="D334" t="s">
        <v>119</v>
      </c>
      <c r="E334" s="1">
        <v>46068</v>
      </c>
      <c r="F334" s="1">
        <v>46070</v>
      </c>
      <c r="G334" s="1">
        <v>46070</v>
      </c>
      <c r="H334">
        <v>79.36</v>
      </c>
      <c r="I334" t="s">
        <v>141</v>
      </c>
      <c r="J334" s="5">
        <f>SUMIFS(Table5[quantity],Table5[order_id],Table3[[#This Row],[order_id]])</f>
        <v>10</v>
      </c>
    </row>
    <row r="335" spans="1:10">
      <c r="A335">
        <v>334</v>
      </c>
      <c r="B335">
        <v>1378</v>
      </c>
      <c r="C335" t="s">
        <v>34</v>
      </c>
      <c r="D335" t="s">
        <v>122</v>
      </c>
      <c r="E335" s="1">
        <v>46055</v>
      </c>
      <c r="F335" s="1">
        <v>46053</v>
      </c>
      <c r="G335" s="1">
        <v>46057</v>
      </c>
      <c r="H335">
        <v>26.68</v>
      </c>
      <c r="I335" t="s">
        <v>141</v>
      </c>
      <c r="J335" s="5">
        <f>SUMIFS(Table5[quantity],Table5[order_id],Table3[[#This Row],[order_id]])</f>
        <v>7</v>
      </c>
    </row>
    <row r="336" spans="1:10">
      <c r="A336">
        <v>335</v>
      </c>
      <c r="B336">
        <v>1379</v>
      </c>
      <c r="C336" t="s">
        <v>36</v>
      </c>
      <c r="D336" t="s">
        <v>117</v>
      </c>
      <c r="E336" s="1">
        <v>46135</v>
      </c>
      <c r="F336" s="1">
        <v>46135</v>
      </c>
      <c r="G336" s="1">
        <v>46145</v>
      </c>
      <c r="H336">
        <v>40.83</v>
      </c>
      <c r="I336" t="s">
        <v>488</v>
      </c>
      <c r="J336" s="5">
        <f>SUMIFS(Table5[quantity],Table5[order_id],Table3[[#This Row],[order_id]])</f>
        <v>13</v>
      </c>
    </row>
    <row r="337" spans="1:10">
      <c r="A337">
        <v>336</v>
      </c>
      <c r="B337">
        <v>1380</v>
      </c>
      <c r="C337" t="s">
        <v>34</v>
      </c>
      <c r="D337" t="s">
        <v>119</v>
      </c>
      <c r="E337" s="1">
        <v>46132</v>
      </c>
      <c r="F337" s="1">
        <v>46127</v>
      </c>
      <c r="G337" s="1">
        <v>46141</v>
      </c>
      <c r="H337">
        <v>22.45</v>
      </c>
      <c r="I337" t="s">
        <v>141</v>
      </c>
      <c r="J337" s="5">
        <f>SUMIFS(Table5[quantity],Table5[order_id],Table3[[#This Row],[order_id]])</f>
        <v>20</v>
      </c>
    </row>
    <row r="338" spans="1:10">
      <c r="A338">
        <v>337</v>
      </c>
      <c r="B338">
        <v>1381</v>
      </c>
      <c r="C338" t="s">
        <v>32</v>
      </c>
      <c r="D338" t="s">
        <v>117</v>
      </c>
      <c r="E338" s="1">
        <v>46135</v>
      </c>
      <c r="F338" s="1">
        <v>46137</v>
      </c>
      <c r="G338" s="1">
        <v>46139</v>
      </c>
      <c r="H338">
        <v>38.44</v>
      </c>
      <c r="I338" t="s">
        <v>39</v>
      </c>
      <c r="J338" s="5">
        <f>SUMIFS(Table5[quantity],Table5[order_id],Table3[[#This Row],[order_id]])</f>
        <v>10</v>
      </c>
    </row>
    <row r="339" spans="1:10">
      <c r="A339">
        <v>338</v>
      </c>
      <c r="B339">
        <v>1382</v>
      </c>
      <c r="C339" t="s">
        <v>37</v>
      </c>
      <c r="D339" t="s">
        <v>118</v>
      </c>
      <c r="E339" s="1">
        <v>46039</v>
      </c>
      <c r="F339" s="1">
        <v>46040</v>
      </c>
      <c r="G339" s="1">
        <v>46042</v>
      </c>
      <c r="H339">
        <v>14.76</v>
      </c>
      <c r="I339" t="s">
        <v>141</v>
      </c>
      <c r="J339" s="5">
        <f>SUMIFS(Table5[quantity],Table5[order_id],Table3[[#This Row],[order_id]])</f>
        <v>2</v>
      </c>
    </row>
    <row r="340" spans="1:10">
      <c r="A340">
        <v>339</v>
      </c>
      <c r="B340">
        <v>1383</v>
      </c>
      <c r="C340" t="s">
        <v>34</v>
      </c>
      <c r="D340" t="s">
        <v>118</v>
      </c>
      <c r="E340" s="1">
        <v>46053</v>
      </c>
      <c r="F340" s="1">
        <v>46052</v>
      </c>
      <c r="G340" s="1">
        <v>46061</v>
      </c>
      <c r="H340">
        <v>97.79</v>
      </c>
      <c r="I340" t="s">
        <v>39</v>
      </c>
      <c r="J340" s="5">
        <f>SUMIFS(Table5[quantity],Table5[order_id],Table3[[#This Row],[order_id]])</f>
        <v>2</v>
      </c>
    </row>
    <row r="341" spans="1:10">
      <c r="A341">
        <v>340</v>
      </c>
      <c r="B341">
        <v>1384</v>
      </c>
      <c r="C341" t="s">
        <v>34</v>
      </c>
      <c r="D341" t="s">
        <v>122</v>
      </c>
      <c r="E341" s="1">
        <v>46033</v>
      </c>
      <c r="F341" s="1">
        <v>46033</v>
      </c>
      <c r="G341" s="1">
        <v>46036</v>
      </c>
      <c r="H341">
        <v>35.04</v>
      </c>
      <c r="I341" t="s">
        <v>39</v>
      </c>
      <c r="J341" s="5">
        <f>SUMIFS(Table5[quantity],Table5[order_id],Table3[[#This Row],[order_id]])</f>
        <v>12</v>
      </c>
    </row>
    <row r="342" spans="1:10">
      <c r="A342">
        <v>341</v>
      </c>
      <c r="B342">
        <v>1385</v>
      </c>
      <c r="C342" t="s">
        <v>37</v>
      </c>
      <c r="D342" t="s">
        <v>119</v>
      </c>
      <c r="E342" s="1">
        <v>46103</v>
      </c>
      <c r="F342" s="1">
        <v>46103</v>
      </c>
      <c r="G342" s="1">
        <v>46110</v>
      </c>
      <c r="H342">
        <v>73.17</v>
      </c>
      <c r="I342" t="s">
        <v>39</v>
      </c>
      <c r="J342" s="5">
        <f>SUMIFS(Table5[quantity],Table5[order_id],Table3[[#This Row],[order_id]])</f>
        <v>17</v>
      </c>
    </row>
    <row r="343" spans="1:10">
      <c r="A343">
        <v>342</v>
      </c>
      <c r="B343">
        <v>1386</v>
      </c>
      <c r="C343" t="s">
        <v>34</v>
      </c>
      <c r="D343" t="s">
        <v>118</v>
      </c>
      <c r="E343" s="1">
        <v>46122</v>
      </c>
      <c r="F343" s="1">
        <v>46125</v>
      </c>
      <c r="G343" s="1">
        <v>46129</v>
      </c>
      <c r="H343">
        <v>95.74</v>
      </c>
      <c r="I343" t="s">
        <v>39</v>
      </c>
      <c r="J343" s="5">
        <f>SUMIFS(Table5[quantity],Table5[order_id],Table3[[#This Row],[order_id]])</f>
        <v>13</v>
      </c>
    </row>
    <row r="344" spans="1:10">
      <c r="A344">
        <v>343</v>
      </c>
      <c r="B344">
        <v>1387</v>
      </c>
      <c r="C344" t="s">
        <v>33</v>
      </c>
      <c r="D344" t="s">
        <v>120</v>
      </c>
      <c r="E344" s="1">
        <v>46124</v>
      </c>
      <c r="F344" s="1">
        <v>46124</v>
      </c>
      <c r="G344" s="1">
        <v>46130</v>
      </c>
      <c r="H344">
        <v>108.25</v>
      </c>
      <c r="I344" t="s">
        <v>39</v>
      </c>
      <c r="J344" s="5">
        <f>SUMIFS(Table5[quantity],Table5[order_id],Table3[[#This Row],[order_id]])</f>
        <v>1</v>
      </c>
    </row>
    <row r="345" spans="1:10">
      <c r="A345">
        <v>344</v>
      </c>
      <c r="B345">
        <v>1388</v>
      </c>
      <c r="C345" t="s">
        <v>36</v>
      </c>
      <c r="D345" t="s">
        <v>117</v>
      </c>
      <c r="E345" s="1">
        <v>46082</v>
      </c>
      <c r="F345" s="1">
        <v>46079</v>
      </c>
      <c r="G345" s="1">
        <v>46084</v>
      </c>
      <c r="H345">
        <v>56.52</v>
      </c>
      <c r="I345" t="s">
        <v>488</v>
      </c>
      <c r="J345" s="5">
        <f>SUMIFS(Table5[quantity],Table5[order_id],Table3[[#This Row],[order_id]])</f>
        <v>21</v>
      </c>
    </row>
    <row r="346" spans="1:10">
      <c r="A346">
        <v>345</v>
      </c>
      <c r="B346">
        <v>1389</v>
      </c>
      <c r="C346" t="s">
        <v>33</v>
      </c>
      <c r="D346" t="s">
        <v>120</v>
      </c>
      <c r="E346" s="1">
        <v>46035</v>
      </c>
      <c r="F346" s="1">
        <v>46034</v>
      </c>
      <c r="G346" s="1">
        <v>46036</v>
      </c>
      <c r="H346">
        <v>558.44000000000005</v>
      </c>
      <c r="I346" t="s">
        <v>39</v>
      </c>
      <c r="J346" s="5">
        <f>SUMIFS(Table5[quantity],Table5[order_id],Table3[[#This Row],[order_id]])</f>
        <v>5</v>
      </c>
    </row>
    <row r="347" spans="1:10">
      <c r="A347">
        <v>346</v>
      </c>
      <c r="B347">
        <v>1390</v>
      </c>
      <c r="C347" t="s">
        <v>35</v>
      </c>
      <c r="D347" t="s">
        <v>122</v>
      </c>
      <c r="E347" s="1">
        <v>46108</v>
      </c>
      <c r="F347" s="1">
        <v>46111</v>
      </c>
      <c r="G347" s="1">
        <v>46115</v>
      </c>
      <c r="H347">
        <v>30.26</v>
      </c>
      <c r="I347" t="s">
        <v>39</v>
      </c>
      <c r="J347" s="5">
        <f>SUMIFS(Table5[quantity],Table5[order_id],Table3[[#This Row],[order_id]])</f>
        <v>7</v>
      </c>
    </row>
    <row r="348" spans="1:10">
      <c r="A348">
        <v>347</v>
      </c>
      <c r="B348">
        <v>1391</v>
      </c>
      <c r="C348" t="s">
        <v>35</v>
      </c>
      <c r="D348" t="s">
        <v>118</v>
      </c>
      <c r="E348" s="1">
        <v>46027</v>
      </c>
      <c r="F348" s="1">
        <v>46028</v>
      </c>
      <c r="G348" s="1">
        <v>46037</v>
      </c>
      <c r="H348">
        <v>95.83</v>
      </c>
      <c r="I348" t="s">
        <v>488</v>
      </c>
      <c r="J348" s="5">
        <f>SUMIFS(Table5[quantity],Table5[order_id],Table3[[#This Row],[order_id]])</f>
        <v>1</v>
      </c>
    </row>
    <row r="349" spans="1:10">
      <c r="A349">
        <v>348</v>
      </c>
      <c r="B349">
        <v>1392</v>
      </c>
      <c r="C349" t="s">
        <v>37</v>
      </c>
      <c r="D349" t="s">
        <v>119</v>
      </c>
      <c r="E349" s="1">
        <v>46143</v>
      </c>
      <c r="F349" s="1">
        <v>46144</v>
      </c>
      <c r="G349" s="1">
        <v>46151</v>
      </c>
      <c r="H349">
        <v>30.2</v>
      </c>
      <c r="I349" t="s">
        <v>39</v>
      </c>
      <c r="J349" s="5">
        <f>SUMIFS(Table5[quantity],Table5[order_id],Table3[[#This Row],[order_id]])</f>
        <v>11</v>
      </c>
    </row>
    <row r="350" spans="1:10">
      <c r="A350">
        <v>349</v>
      </c>
      <c r="B350">
        <v>1393</v>
      </c>
      <c r="C350" t="s">
        <v>36</v>
      </c>
      <c r="D350" t="s">
        <v>122</v>
      </c>
      <c r="E350" s="1">
        <v>46090</v>
      </c>
      <c r="F350" s="1">
        <v>46088</v>
      </c>
      <c r="G350" s="1">
        <v>46098</v>
      </c>
      <c r="H350">
        <v>16.13</v>
      </c>
      <c r="I350" t="s">
        <v>39</v>
      </c>
      <c r="J350" s="5">
        <f>SUMIFS(Table5[quantity],Table5[order_id],Table3[[#This Row],[order_id]])</f>
        <v>3</v>
      </c>
    </row>
    <row r="351" spans="1:10">
      <c r="A351">
        <v>350</v>
      </c>
      <c r="B351">
        <v>1394</v>
      </c>
      <c r="C351" t="s">
        <v>34</v>
      </c>
      <c r="D351" t="s">
        <v>120</v>
      </c>
      <c r="E351" s="1">
        <v>46145</v>
      </c>
      <c r="F351" s="1">
        <v>46145</v>
      </c>
      <c r="G351" s="1">
        <v>46154</v>
      </c>
      <c r="H351">
        <v>27.55</v>
      </c>
      <c r="I351" t="s">
        <v>141</v>
      </c>
      <c r="J351" s="5">
        <f>SUMIFS(Table5[quantity],Table5[order_id],Table3[[#This Row],[order_id]])</f>
        <v>4</v>
      </c>
    </row>
    <row r="352" spans="1:10">
      <c r="A352">
        <v>351</v>
      </c>
      <c r="B352">
        <v>1395</v>
      </c>
      <c r="C352" t="s">
        <v>35</v>
      </c>
      <c r="D352" t="s">
        <v>117</v>
      </c>
      <c r="E352" s="1">
        <v>46067</v>
      </c>
      <c r="F352" s="1">
        <v>46067</v>
      </c>
      <c r="G352" s="1">
        <v>46075</v>
      </c>
      <c r="H352">
        <v>25.7</v>
      </c>
      <c r="I352" t="s">
        <v>39</v>
      </c>
      <c r="J352" s="5">
        <f>SUMIFS(Table5[quantity],Table5[order_id],Table3[[#This Row],[order_id]])</f>
        <v>8</v>
      </c>
    </row>
    <row r="353" spans="1:10">
      <c r="A353">
        <v>352</v>
      </c>
      <c r="B353">
        <v>1396</v>
      </c>
      <c r="C353" t="s">
        <v>37</v>
      </c>
      <c r="D353" t="s">
        <v>117</v>
      </c>
      <c r="E353" s="1">
        <v>46095</v>
      </c>
      <c r="F353" s="1">
        <v>46093</v>
      </c>
      <c r="G353" s="1">
        <v>46100</v>
      </c>
      <c r="H353">
        <v>25.98</v>
      </c>
      <c r="I353" t="s">
        <v>39</v>
      </c>
      <c r="J353" s="5">
        <f>SUMIFS(Table5[quantity],Table5[order_id],Table3[[#This Row],[order_id]])</f>
        <v>12</v>
      </c>
    </row>
    <row r="354" spans="1:10">
      <c r="A354">
        <v>353</v>
      </c>
      <c r="B354">
        <v>1397</v>
      </c>
      <c r="C354" t="s">
        <v>33</v>
      </c>
      <c r="D354" t="s">
        <v>119</v>
      </c>
      <c r="E354" s="1">
        <v>46136</v>
      </c>
      <c r="F354" s="1">
        <v>46136</v>
      </c>
      <c r="G354" s="1">
        <v>46146</v>
      </c>
      <c r="H354">
        <v>85.14</v>
      </c>
      <c r="I354" t="s">
        <v>488</v>
      </c>
      <c r="J354" s="5">
        <f>SUMIFS(Table5[quantity],Table5[order_id],Table3[[#This Row],[order_id]])</f>
        <v>9</v>
      </c>
    </row>
    <row r="355" spans="1:10">
      <c r="A355">
        <v>354</v>
      </c>
      <c r="B355">
        <v>1398</v>
      </c>
      <c r="C355" t="s">
        <v>32</v>
      </c>
      <c r="D355" t="s">
        <v>118</v>
      </c>
      <c r="E355" s="1">
        <v>46094</v>
      </c>
      <c r="F355" s="1">
        <v>46098</v>
      </c>
      <c r="G355" s="1">
        <v>46098</v>
      </c>
      <c r="H355">
        <v>23.75</v>
      </c>
      <c r="I355" t="s">
        <v>39</v>
      </c>
      <c r="J355" s="5">
        <f>SUMIFS(Table5[quantity],Table5[order_id],Table3[[#This Row],[order_id]])</f>
        <v>7</v>
      </c>
    </row>
    <row r="356" spans="1:10">
      <c r="A356">
        <v>355</v>
      </c>
      <c r="B356">
        <v>1399</v>
      </c>
      <c r="C356" t="s">
        <v>32</v>
      </c>
      <c r="D356" t="s">
        <v>118</v>
      </c>
      <c r="E356" s="1">
        <v>46147</v>
      </c>
      <c r="F356" s="1">
        <v>46146</v>
      </c>
      <c r="G356" s="1">
        <v>46152</v>
      </c>
      <c r="H356">
        <v>100.9</v>
      </c>
      <c r="I356" t="s">
        <v>141</v>
      </c>
      <c r="J356" s="5">
        <f>SUMIFS(Table5[quantity],Table5[order_id],Table3[[#This Row],[order_id]])</f>
        <v>25</v>
      </c>
    </row>
    <row r="357" spans="1:10">
      <c r="A357">
        <v>356</v>
      </c>
      <c r="B357">
        <v>1400</v>
      </c>
      <c r="C357" t="s">
        <v>36</v>
      </c>
      <c r="D357" t="s">
        <v>117</v>
      </c>
      <c r="E357" s="1">
        <v>46053</v>
      </c>
      <c r="F357" s="1">
        <v>46051</v>
      </c>
      <c r="G357" s="1">
        <v>46056</v>
      </c>
      <c r="H357">
        <v>45.43</v>
      </c>
      <c r="I357" t="s">
        <v>39</v>
      </c>
      <c r="J357" s="5">
        <f>SUMIFS(Table5[quantity],Table5[order_id],Table3[[#This Row],[order_id]])</f>
        <v>21</v>
      </c>
    </row>
    <row r="358" spans="1:10">
      <c r="A358">
        <v>357</v>
      </c>
      <c r="B358">
        <v>1401</v>
      </c>
      <c r="C358" t="s">
        <v>37</v>
      </c>
      <c r="D358" t="s">
        <v>120</v>
      </c>
      <c r="E358" s="1">
        <v>46083</v>
      </c>
      <c r="F358" s="1">
        <v>46077</v>
      </c>
      <c r="G358" s="1">
        <v>46090</v>
      </c>
      <c r="H358">
        <v>96.26</v>
      </c>
      <c r="I358" t="s">
        <v>141</v>
      </c>
      <c r="J358" s="5">
        <f>SUMIFS(Table5[quantity],Table5[order_id],Table3[[#This Row],[order_id]])</f>
        <v>19</v>
      </c>
    </row>
    <row r="359" spans="1:10">
      <c r="A359">
        <v>358</v>
      </c>
      <c r="B359">
        <v>1402</v>
      </c>
      <c r="C359" t="s">
        <v>37</v>
      </c>
      <c r="D359" t="s">
        <v>118</v>
      </c>
      <c r="E359" s="1">
        <v>46030</v>
      </c>
      <c r="F359" s="1">
        <v>46029</v>
      </c>
      <c r="G359" s="1">
        <v>46031</v>
      </c>
      <c r="H359">
        <v>9.7899999999999991</v>
      </c>
      <c r="I359" t="s">
        <v>141</v>
      </c>
      <c r="J359" s="5">
        <f>SUMIFS(Table5[quantity],Table5[order_id],Table3[[#This Row],[order_id]])</f>
        <v>22</v>
      </c>
    </row>
    <row r="360" spans="1:10">
      <c r="A360">
        <v>359</v>
      </c>
      <c r="B360">
        <v>1403</v>
      </c>
      <c r="C360" t="s">
        <v>32</v>
      </c>
      <c r="D360" t="s">
        <v>120</v>
      </c>
      <c r="E360" s="1">
        <v>46100</v>
      </c>
      <c r="F360" s="1">
        <v>46097</v>
      </c>
      <c r="G360" s="1">
        <v>46106</v>
      </c>
      <c r="H360">
        <v>97.31</v>
      </c>
      <c r="I360" t="s">
        <v>488</v>
      </c>
      <c r="J360" s="5">
        <f>SUMIFS(Table5[quantity],Table5[order_id],Table3[[#This Row],[order_id]])</f>
        <v>20</v>
      </c>
    </row>
    <row r="361" spans="1:10">
      <c r="A361">
        <v>360</v>
      </c>
      <c r="B361">
        <v>1404</v>
      </c>
      <c r="C361" t="s">
        <v>33</v>
      </c>
      <c r="D361" t="s">
        <v>117</v>
      </c>
      <c r="E361" s="1">
        <v>46136</v>
      </c>
      <c r="F361" s="1">
        <v>46136</v>
      </c>
      <c r="G361" s="1">
        <v>46142</v>
      </c>
      <c r="H361">
        <v>58.33</v>
      </c>
      <c r="I361" t="s">
        <v>141</v>
      </c>
      <c r="J361" s="5">
        <f>SUMIFS(Table5[quantity],Table5[order_id],Table3[[#This Row],[order_id]])</f>
        <v>11</v>
      </c>
    </row>
    <row r="362" spans="1:10">
      <c r="A362">
        <v>361</v>
      </c>
      <c r="B362">
        <v>1405</v>
      </c>
      <c r="C362" t="s">
        <v>34</v>
      </c>
      <c r="D362" t="s">
        <v>117</v>
      </c>
      <c r="E362" s="1">
        <v>46031</v>
      </c>
      <c r="F362" s="1">
        <v>46036</v>
      </c>
      <c r="G362" s="1">
        <v>46040</v>
      </c>
      <c r="H362">
        <v>108.39</v>
      </c>
      <c r="I362" t="s">
        <v>488</v>
      </c>
      <c r="J362" s="5">
        <f>SUMIFS(Table5[quantity],Table5[order_id],Table3[[#This Row],[order_id]])</f>
        <v>5</v>
      </c>
    </row>
    <row r="363" spans="1:10">
      <c r="A363">
        <v>362</v>
      </c>
      <c r="B363">
        <v>1406</v>
      </c>
      <c r="C363" t="s">
        <v>34</v>
      </c>
      <c r="D363" t="s">
        <v>117</v>
      </c>
      <c r="E363" s="1">
        <v>46127</v>
      </c>
      <c r="F363" s="1">
        <v>46129</v>
      </c>
      <c r="G363" s="1">
        <v>46130</v>
      </c>
      <c r="H363">
        <v>38.9</v>
      </c>
      <c r="I363" t="s">
        <v>39</v>
      </c>
      <c r="J363" s="5">
        <f>SUMIFS(Table5[quantity],Table5[order_id],Table3[[#This Row],[order_id]])</f>
        <v>8</v>
      </c>
    </row>
    <row r="364" spans="1:10">
      <c r="A364">
        <v>363</v>
      </c>
      <c r="B364">
        <v>1407</v>
      </c>
      <c r="C364" t="s">
        <v>32</v>
      </c>
      <c r="D364" t="s">
        <v>118</v>
      </c>
      <c r="E364" s="1">
        <v>46079</v>
      </c>
      <c r="F364" s="1">
        <v>46076</v>
      </c>
      <c r="G364" s="1">
        <v>46081</v>
      </c>
      <c r="H364">
        <v>38.79</v>
      </c>
      <c r="I364" t="s">
        <v>39</v>
      </c>
      <c r="J364" s="5">
        <f>SUMIFS(Table5[quantity],Table5[order_id],Table3[[#This Row],[order_id]])</f>
        <v>3</v>
      </c>
    </row>
    <row r="365" spans="1:10">
      <c r="A365">
        <v>364</v>
      </c>
      <c r="B365">
        <v>1408</v>
      </c>
      <c r="C365" t="s">
        <v>36</v>
      </c>
      <c r="D365" t="s">
        <v>118</v>
      </c>
      <c r="E365" s="1">
        <v>46090</v>
      </c>
      <c r="F365" s="1">
        <v>46096</v>
      </c>
      <c r="G365" s="1">
        <v>46094</v>
      </c>
      <c r="H365">
        <v>23.81</v>
      </c>
      <c r="I365" t="s">
        <v>141</v>
      </c>
      <c r="J365" s="5">
        <f>SUMIFS(Table5[quantity],Table5[order_id],Table3[[#This Row],[order_id]])</f>
        <v>3</v>
      </c>
    </row>
    <row r="366" spans="1:10">
      <c r="A366">
        <v>365</v>
      </c>
      <c r="B366">
        <v>1410</v>
      </c>
      <c r="C366" t="s">
        <v>37</v>
      </c>
      <c r="D366" t="s">
        <v>119</v>
      </c>
      <c r="E366" s="1">
        <v>46049</v>
      </c>
      <c r="F366" s="1">
        <v>46054</v>
      </c>
      <c r="G366" s="1">
        <v>46052</v>
      </c>
      <c r="H366">
        <v>58.28</v>
      </c>
      <c r="I366" t="s">
        <v>488</v>
      </c>
      <c r="J366" s="5">
        <f>SUMIFS(Table5[quantity],Table5[order_id],Table3[[#This Row],[order_id]])</f>
        <v>10</v>
      </c>
    </row>
    <row r="367" spans="1:10">
      <c r="A367">
        <v>366</v>
      </c>
      <c r="B367">
        <v>1411</v>
      </c>
      <c r="C367" t="s">
        <v>35</v>
      </c>
      <c r="D367" t="s">
        <v>118</v>
      </c>
      <c r="E367" s="1">
        <v>46119</v>
      </c>
      <c r="F367" s="1">
        <v>46116</v>
      </c>
      <c r="G367" s="1">
        <v>46127</v>
      </c>
      <c r="H367">
        <v>47.68</v>
      </c>
      <c r="I367" t="s">
        <v>39</v>
      </c>
      <c r="J367" s="5">
        <f>SUMIFS(Table5[quantity],Table5[order_id],Table3[[#This Row],[order_id]])</f>
        <v>16</v>
      </c>
    </row>
    <row r="368" spans="1:10">
      <c r="A368">
        <v>367</v>
      </c>
      <c r="B368">
        <v>1412</v>
      </c>
      <c r="C368" t="s">
        <v>37</v>
      </c>
      <c r="D368" t="s">
        <v>118</v>
      </c>
      <c r="E368" s="1">
        <v>46154</v>
      </c>
      <c r="F368" s="1">
        <v>46154</v>
      </c>
      <c r="G368" s="1">
        <v>46156</v>
      </c>
      <c r="H368">
        <v>61.93</v>
      </c>
      <c r="I368" t="s">
        <v>488</v>
      </c>
      <c r="J368" s="5">
        <f>SUMIFS(Table5[quantity],Table5[order_id],Table3[[#This Row],[order_id]])</f>
        <v>7</v>
      </c>
    </row>
    <row r="369" spans="1:10">
      <c r="A369">
        <v>368</v>
      </c>
      <c r="B369">
        <v>1413</v>
      </c>
      <c r="C369" t="s">
        <v>32</v>
      </c>
      <c r="D369" t="s">
        <v>118</v>
      </c>
      <c r="E369" s="1">
        <v>46051</v>
      </c>
      <c r="F369" s="1">
        <v>46053</v>
      </c>
      <c r="G369" s="1">
        <v>46059</v>
      </c>
      <c r="H369">
        <v>54.75</v>
      </c>
      <c r="I369" t="s">
        <v>141</v>
      </c>
      <c r="J369" s="5">
        <f>SUMIFS(Table5[quantity],Table5[order_id],Table3[[#This Row],[order_id]])</f>
        <v>9</v>
      </c>
    </row>
    <row r="370" spans="1:10">
      <c r="A370">
        <v>369</v>
      </c>
      <c r="B370">
        <v>1414</v>
      </c>
      <c r="C370" t="s">
        <v>32</v>
      </c>
      <c r="D370" t="s">
        <v>117</v>
      </c>
      <c r="E370" s="1">
        <v>46076</v>
      </c>
      <c r="F370" s="1">
        <v>46077</v>
      </c>
      <c r="G370" s="1">
        <v>46086</v>
      </c>
      <c r="H370">
        <v>67.400000000000006</v>
      </c>
      <c r="I370" t="s">
        <v>488</v>
      </c>
      <c r="J370" s="5">
        <f>SUMIFS(Table5[quantity],Table5[order_id],Table3[[#This Row],[order_id]])</f>
        <v>1</v>
      </c>
    </row>
    <row r="371" spans="1:10">
      <c r="A371">
        <v>370</v>
      </c>
      <c r="B371">
        <v>1415</v>
      </c>
      <c r="C371" t="s">
        <v>37</v>
      </c>
      <c r="D371" t="s">
        <v>120</v>
      </c>
      <c r="E371" s="1">
        <v>46078</v>
      </c>
      <c r="F371" s="1">
        <v>46078</v>
      </c>
      <c r="G371" s="1">
        <v>46088</v>
      </c>
      <c r="H371">
        <v>66.7</v>
      </c>
      <c r="I371" t="s">
        <v>141</v>
      </c>
      <c r="J371" s="5">
        <f>SUMIFS(Table5[quantity],Table5[order_id],Table3[[#This Row],[order_id]])</f>
        <v>15</v>
      </c>
    </row>
    <row r="372" spans="1:10">
      <c r="A372">
        <v>371</v>
      </c>
      <c r="B372">
        <v>1416</v>
      </c>
      <c r="C372" t="s">
        <v>36</v>
      </c>
      <c r="D372" t="s">
        <v>117</v>
      </c>
      <c r="E372" s="1">
        <v>46119</v>
      </c>
      <c r="F372" s="1">
        <v>46120</v>
      </c>
      <c r="G372" s="1">
        <v>46120</v>
      </c>
      <c r="H372">
        <v>67.33</v>
      </c>
      <c r="I372" t="s">
        <v>39</v>
      </c>
      <c r="J372" s="5">
        <f>SUMIFS(Table5[quantity],Table5[order_id],Table3[[#This Row],[order_id]])</f>
        <v>4</v>
      </c>
    </row>
    <row r="373" spans="1:10">
      <c r="A373">
        <v>372</v>
      </c>
      <c r="B373">
        <v>1417</v>
      </c>
      <c r="C373" t="s">
        <v>34</v>
      </c>
      <c r="D373" t="s">
        <v>117</v>
      </c>
      <c r="E373" s="1">
        <v>46034</v>
      </c>
      <c r="F373" s="1">
        <v>46032</v>
      </c>
      <c r="G373" s="1">
        <v>46041</v>
      </c>
      <c r="H373">
        <v>73.39</v>
      </c>
      <c r="I373" t="s">
        <v>488</v>
      </c>
      <c r="J373" s="5">
        <f>SUMIFS(Table5[quantity],Table5[order_id],Table3[[#This Row],[order_id]])</f>
        <v>14</v>
      </c>
    </row>
    <row r="374" spans="1:10">
      <c r="A374">
        <v>373</v>
      </c>
      <c r="B374">
        <v>1418</v>
      </c>
      <c r="C374" t="s">
        <v>32</v>
      </c>
      <c r="D374" t="s">
        <v>117</v>
      </c>
      <c r="E374" s="1">
        <v>46098</v>
      </c>
      <c r="F374" s="1">
        <v>46096</v>
      </c>
      <c r="G374" s="1">
        <v>46102</v>
      </c>
      <c r="H374">
        <v>6.49</v>
      </c>
      <c r="I374" t="s">
        <v>141</v>
      </c>
      <c r="J374" s="5">
        <f>SUMIFS(Table5[quantity],Table5[order_id],Table3[[#This Row],[order_id]])</f>
        <v>4</v>
      </c>
    </row>
    <row r="375" spans="1:10">
      <c r="A375">
        <v>374</v>
      </c>
      <c r="B375">
        <v>1419</v>
      </c>
      <c r="C375" t="s">
        <v>32</v>
      </c>
      <c r="D375" t="s">
        <v>119</v>
      </c>
      <c r="E375" s="1">
        <v>46150</v>
      </c>
      <c r="F375" s="1">
        <v>46149</v>
      </c>
      <c r="G375" s="1">
        <v>46156</v>
      </c>
      <c r="H375">
        <v>54.64</v>
      </c>
      <c r="I375" t="s">
        <v>39</v>
      </c>
      <c r="J375" s="5">
        <f>SUMIFS(Table5[quantity],Table5[order_id],Table3[[#This Row],[order_id]])</f>
        <v>9</v>
      </c>
    </row>
    <row r="376" spans="1:10">
      <c r="A376">
        <v>375</v>
      </c>
      <c r="B376">
        <v>1420</v>
      </c>
      <c r="C376" t="s">
        <v>37</v>
      </c>
      <c r="D376" t="s">
        <v>118</v>
      </c>
      <c r="E376" s="1">
        <v>46024</v>
      </c>
      <c r="F376" s="1">
        <v>46028</v>
      </c>
      <c r="G376" s="1">
        <v>46032</v>
      </c>
      <c r="H376">
        <v>24.95</v>
      </c>
      <c r="I376" t="s">
        <v>39</v>
      </c>
      <c r="J376" s="5">
        <f>SUMIFS(Table5[quantity],Table5[order_id],Table3[[#This Row],[order_id]])</f>
        <v>4</v>
      </c>
    </row>
    <row r="377" spans="1:10">
      <c r="A377">
        <v>376</v>
      </c>
      <c r="B377">
        <v>1421</v>
      </c>
      <c r="C377" t="s">
        <v>33</v>
      </c>
      <c r="D377" t="s">
        <v>120</v>
      </c>
      <c r="E377" s="1">
        <v>46062</v>
      </c>
      <c r="F377" s="1">
        <v>46063</v>
      </c>
      <c r="G377" s="1">
        <v>46068</v>
      </c>
      <c r="H377">
        <v>108.13</v>
      </c>
      <c r="I377" t="s">
        <v>39</v>
      </c>
      <c r="J377" s="5">
        <f>SUMIFS(Table5[quantity],Table5[order_id],Table3[[#This Row],[order_id]])</f>
        <v>2</v>
      </c>
    </row>
    <row r="378" spans="1:10">
      <c r="A378">
        <v>377</v>
      </c>
      <c r="B378">
        <v>1422</v>
      </c>
      <c r="C378" t="s">
        <v>33</v>
      </c>
      <c r="D378" t="s">
        <v>117</v>
      </c>
      <c r="E378" s="1">
        <v>46097</v>
      </c>
      <c r="F378" s="1">
        <v>46101</v>
      </c>
      <c r="G378" s="1">
        <v>46100</v>
      </c>
      <c r="H378">
        <v>8.16</v>
      </c>
      <c r="I378" t="s">
        <v>141</v>
      </c>
      <c r="J378" s="5">
        <f>SUMIFS(Table5[quantity],Table5[order_id],Table3[[#This Row],[order_id]])</f>
        <v>11</v>
      </c>
    </row>
    <row r="379" spans="1:10">
      <c r="A379">
        <v>378</v>
      </c>
      <c r="B379">
        <v>1423</v>
      </c>
      <c r="C379" t="s">
        <v>33</v>
      </c>
      <c r="D379" t="s">
        <v>119</v>
      </c>
      <c r="E379" s="1">
        <v>46034</v>
      </c>
      <c r="F379" s="1">
        <v>46030</v>
      </c>
      <c r="G379" s="1">
        <v>46038</v>
      </c>
      <c r="H379">
        <v>27.86</v>
      </c>
      <c r="I379" t="s">
        <v>39</v>
      </c>
      <c r="J379" s="5">
        <f>SUMIFS(Table5[quantity],Table5[order_id],Table3[[#This Row],[order_id]])</f>
        <v>11</v>
      </c>
    </row>
    <row r="380" spans="1:10">
      <c r="A380">
        <v>379</v>
      </c>
      <c r="B380">
        <v>1424</v>
      </c>
      <c r="C380" t="s">
        <v>36</v>
      </c>
      <c r="D380" t="s">
        <v>120</v>
      </c>
      <c r="E380" s="1">
        <v>46038</v>
      </c>
      <c r="F380" s="1">
        <v>46036</v>
      </c>
      <c r="G380" s="1">
        <v>46045</v>
      </c>
      <c r="H380">
        <v>70.42</v>
      </c>
      <c r="I380" t="s">
        <v>488</v>
      </c>
      <c r="J380" s="5">
        <f>SUMIFS(Table5[quantity],Table5[order_id],Table3[[#This Row],[order_id]])</f>
        <v>18</v>
      </c>
    </row>
    <row r="381" spans="1:10">
      <c r="A381">
        <v>380</v>
      </c>
      <c r="B381">
        <v>1425</v>
      </c>
      <c r="C381" t="s">
        <v>37</v>
      </c>
      <c r="D381" t="s">
        <v>120</v>
      </c>
      <c r="E381" s="1">
        <v>46124</v>
      </c>
      <c r="F381" s="1">
        <v>46126</v>
      </c>
      <c r="G381" s="1">
        <v>46131</v>
      </c>
      <c r="H381">
        <v>8.48</v>
      </c>
      <c r="I381" t="s">
        <v>39</v>
      </c>
      <c r="J381" s="5">
        <f>SUMIFS(Table5[quantity],Table5[order_id],Table3[[#This Row],[order_id]])</f>
        <v>9</v>
      </c>
    </row>
    <row r="382" spans="1:10">
      <c r="A382">
        <v>381</v>
      </c>
      <c r="B382">
        <v>1426</v>
      </c>
      <c r="C382" t="s">
        <v>32</v>
      </c>
      <c r="D382" t="s">
        <v>120</v>
      </c>
      <c r="E382" s="1">
        <v>46029</v>
      </c>
      <c r="F382" s="1">
        <v>46032</v>
      </c>
      <c r="G382" s="1">
        <v>46038</v>
      </c>
      <c r="H382">
        <v>40.43</v>
      </c>
      <c r="I382" t="s">
        <v>39</v>
      </c>
      <c r="J382" s="5">
        <f>SUMIFS(Table5[quantity],Table5[order_id],Table3[[#This Row],[order_id]])</f>
        <v>8</v>
      </c>
    </row>
    <row r="383" spans="1:10">
      <c r="A383">
        <v>382</v>
      </c>
      <c r="B383">
        <v>1427</v>
      </c>
      <c r="C383" t="s">
        <v>37</v>
      </c>
      <c r="D383" t="s">
        <v>120</v>
      </c>
      <c r="E383" s="1">
        <v>46096</v>
      </c>
      <c r="F383" s="1">
        <v>46096</v>
      </c>
      <c r="G383" s="1">
        <v>46100</v>
      </c>
      <c r="H383">
        <v>11.05</v>
      </c>
      <c r="I383" t="s">
        <v>141</v>
      </c>
      <c r="J383" s="5">
        <f>SUMIFS(Table5[quantity],Table5[order_id],Table3[[#This Row],[order_id]])</f>
        <v>9</v>
      </c>
    </row>
    <row r="384" spans="1:10">
      <c r="A384">
        <v>383</v>
      </c>
      <c r="B384">
        <v>1428</v>
      </c>
      <c r="C384" t="s">
        <v>37</v>
      </c>
      <c r="D384" t="s">
        <v>118</v>
      </c>
      <c r="E384" s="1">
        <v>46121</v>
      </c>
      <c r="F384" s="1">
        <v>46117</v>
      </c>
      <c r="G384" s="1">
        <v>46128</v>
      </c>
      <c r="H384">
        <v>12.28</v>
      </c>
      <c r="I384" t="s">
        <v>141</v>
      </c>
      <c r="J384" s="5">
        <f>SUMIFS(Table5[quantity],Table5[order_id],Table3[[#This Row],[order_id]])</f>
        <v>4</v>
      </c>
    </row>
    <row r="385" spans="1:10">
      <c r="A385">
        <v>384</v>
      </c>
      <c r="B385">
        <v>1429</v>
      </c>
      <c r="C385" t="s">
        <v>34</v>
      </c>
      <c r="D385" t="s">
        <v>119</v>
      </c>
      <c r="E385" s="1">
        <v>46114</v>
      </c>
      <c r="F385" s="1">
        <v>46108</v>
      </c>
      <c r="G385" s="1">
        <v>46117</v>
      </c>
      <c r="H385">
        <v>48.21</v>
      </c>
      <c r="I385" t="s">
        <v>488</v>
      </c>
      <c r="J385" s="5">
        <f>SUMIFS(Table5[quantity],Table5[order_id],Table3[[#This Row],[order_id]])</f>
        <v>18</v>
      </c>
    </row>
    <row r="386" spans="1:10">
      <c r="A386">
        <v>385</v>
      </c>
      <c r="B386">
        <v>1430</v>
      </c>
      <c r="C386" t="s">
        <v>33</v>
      </c>
      <c r="D386" t="s">
        <v>122</v>
      </c>
      <c r="E386" s="1">
        <v>46151</v>
      </c>
      <c r="F386" s="1">
        <v>46158</v>
      </c>
      <c r="G386" s="1">
        <v>46155</v>
      </c>
      <c r="H386">
        <v>55.62</v>
      </c>
      <c r="I386" t="s">
        <v>141</v>
      </c>
      <c r="J386" s="5">
        <f>SUMIFS(Table5[quantity],Table5[order_id],Table3[[#This Row],[order_id]])</f>
        <v>21</v>
      </c>
    </row>
    <row r="387" spans="1:10">
      <c r="A387">
        <v>386</v>
      </c>
      <c r="B387">
        <v>1431</v>
      </c>
      <c r="C387" t="s">
        <v>32</v>
      </c>
      <c r="D387" t="s">
        <v>117</v>
      </c>
      <c r="E387" s="1">
        <v>46117</v>
      </c>
      <c r="F387" s="1">
        <v>46117</v>
      </c>
      <c r="G387" s="1">
        <v>46119</v>
      </c>
      <c r="H387">
        <v>13.45</v>
      </c>
      <c r="I387" t="s">
        <v>488</v>
      </c>
      <c r="J387" s="5">
        <f>SUMIFS(Table5[quantity],Table5[order_id],Table3[[#This Row],[order_id]])</f>
        <v>10</v>
      </c>
    </row>
    <row r="388" spans="1:10">
      <c r="A388">
        <v>387</v>
      </c>
      <c r="B388">
        <v>1432</v>
      </c>
      <c r="C388" t="s">
        <v>32</v>
      </c>
      <c r="D388" t="s">
        <v>119</v>
      </c>
      <c r="E388" s="1">
        <v>46069</v>
      </c>
      <c r="F388" s="1">
        <v>46072</v>
      </c>
      <c r="G388" s="1">
        <v>46070</v>
      </c>
      <c r="H388">
        <v>100.73</v>
      </c>
      <c r="I388" t="s">
        <v>488</v>
      </c>
      <c r="J388" s="5">
        <f>SUMIFS(Table5[quantity],Table5[order_id],Table3[[#This Row],[order_id]])</f>
        <v>5</v>
      </c>
    </row>
    <row r="389" spans="1:10">
      <c r="A389">
        <v>388</v>
      </c>
      <c r="B389">
        <v>1433</v>
      </c>
      <c r="C389" t="s">
        <v>36</v>
      </c>
      <c r="D389" t="s">
        <v>119</v>
      </c>
      <c r="E389" s="1">
        <v>46125</v>
      </c>
      <c r="F389" s="1">
        <v>46127</v>
      </c>
      <c r="G389" s="1">
        <v>46128</v>
      </c>
      <c r="H389">
        <v>89.08</v>
      </c>
      <c r="I389" t="s">
        <v>488</v>
      </c>
      <c r="J389" s="5">
        <f>SUMIFS(Table5[quantity],Table5[order_id],Table3[[#This Row],[order_id]])</f>
        <v>19</v>
      </c>
    </row>
    <row r="390" spans="1:10">
      <c r="A390">
        <v>389</v>
      </c>
      <c r="B390">
        <v>1434</v>
      </c>
      <c r="C390" t="s">
        <v>37</v>
      </c>
      <c r="D390" t="s">
        <v>119</v>
      </c>
      <c r="E390" s="1">
        <v>46026</v>
      </c>
      <c r="F390" s="1">
        <v>46029</v>
      </c>
      <c r="G390" s="1">
        <v>46035</v>
      </c>
      <c r="H390">
        <v>36.28</v>
      </c>
      <c r="I390" t="s">
        <v>39</v>
      </c>
      <c r="J390" s="5">
        <f>SUMIFS(Table5[quantity],Table5[order_id],Table3[[#This Row],[order_id]])</f>
        <v>20</v>
      </c>
    </row>
    <row r="391" spans="1:10">
      <c r="A391">
        <v>390</v>
      </c>
      <c r="B391">
        <v>1435</v>
      </c>
      <c r="C391" t="s">
        <v>36</v>
      </c>
      <c r="D391" t="s">
        <v>118</v>
      </c>
      <c r="E391" s="1">
        <v>46102</v>
      </c>
      <c r="F391" s="1">
        <v>46101</v>
      </c>
      <c r="G391" s="1">
        <v>46105</v>
      </c>
      <c r="H391">
        <v>7.17</v>
      </c>
      <c r="I391" t="s">
        <v>141</v>
      </c>
      <c r="J391" s="5">
        <f>SUMIFS(Table5[quantity],Table5[order_id],Table3[[#This Row],[order_id]])</f>
        <v>18</v>
      </c>
    </row>
    <row r="392" spans="1:10">
      <c r="A392">
        <v>391</v>
      </c>
      <c r="B392">
        <v>1436</v>
      </c>
      <c r="C392" t="s">
        <v>35</v>
      </c>
      <c r="D392" t="s">
        <v>118</v>
      </c>
      <c r="E392" s="1">
        <v>46149</v>
      </c>
      <c r="F392" s="1">
        <v>46152</v>
      </c>
      <c r="G392" s="1">
        <v>46151</v>
      </c>
      <c r="H392">
        <v>116.34</v>
      </c>
      <c r="I392" t="s">
        <v>141</v>
      </c>
      <c r="J392" s="5">
        <f>SUMIFS(Table5[quantity],Table5[order_id],Table3[[#This Row],[order_id]])</f>
        <v>19</v>
      </c>
    </row>
    <row r="393" spans="1:10">
      <c r="A393">
        <v>392</v>
      </c>
      <c r="B393">
        <v>1437</v>
      </c>
      <c r="C393" t="s">
        <v>35</v>
      </c>
      <c r="D393" t="s">
        <v>118</v>
      </c>
      <c r="E393" s="1">
        <v>46108</v>
      </c>
      <c r="F393" s="1">
        <v>46109</v>
      </c>
      <c r="G393" s="1">
        <v>46118</v>
      </c>
      <c r="H393">
        <v>47.64</v>
      </c>
      <c r="I393" t="s">
        <v>39</v>
      </c>
      <c r="J393" s="5">
        <f>SUMIFS(Table5[quantity],Table5[order_id],Table3[[#This Row],[order_id]])</f>
        <v>10</v>
      </c>
    </row>
    <row r="394" spans="1:10">
      <c r="A394">
        <v>393</v>
      </c>
      <c r="B394">
        <v>1438</v>
      </c>
      <c r="C394" t="s">
        <v>37</v>
      </c>
      <c r="D394" t="s">
        <v>118</v>
      </c>
      <c r="E394" s="1">
        <v>46152</v>
      </c>
      <c r="F394" s="1">
        <v>46147</v>
      </c>
      <c r="G394" s="1">
        <v>46160</v>
      </c>
      <c r="H394">
        <v>65.53</v>
      </c>
      <c r="I394" t="s">
        <v>39</v>
      </c>
      <c r="J394" s="5">
        <f>SUMIFS(Table5[quantity],Table5[order_id],Table3[[#This Row],[order_id]])</f>
        <v>16</v>
      </c>
    </row>
    <row r="395" spans="1:10">
      <c r="A395">
        <v>394</v>
      </c>
      <c r="B395">
        <v>1439</v>
      </c>
      <c r="C395" t="s">
        <v>33</v>
      </c>
      <c r="D395" t="s">
        <v>118</v>
      </c>
      <c r="E395" s="1">
        <v>46148</v>
      </c>
      <c r="F395" s="1">
        <v>46152</v>
      </c>
      <c r="G395" s="1">
        <v>46154</v>
      </c>
      <c r="H395">
        <v>80.63</v>
      </c>
      <c r="I395" t="s">
        <v>141</v>
      </c>
      <c r="J395" s="5">
        <f>SUMIFS(Table5[quantity],Table5[order_id],Table3[[#This Row],[order_id]])</f>
        <v>17</v>
      </c>
    </row>
    <row r="396" spans="1:10">
      <c r="A396">
        <v>395</v>
      </c>
      <c r="B396">
        <v>1440</v>
      </c>
      <c r="C396" t="s">
        <v>33</v>
      </c>
      <c r="D396" t="s">
        <v>117</v>
      </c>
      <c r="E396" s="1">
        <v>46151</v>
      </c>
      <c r="F396" s="1">
        <v>46155</v>
      </c>
      <c r="G396" s="1">
        <v>46157</v>
      </c>
      <c r="H396">
        <v>51.7</v>
      </c>
      <c r="I396" t="s">
        <v>39</v>
      </c>
      <c r="J396" s="5">
        <f>SUMIFS(Table5[quantity],Table5[order_id],Table3[[#This Row],[order_id]])</f>
        <v>6</v>
      </c>
    </row>
    <row r="397" spans="1:10">
      <c r="A397">
        <v>396</v>
      </c>
      <c r="B397">
        <v>1442</v>
      </c>
      <c r="C397" t="s">
        <v>37</v>
      </c>
      <c r="D397" t="s">
        <v>118</v>
      </c>
      <c r="E397" s="1">
        <v>46111</v>
      </c>
      <c r="F397" s="1">
        <v>46113</v>
      </c>
      <c r="G397" s="1">
        <v>46113</v>
      </c>
      <c r="H397">
        <v>79.97</v>
      </c>
      <c r="I397" t="s">
        <v>488</v>
      </c>
      <c r="J397" s="5">
        <f>SUMIFS(Table5[quantity],Table5[order_id],Table3[[#This Row],[order_id]])</f>
        <v>7</v>
      </c>
    </row>
    <row r="398" spans="1:10">
      <c r="A398">
        <v>397</v>
      </c>
      <c r="B398">
        <v>1443</v>
      </c>
      <c r="C398" t="s">
        <v>34</v>
      </c>
      <c r="D398" t="s">
        <v>118</v>
      </c>
      <c r="E398" s="1">
        <v>46131</v>
      </c>
      <c r="F398" s="1">
        <v>46129</v>
      </c>
      <c r="G398" s="1">
        <v>46139</v>
      </c>
      <c r="H398">
        <v>8.91</v>
      </c>
      <c r="I398" t="s">
        <v>488</v>
      </c>
      <c r="J398" s="5">
        <f>SUMIFS(Table5[quantity],Table5[order_id],Table3[[#This Row],[order_id]])</f>
        <v>7</v>
      </c>
    </row>
    <row r="399" spans="1:10">
      <c r="A399">
        <v>398</v>
      </c>
      <c r="B399">
        <v>1445</v>
      </c>
      <c r="C399" t="s">
        <v>33</v>
      </c>
      <c r="D399" t="s">
        <v>117</v>
      </c>
      <c r="E399" s="1">
        <v>46137</v>
      </c>
      <c r="F399" s="1">
        <v>46135</v>
      </c>
      <c r="G399" s="1">
        <v>46146</v>
      </c>
      <c r="H399">
        <v>62.76</v>
      </c>
      <c r="I399" t="s">
        <v>39</v>
      </c>
      <c r="J399" s="5">
        <f>SUMIFS(Table5[quantity],Table5[order_id],Table3[[#This Row],[order_id]])</f>
        <v>20</v>
      </c>
    </row>
    <row r="400" spans="1:10">
      <c r="A400">
        <v>399</v>
      </c>
      <c r="B400">
        <v>1446</v>
      </c>
      <c r="C400" t="s">
        <v>34</v>
      </c>
      <c r="D400" t="s">
        <v>119</v>
      </c>
      <c r="E400" s="1">
        <v>46058</v>
      </c>
      <c r="F400" s="1">
        <v>46052</v>
      </c>
      <c r="G400" s="1">
        <v>46063</v>
      </c>
      <c r="H400">
        <v>42.56</v>
      </c>
      <c r="I400" t="s">
        <v>39</v>
      </c>
      <c r="J400" s="5">
        <f>SUMIFS(Table5[quantity],Table5[order_id],Table3[[#This Row],[order_id]])</f>
        <v>4</v>
      </c>
    </row>
    <row r="401" spans="1:10">
      <c r="A401">
        <v>400</v>
      </c>
      <c r="B401">
        <v>1447</v>
      </c>
      <c r="C401" t="s">
        <v>34</v>
      </c>
      <c r="D401" t="s">
        <v>122</v>
      </c>
      <c r="E401" s="1">
        <v>46069</v>
      </c>
      <c r="F401" s="1">
        <v>46071</v>
      </c>
      <c r="G401" s="1">
        <v>46074</v>
      </c>
      <c r="H401">
        <v>89.9</v>
      </c>
      <c r="I401" t="s">
        <v>39</v>
      </c>
      <c r="J401" s="5">
        <f>SUMIFS(Table5[quantity],Table5[order_id],Table3[[#This Row],[order_id]])</f>
        <v>7</v>
      </c>
    </row>
    <row r="402" spans="1:10">
      <c r="A402">
        <v>401</v>
      </c>
      <c r="B402">
        <v>1448</v>
      </c>
      <c r="C402" t="s">
        <v>34</v>
      </c>
      <c r="D402" t="s">
        <v>117</v>
      </c>
      <c r="E402" s="1">
        <v>46134</v>
      </c>
      <c r="F402" s="1">
        <v>46133</v>
      </c>
      <c r="G402" s="1">
        <v>46136</v>
      </c>
      <c r="H402">
        <v>110.86</v>
      </c>
      <c r="I402" t="s">
        <v>488</v>
      </c>
      <c r="J402" s="5">
        <f>SUMIFS(Table5[quantity],Table5[order_id],Table3[[#This Row],[order_id]])</f>
        <v>14</v>
      </c>
    </row>
    <row r="403" spans="1:10">
      <c r="A403">
        <v>402</v>
      </c>
      <c r="B403">
        <v>1449</v>
      </c>
      <c r="C403" t="s">
        <v>33</v>
      </c>
      <c r="D403" t="s">
        <v>118</v>
      </c>
      <c r="E403" s="1">
        <v>46025</v>
      </c>
      <c r="F403" s="1">
        <v>46031</v>
      </c>
      <c r="G403" s="1">
        <v>46033</v>
      </c>
      <c r="H403">
        <v>23.8</v>
      </c>
      <c r="I403" t="s">
        <v>39</v>
      </c>
      <c r="J403" s="5">
        <f>SUMIFS(Table5[quantity],Table5[order_id],Table3[[#This Row],[order_id]])</f>
        <v>4</v>
      </c>
    </row>
    <row r="404" spans="1:10">
      <c r="A404">
        <v>403</v>
      </c>
      <c r="B404">
        <v>1450</v>
      </c>
      <c r="C404" t="s">
        <v>32</v>
      </c>
      <c r="D404" t="s">
        <v>118</v>
      </c>
      <c r="E404" s="1">
        <v>46137</v>
      </c>
      <c r="F404" s="1">
        <v>46134</v>
      </c>
      <c r="G404" s="1">
        <v>46147</v>
      </c>
      <c r="H404">
        <v>107.19</v>
      </c>
      <c r="I404" t="s">
        <v>39</v>
      </c>
      <c r="J404" s="5">
        <f>SUMIFS(Table5[quantity],Table5[order_id],Table3[[#This Row],[order_id]])</f>
        <v>5</v>
      </c>
    </row>
  </sheetData>
  <conditionalFormatting sqref="I1:I1048576">
    <cfRule type="cellIs" dxfId="4" priority="1" operator="equal">
      <formula>"Late"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2026-05-21T16:02:32Z</dcterms:created>
  <dcterms:modified xsi:type="dcterms:W3CDTF">2026-05-22T07:33:18Z</dcterms:modified>
  <cp:category/>
  <cp:contentStatus/>
</cp:coreProperties>
</file>